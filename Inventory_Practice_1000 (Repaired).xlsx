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Rohini\Downloads\"/>
    </mc:Choice>
  </mc:AlternateContent>
  <xr:revisionPtr revIDLastSave="0" documentId="13_ncr:1_{18AAAB45-D852-49C1-8373-2D2DC112B3B0}" xr6:coauthVersionLast="47" xr6:coauthVersionMax="47" xr10:uidLastSave="{00000000-0000-0000-0000-000000000000}"/>
  <bookViews>
    <workbookView xWindow="-108" yWindow="-108" windowWidth="23256" windowHeight="12456" firstSheet="4" activeTab="8" xr2:uid="{00000000-000D-0000-FFFF-FFFF00000000}"/>
  </bookViews>
  <sheets>
    <sheet name="Slicers" sheetId="4" r:id="rId1"/>
    <sheet name="movement summary" sheetId="5" r:id="rId2"/>
    <sheet name="Category mix" sheetId="6" r:id="rId3"/>
    <sheet name="Top overstocked" sheetId="8" r:id="rId4"/>
    <sheet name="Last sale months" sheetId="9" r:id="rId5"/>
    <sheet name="Capital stuck" sheetId="10" r:id="rId6"/>
    <sheet name="Stock Flags" sheetId="11" r:id="rId7"/>
    <sheet name="Cards" sheetId="12" r:id="rId8"/>
    <sheet name="Dashboard" sheetId="13" r:id="rId9"/>
    <sheet name="Raw_Data (2)" sheetId="2" r:id="rId10"/>
    <sheet name="Raw_Data" sheetId="1" r:id="rId11"/>
  </sheets>
  <definedNames>
    <definedName name="ExternalData_1" localSheetId="9" hidden="1">'Raw_Data (2)'!$A$1:$J$951</definedName>
    <definedName name="NativeTimeline_Last_Sale_Date">#N/A</definedName>
    <definedName name="Slicer_Category">#N/A</definedName>
    <definedName name="Slicer_Movement_Class">#N/A</definedName>
    <definedName name="Slicer_Warehous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51" i="2" l="1"/>
  <c r="M951" i="2"/>
  <c r="L951" i="2"/>
  <c r="K951" i="2"/>
  <c r="N950" i="2"/>
  <c r="M950" i="2"/>
  <c r="L950" i="2"/>
  <c r="K950" i="2"/>
  <c r="N949" i="2"/>
  <c r="M949" i="2"/>
  <c r="L949" i="2"/>
  <c r="K949" i="2"/>
  <c r="N948" i="2"/>
  <c r="M948" i="2"/>
  <c r="L948" i="2"/>
  <c r="K948" i="2"/>
  <c r="N947" i="2"/>
  <c r="M947" i="2"/>
  <c r="L947" i="2"/>
  <c r="K947" i="2"/>
  <c r="N946" i="2"/>
  <c r="M946" i="2"/>
  <c r="L946" i="2"/>
  <c r="K946" i="2"/>
  <c r="N945" i="2"/>
  <c r="M945" i="2"/>
  <c r="L945" i="2"/>
  <c r="K945" i="2"/>
  <c r="N944" i="2"/>
  <c r="M944" i="2"/>
  <c r="L944" i="2"/>
  <c r="K944" i="2"/>
  <c r="N943" i="2"/>
  <c r="M943" i="2"/>
  <c r="L943" i="2"/>
  <c r="K943" i="2"/>
  <c r="N942" i="2"/>
  <c r="M942" i="2"/>
  <c r="L942" i="2"/>
  <c r="K942" i="2"/>
  <c r="N941" i="2"/>
  <c r="M941" i="2"/>
  <c r="L941" i="2"/>
  <c r="K941" i="2"/>
  <c r="N940" i="2"/>
  <c r="M940" i="2"/>
  <c r="L940" i="2"/>
  <c r="K940" i="2"/>
  <c r="N939" i="2"/>
  <c r="M939" i="2"/>
  <c r="L939" i="2"/>
  <c r="K939" i="2"/>
  <c r="N938" i="2"/>
  <c r="M938" i="2"/>
  <c r="L938" i="2"/>
  <c r="K938" i="2"/>
  <c r="N937" i="2"/>
  <c r="M937" i="2"/>
  <c r="L937" i="2"/>
  <c r="K937" i="2"/>
  <c r="N936" i="2"/>
  <c r="M936" i="2"/>
  <c r="L936" i="2"/>
  <c r="K936" i="2"/>
  <c r="N935" i="2"/>
  <c r="M935" i="2"/>
  <c r="L935" i="2"/>
  <c r="K935" i="2"/>
  <c r="N934" i="2"/>
  <c r="M934" i="2"/>
  <c r="L934" i="2"/>
  <c r="K934" i="2"/>
  <c r="N933" i="2"/>
  <c r="M933" i="2"/>
  <c r="L933" i="2"/>
  <c r="K933" i="2"/>
  <c r="N932" i="2"/>
  <c r="M932" i="2"/>
  <c r="L932" i="2"/>
  <c r="K932" i="2"/>
  <c r="N931" i="2"/>
  <c r="M931" i="2"/>
  <c r="L931" i="2"/>
  <c r="K931" i="2"/>
  <c r="N930" i="2"/>
  <c r="M930" i="2"/>
  <c r="L930" i="2"/>
  <c r="K930" i="2"/>
  <c r="N929" i="2"/>
  <c r="M929" i="2"/>
  <c r="L929" i="2"/>
  <c r="K929" i="2"/>
  <c r="N928" i="2"/>
  <c r="M928" i="2"/>
  <c r="L928" i="2"/>
  <c r="K928" i="2"/>
  <c r="N927" i="2"/>
  <c r="M927" i="2"/>
  <c r="L927" i="2"/>
  <c r="K927" i="2"/>
  <c r="N926" i="2"/>
  <c r="M926" i="2"/>
  <c r="L926" i="2"/>
  <c r="K926" i="2"/>
  <c r="N925" i="2"/>
  <c r="M925" i="2"/>
  <c r="L925" i="2"/>
  <c r="K925" i="2"/>
  <c r="N924" i="2"/>
  <c r="M924" i="2"/>
  <c r="L924" i="2"/>
  <c r="K924" i="2"/>
  <c r="N923" i="2"/>
  <c r="M923" i="2"/>
  <c r="L923" i="2"/>
  <c r="K923" i="2"/>
  <c r="N922" i="2"/>
  <c r="M922" i="2"/>
  <c r="L922" i="2"/>
  <c r="K922" i="2"/>
  <c r="N921" i="2"/>
  <c r="M921" i="2"/>
  <c r="L921" i="2"/>
  <c r="K921" i="2"/>
  <c r="N920" i="2"/>
  <c r="M920" i="2"/>
  <c r="L920" i="2"/>
  <c r="K920" i="2"/>
  <c r="N919" i="2"/>
  <c r="M919" i="2"/>
  <c r="L919" i="2"/>
  <c r="K919" i="2"/>
  <c r="N918" i="2"/>
  <c r="M918" i="2"/>
  <c r="L918" i="2"/>
  <c r="K918" i="2"/>
  <c r="N917" i="2"/>
  <c r="M917" i="2"/>
  <c r="L917" i="2"/>
  <c r="K917" i="2"/>
  <c r="N916" i="2"/>
  <c r="M916" i="2"/>
  <c r="L916" i="2"/>
  <c r="K916" i="2"/>
  <c r="N915" i="2"/>
  <c r="M915" i="2"/>
  <c r="L915" i="2"/>
  <c r="K915" i="2"/>
  <c r="N914" i="2"/>
  <c r="M914" i="2"/>
  <c r="L914" i="2"/>
  <c r="K914" i="2"/>
  <c r="N913" i="2"/>
  <c r="M913" i="2"/>
  <c r="L913" i="2"/>
  <c r="K913" i="2"/>
  <c r="N912" i="2"/>
  <c r="M912" i="2"/>
  <c r="L912" i="2"/>
  <c r="K912" i="2"/>
  <c r="N911" i="2"/>
  <c r="M911" i="2"/>
  <c r="L911" i="2"/>
  <c r="K911" i="2"/>
  <c r="N910" i="2"/>
  <c r="M910" i="2"/>
  <c r="L910" i="2"/>
  <c r="K910" i="2"/>
  <c r="N909" i="2"/>
  <c r="M909" i="2"/>
  <c r="L909" i="2"/>
  <c r="K909" i="2"/>
  <c r="N908" i="2"/>
  <c r="M908" i="2"/>
  <c r="L908" i="2"/>
  <c r="K908" i="2"/>
  <c r="N907" i="2"/>
  <c r="M907" i="2"/>
  <c r="L907" i="2"/>
  <c r="K907" i="2"/>
  <c r="N906" i="2"/>
  <c r="M906" i="2"/>
  <c r="L906" i="2"/>
  <c r="K906" i="2"/>
  <c r="N905" i="2"/>
  <c r="M905" i="2"/>
  <c r="L905" i="2"/>
  <c r="K905" i="2"/>
  <c r="N904" i="2"/>
  <c r="M904" i="2"/>
  <c r="L904" i="2"/>
  <c r="K904" i="2"/>
  <c r="N903" i="2"/>
  <c r="M903" i="2"/>
  <c r="L903" i="2"/>
  <c r="K903" i="2"/>
  <c r="N902" i="2"/>
  <c r="M902" i="2"/>
  <c r="L902" i="2"/>
  <c r="K902" i="2"/>
  <c r="N901" i="2"/>
  <c r="M901" i="2"/>
  <c r="L901" i="2"/>
  <c r="K901" i="2"/>
  <c r="N900" i="2"/>
  <c r="M900" i="2"/>
  <c r="L900" i="2"/>
  <c r="K900" i="2"/>
  <c r="N899" i="2"/>
  <c r="M899" i="2"/>
  <c r="L899" i="2"/>
  <c r="K899" i="2"/>
  <c r="N898" i="2"/>
  <c r="M898" i="2"/>
  <c r="L898" i="2"/>
  <c r="K898" i="2"/>
  <c r="N897" i="2"/>
  <c r="M897" i="2"/>
  <c r="L897" i="2"/>
  <c r="K897" i="2"/>
  <c r="N896" i="2"/>
  <c r="M896" i="2"/>
  <c r="L896" i="2"/>
  <c r="K896" i="2"/>
  <c r="N895" i="2"/>
  <c r="M895" i="2"/>
  <c r="L895" i="2"/>
  <c r="K895" i="2"/>
  <c r="N894" i="2"/>
  <c r="M894" i="2"/>
  <c r="L894" i="2"/>
  <c r="K894" i="2"/>
  <c r="N893" i="2"/>
  <c r="M893" i="2"/>
  <c r="L893" i="2"/>
  <c r="K893" i="2"/>
  <c r="N892" i="2"/>
  <c r="M892" i="2"/>
  <c r="L892" i="2"/>
  <c r="K892" i="2"/>
  <c r="N891" i="2"/>
  <c r="M891" i="2"/>
  <c r="L891" i="2"/>
  <c r="K891" i="2"/>
  <c r="N890" i="2"/>
  <c r="M890" i="2"/>
  <c r="L890" i="2"/>
  <c r="K890" i="2"/>
  <c r="N889" i="2"/>
  <c r="M889" i="2"/>
  <c r="L889" i="2"/>
  <c r="K889" i="2"/>
  <c r="N888" i="2"/>
  <c r="M888" i="2"/>
  <c r="L888" i="2"/>
  <c r="K888" i="2"/>
  <c r="N887" i="2"/>
  <c r="M887" i="2"/>
  <c r="L887" i="2"/>
  <c r="K887" i="2"/>
  <c r="N886" i="2"/>
  <c r="M886" i="2"/>
  <c r="L886" i="2"/>
  <c r="K886" i="2"/>
  <c r="N885" i="2"/>
  <c r="M885" i="2"/>
  <c r="L885" i="2"/>
  <c r="K885" i="2"/>
  <c r="N884" i="2"/>
  <c r="M884" i="2"/>
  <c r="L884" i="2"/>
  <c r="K884" i="2"/>
  <c r="N883" i="2"/>
  <c r="M883" i="2"/>
  <c r="L883" i="2"/>
  <c r="K883" i="2"/>
  <c r="N882" i="2"/>
  <c r="M882" i="2"/>
  <c r="L882" i="2"/>
  <c r="K882" i="2"/>
  <c r="N881" i="2"/>
  <c r="M881" i="2"/>
  <c r="L881" i="2"/>
  <c r="K881" i="2"/>
  <c r="N880" i="2"/>
  <c r="M880" i="2"/>
  <c r="L880" i="2"/>
  <c r="K880" i="2"/>
  <c r="N879" i="2"/>
  <c r="M879" i="2"/>
  <c r="L879" i="2"/>
  <c r="K879" i="2"/>
  <c r="N878" i="2"/>
  <c r="M878" i="2"/>
  <c r="L878" i="2"/>
  <c r="K878" i="2"/>
  <c r="N877" i="2"/>
  <c r="M877" i="2"/>
  <c r="L877" i="2"/>
  <c r="K877" i="2"/>
  <c r="N876" i="2"/>
  <c r="M876" i="2"/>
  <c r="L876" i="2"/>
  <c r="K876" i="2"/>
  <c r="N875" i="2"/>
  <c r="M875" i="2"/>
  <c r="L875" i="2"/>
  <c r="K875" i="2"/>
  <c r="N874" i="2"/>
  <c r="M874" i="2"/>
  <c r="L874" i="2"/>
  <c r="K874" i="2"/>
  <c r="N873" i="2"/>
  <c r="M873" i="2"/>
  <c r="L873" i="2"/>
  <c r="K873" i="2"/>
  <c r="N872" i="2"/>
  <c r="M872" i="2"/>
  <c r="L872" i="2"/>
  <c r="K872" i="2"/>
  <c r="N871" i="2"/>
  <c r="M871" i="2"/>
  <c r="L871" i="2"/>
  <c r="K871" i="2"/>
  <c r="N870" i="2"/>
  <c r="M870" i="2"/>
  <c r="L870" i="2"/>
  <c r="K870" i="2"/>
  <c r="N869" i="2"/>
  <c r="M869" i="2"/>
  <c r="L869" i="2"/>
  <c r="K869" i="2"/>
  <c r="N868" i="2"/>
  <c r="M868" i="2"/>
  <c r="L868" i="2"/>
  <c r="K868" i="2"/>
  <c r="N867" i="2"/>
  <c r="M867" i="2"/>
  <c r="L867" i="2"/>
  <c r="K867" i="2"/>
  <c r="N866" i="2"/>
  <c r="M866" i="2"/>
  <c r="L866" i="2"/>
  <c r="K866" i="2"/>
  <c r="N865" i="2"/>
  <c r="M865" i="2"/>
  <c r="L865" i="2"/>
  <c r="K865" i="2"/>
  <c r="N864" i="2"/>
  <c r="M864" i="2"/>
  <c r="L864" i="2"/>
  <c r="K864" i="2"/>
  <c r="N863" i="2"/>
  <c r="M863" i="2"/>
  <c r="L863" i="2"/>
  <c r="K863" i="2"/>
  <c r="N862" i="2"/>
  <c r="M862" i="2"/>
  <c r="L862" i="2"/>
  <c r="K862" i="2"/>
  <c r="N861" i="2"/>
  <c r="M861" i="2"/>
  <c r="L861" i="2"/>
  <c r="K861" i="2"/>
  <c r="N860" i="2"/>
  <c r="M860" i="2"/>
  <c r="L860" i="2"/>
  <c r="K860" i="2"/>
  <c r="N859" i="2"/>
  <c r="M859" i="2"/>
  <c r="L859" i="2"/>
  <c r="K859" i="2"/>
  <c r="N858" i="2"/>
  <c r="M858" i="2"/>
  <c r="L858" i="2"/>
  <c r="K858" i="2"/>
  <c r="N857" i="2"/>
  <c r="M857" i="2"/>
  <c r="L857" i="2"/>
  <c r="K857" i="2"/>
  <c r="N856" i="2"/>
  <c r="M856" i="2"/>
  <c r="L856" i="2"/>
  <c r="K856" i="2"/>
  <c r="N855" i="2"/>
  <c r="M855" i="2"/>
  <c r="L855" i="2"/>
  <c r="K855" i="2"/>
  <c r="N854" i="2"/>
  <c r="M854" i="2"/>
  <c r="L854" i="2"/>
  <c r="K854" i="2"/>
  <c r="N853" i="2"/>
  <c r="M853" i="2"/>
  <c r="L853" i="2"/>
  <c r="K853" i="2"/>
  <c r="N852" i="2"/>
  <c r="M852" i="2"/>
  <c r="L852" i="2"/>
  <c r="K852" i="2"/>
  <c r="N851" i="2"/>
  <c r="M851" i="2"/>
  <c r="L851" i="2"/>
  <c r="K851" i="2"/>
  <c r="N850" i="2"/>
  <c r="M850" i="2"/>
  <c r="L850" i="2"/>
  <c r="K850" i="2"/>
  <c r="N849" i="2"/>
  <c r="M849" i="2"/>
  <c r="L849" i="2"/>
  <c r="K849" i="2"/>
  <c r="N848" i="2"/>
  <c r="M848" i="2"/>
  <c r="L848" i="2"/>
  <c r="K848" i="2"/>
  <c r="N847" i="2"/>
  <c r="M847" i="2"/>
  <c r="L847" i="2"/>
  <c r="K847" i="2"/>
  <c r="N846" i="2"/>
  <c r="M846" i="2"/>
  <c r="L846" i="2"/>
  <c r="K846" i="2"/>
  <c r="N845" i="2"/>
  <c r="M845" i="2"/>
  <c r="L845" i="2"/>
  <c r="K845" i="2"/>
  <c r="N844" i="2"/>
  <c r="M844" i="2"/>
  <c r="L844" i="2"/>
  <c r="K844" i="2"/>
  <c r="N843" i="2"/>
  <c r="M843" i="2"/>
  <c r="L843" i="2"/>
  <c r="K843" i="2"/>
  <c r="N842" i="2"/>
  <c r="M842" i="2"/>
  <c r="L842" i="2"/>
  <c r="K842" i="2"/>
  <c r="N841" i="2"/>
  <c r="M841" i="2"/>
  <c r="L841" i="2"/>
  <c r="K841" i="2"/>
  <c r="N840" i="2"/>
  <c r="M840" i="2"/>
  <c r="L840" i="2"/>
  <c r="K840" i="2"/>
  <c r="N839" i="2"/>
  <c r="M839" i="2"/>
  <c r="L839" i="2"/>
  <c r="K839" i="2"/>
  <c r="N838" i="2"/>
  <c r="M838" i="2"/>
  <c r="L838" i="2"/>
  <c r="K838" i="2"/>
  <c r="N837" i="2"/>
  <c r="M837" i="2"/>
  <c r="L837" i="2"/>
  <c r="K837" i="2"/>
  <c r="N836" i="2"/>
  <c r="M836" i="2"/>
  <c r="L836" i="2"/>
  <c r="K836" i="2"/>
  <c r="N835" i="2"/>
  <c r="M835" i="2"/>
  <c r="L835" i="2"/>
  <c r="K835" i="2"/>
  <c r="N834" i="2"/>
  <c r="M834" i="2"/>
  <c r="L834" i="2"/>
  <c r="K834" i="2"/>
  <c r="N833" i="2"/>
  <c r="M833" i="2"/>
  <c r="L833" i="2"/>
  <c r="K833" i="2"/>
  <c r="N832" i="2"/>
  <c r="M832" i="2"/>
  <c r="L832" i="2"/>
  <c r="K832" i="2"/>
  <c r="N831" i="2"/>
  <c r="M831" i="2"/>
  <c r="L831" i="2"/>
  <c r="K831" i="2"/>
  <c r="N830" i="2"/>
  <c r="M830" i="2"/>
  <c r="L830" i="2"/>
  <c r="K830" i="2"/>
  <c r="N829" i="2"/>
  <c r="M829" i="2"/>
  <c r="L829" i="2"/>
  <c r="K829" i="2"/>
  <c r="N828" i="2"/>
  <c r="M828" i="2"/>
  <c r="L828" i="2"/>
  <c r="K828" i="2"/>
  <c r="N827" i="2"/>
  <c r="M827" i="2"/>
  <c r="L827" i="2"/>
  <c r="K827" i="2"/>
  <c r="N826" i="2"/>
  <c r="M826" i="2"/>
  <c r="L826" i="2"/>
  <c r="K826" i="2"/>
  <c r="N825" i="2"/>
  <c r="M825" i="2"/>
  <c r="L825" i="2"/>
  <c r="K825" i="2"/>
  <c r="N824" i="2"/>
  <c r="M824" i="2"/>
  <c r="L824" i="2"/>
  <c r="K824" i="2"/>
  <c r="N823" i="2"/>
  <c r="M823" i="2"/>
  <c r="L823" i="2"/>
  <c r="K823" i="2"/>
  <c r="N822" i="2"/>
  <c r="M822" i="2"/>
  <c r="L822" i="2"/>
  <c r="K822" i="2"/>
  <c r="N821" i="2"/>
  <c r="M821" i="2"/>
  <c r="L821" i="2"/>
  <c r="K821" i="2"/>
  <c r="N820" i="2"/>
  <c r="M820" i="2"/>
  <c r="L820" i="2"/>
  <c r="K820" i="2"/>
  <c r="N819" i="2"/>
  <c r="M819" i="2"/>
  <c r="L819" i="2"/>
  <c r="K819" i="2"/>
  <c r="N818" i="2"/>
  <c r="M818" i="2"/>
  <c r="L818" i="2"/>
  <c r="K818" i="2"/>
  <c r="N817" i="2"/>
  <c r="M817" i="2"/>
  <c r="L817" i="2"/>
  <c r="K817" i="2"/>
  <c r="N816" i="2"/>
  <c r="M816" i="2"/>
  <c r="L816" i="2"/>
  <c r="K816" i="2"/>
  <c r="N815" i="2"/>
  <c r="M815" i="2"/>
  <c r="L815" i="2"/>
  <c r="K815" i="2"/>
  <c r="N814" i="2"/>
  <c r="M814" i="2"/>
  <c r="L814" i="2"/>
  <c r="K814" i="2"/>
  <c r="N813" i="2"/>
  <c r="M813" i="2"/>
  <c r="L813" i="2"/>
  <c r="K813" i="2"/>
  <c r="N812" i="2"/>
  <c r="M812" i="2"/>
  <c r="L812" i="2"/>
  <c r="K812" i="2"/>
  <c r="N811" i="2"/>
  <c r="M811" i="2"/>
  <c r="L811" i="2"/>
  <c r="K811" i="2"/>
  <c r="N810" i="2"/>
  <c r="M810" i="2"/>
  <c r="L810" i="2"/>
  <c r="K810" i="2"/>
  <c r="N809" i="2"/>
  <c r="M809" i="2"/>
  <c r="L809" i="2"/>
  <c r="K809" i="2"/>
  <c r="N808" i="2"/>
  <c r="M808" i="2"/>
  <c r="L808" i="2"/>
  <c r="K808" i="2"/>
  <c r="N807" i="2"/>
  <c r="M807" i="2"/>
  <c r="L807" i="2"/>
  <c r="K807" i="2"/>
  <c r="N806" i="2"/>
  <c r="M806" i="2"/>
  <c r="L806" i="2"/>
  <c r="K806" i="2"/>
  <c r="N805" i="2"/>
  <c r="M805" i="2"/>
  <c r="L805" i="2"/>
  <c r="K805" i="2"/>
  <c r="N804" i="2"/>
  <c r="M804" i="2"/>
  <c r="L804" i="2"/>
  <c r="K804" i="2"/>
  <c r="N803" i="2"/>
  <c r="M803" i="2"/>
  <c r="L803" i="2"/>
  <c r="K803" i="2"/>
  <c r="N802" i="2"/>
  <c r="M802" i="2"/>
  <c r="L802" i="2"/>
  <c r="K802" i="2"/>
  <c r="N801" i="2"/>
  <c r="M801" i="2"/>
  <c r="L801" i="2"/>
  <c r="K801" i="2"/>
  <c r="N800" i="2"/>
  <c r="M800" i="2"/>
  <c r="L800" i="2"/>
  <c r="K800" i="2"/>
  <c r="N799" i="2"/>
  <c r="M799" i="2"/>
  <c r="L799" i="2"/>
  <c r="K799" i="2"/>
  <c r="N798" i="2"/>
  <c r="M798" i="2"/>
  <c r="L798" i="2"/>
  <c r="K798" i="2"/>
  <c r="N797" i="2"/>
  <c r="M797" i="2"/>
  <c r="L797" i="2"/>
  <c r="K797" i="2"/>
  <c r="N796" i="2"/>
  <c r="M796" i="2"/>
  <c r="L796" i="2"/>
  <c r="K796" i="2"/>
  <c r="N795" i="2"/>
  <c r="M795" i="2"/>
  <c r="L795" i="2"/>
  <c r="K795" i="2"/>
  <c r="N794" i="2"/>
  <c r="M794" i="2"/>
  <c r="L794" i="2"/>
  <c r="K794" i="2"/>
  <c r="N793" i="2"/>
  <c r="M793" i="2"/>
  <c r="L793" i="2"/>
  <c r="K793" i="2"/>
  <c r="N792" i="2"/>
  <c r="M792" i="2"/>
  <c r="L792" i="2"/>
  <c r="K792" i="2"/>
  <c r="N791" i="2"/>
  <c r="M791" i="2"/>
  <c r="L791" i="2"/>
  <c r="K791" i="2"/>
  <c r="N790" i="2"/>
  <c r="M790" i="2"/>
  <c r="L790" i="2"/>
  <c r="K790" i="2"/>
  <c r="N789" i="2"/>
  <c r="M789" i="2"/>
  <c r="L789" i="2"/>
  <c r="K789" i="2"/>
  <c r="N788" i="2"/>
  <c r="M788" i="2"/>
  <c r="L788" i="2"/>
  <c r="K788" i="2"/>
  <c r="N787" i="2"/>
  <c r="M787" i="2"/>
  <c r="L787" i="2"/>
  <c r="K787" i="2"/>
  <c r="N786" i="2"/>
  <c r="M786" i="2"/>
  <c r="L786" i="2"/>
  <c r="K786" i="2"/>
  <c r="N785" i="2"/>
  <c r="M785" i="2"/>
  <c r="L785" i="2"/>
  <c r="K785" i="2"/>
  <c r="N784" i="2"/>
  <c r="M784" i="2"/>
  <c r="L784" i="2"/>
  <c r="K784" i="2"/>
  <c r="N783" i="2"/>
  <c r="M783" i="2"/>
  <c r="L783" i="2"/>
  <c r="K783" i="2"/>
  <c r="N782" i="2"/>
  <c r="M782" i="2"/>
  <c r="L782" i="2"/>
  <c r="K782" i="2"/>
  <c r="N781" i="2"/>
  <c r="M781" i="2"/>
  <c r="L781" i="2"/>
  <c r="K781" i="2"/>
  <c r="N780" i="2"/>
  <c r="M780" i="2"/>
  <c r="L780" i="2"/>
  <c r="K780" i="2"/>
  <c r="N779" i="2"/>
  <c r="M779" i="2"/>
  <c r="L779" i="2"/>
  <c r="K779" i="2"/>
  <c r="N778" i="2"/>
  <c r="M778" i="2"/>
  <c r="L778" i="2"/>
  <c r="K778" i="2"/>
  <c r="N777" i="2"/>
  <c r="M777" i="2"/>
  <c r="L777" i="2"/>
  <c r="K777" i="2"/>
  <c r="N776" i="2"/>
  <c r="M776" i="2"/>
  <c r="L776" i="2"/>
  <c r="K776" i="2"/>
  <c r="N775" i="2"/>
  <c r="M775" i="2"/>
  <c r="L775" i="2"/>
  <c r="K775" i="2"/>
  <c r="N774" i="2"/>
  <c r="M774" i="2"/>
  <c r="L774" i="2"/>
  <c r="K774" i="2"/>
  <c r="N773" i="2"/>
  <c r="M773" i="2"/>
  <c r="L773" i="2"/>
  <c r="K773" i="2"/>
  <c r="N772" i="2"/>
  <c r="M772" i="2"/>
  <c r="L772" i="2"/>
  <c r="K772" i="2"/>
  <c r="N771" i="2"/>
  <c r="M771" i="2"/>
  <c r="L771" i="2"/>
  <c r="K771" i="2"/>
  <c r="N770" i="2"/>
  <c r="M770" i="2"/>
  <c r="L770" i="2"/>
  <c r="K770" i="2"/>
  <c r="N769" i="2"/>
  <c r="M769" i="2"/>
  <c r="L769" i="2"/>
  <c r="K769" i="2"/>
  <c r="N768" i="2"/>
  <c r="M768" i="2"/>
  <c r="L768" i="2"/>
  <c r="K768" i="2"/>
  <c r="N767" i="2"/>
  <c r="M767" i="2"/>
  <c r="L767" i="2"/>
  <c r="K767" i="2"/>
  <c r="N766" i="2"/>
  <c r="M766" i="2"/>
  <c r="L766" i="2"/>
  <c r="K766" i="2"/>
  <c r="N765" i="2"/>
  <c r="M765" i="2"/>
  <c r="L765" i="2"/>
  <c r="K765" i="2"/>
  <c r="N764" i="2"/>
  <c r="M764" i="2"/>
  <c r="L764" i="2"/>
  <c r="K764" i="2"/>
  <c r="N763" i="2"/>
  <c r="M763" i="2"/>
  <c r="L763" i="2"/>
  <c r="K763" i="2"/>
  <c r="N762" i="2"/>
  <c r="M762" i="2"/>
  <c r="L762" i="2"/>
  <c r="K762" i="2"/>
  <c r="N761" i="2"/>
  <c r="M761" i="2"/>
  <c r="L761" i="2"/>
  <c r="K761" i="2"/>
  <c r="N760" i="2"/>
  <c r="M760" i="2"/>
  <c r="L760" i="2"/>
  <c r="K760" i="2"/>
  <c r="N759" i="2"/>
  <c r="M759" i="2"/>
  <c r="L759" i="2"/>
  <c r="K759" i="2"/>
  <c r="N758" i="2"/>
  <c r="M758" i="2"/>
  <c r="L758" i="2"/>
  <c r="K758" i="2"/>
  <c r="N757" i="2"/>
  <c r="M757" i="2"/>
  <c r="L757" i="2"/>
  <c r="K757" i="2"/>
  <c r="N756" i="2"/>
  <c r="M756" i="2"/>
  <c r="L756" i="2"/>
  <c r="K756" i="2"/>
  <c r="N755" i="2"/>
  <c r="M755" i="2"/>
  <c r="L755" i="2"/>
  <c r="K755" i="2"/>
  <c r="N754" i="2"/>
  <c r="M754" i="2"/>
  <c r="L754" i="2"/>
  <c r="K754" i="2"/>
  <c r="N753" i="2"/>
  <c r="M753" i="2"/>
  <c r="L753" i="2"/>
  <c r="K753" i="2"/>
  <c r="N752" i="2"/>
  <c r="M752" i="2"/>
  <c r="L752" i="2"/>
  <c r="K752" i="2"/>
  <c r="N751" i="2"/>
  <c r="M751" i="2"/>
  <c r="L751" i="2"/>
  <c r="K751" i="2"/>
  <c r="N750" i="2"/>
  <c r="M750" i="2"/>
  <c r="L750" i="2"/>
  <c r="K750" i="2"/>
  <c r="N749" i="2"/>
  <c r="M749" i="2"/>
  <c r="L749" i="2"/>
  <c r="K749" i="2"/>
  <c r="N748" i="2"/>
  <c r="M748" i="2"/>
  <c r="L748" i="2"/>
  <c r="K748" i="2"/>
  <c r="N747" i="2"/>
  <c r="M747" i="2"/>
  <c r="L747" i="2"/>
  <c r="K747" i="2"/>
  <c r="N746" i="2"/>
  <c r="M746" i="2"/>
  <c r="L746" i="2"/>
  <c r="K746" i="2"/>
  <c r="N745" i="2"/>
  <c r="M745" i="2"/>
  <c r="L745" i="2"/>
  <c r="K745" i="2"/>
  <c r="N744" i="2"/>
  <c r="M744" i="2"/>
  <c r="L744" i="2"/>
  <c r="K744" i="2"/>
  <c r="N743" i="2"/>
  <c r="M743" i="2"/>
  <c r="L743" i="2"/>
  <c r="K743" i="2"/>
  <c r="N742" i="2"/>
  <c r="M742" i="2"/>
  <c r="L742" i="2"/>
  <c r="K742" i="2"/>
  <c r="N741" i="2"/>
  <c r="M741" i="2"/>
  <c r="L741" i="2"/>
  <c r="K741" i="2"/>
  <c r="N740" i="2"/>
  <c r="M740" i="2"/>
  <c r="L740" i="2"/>
  <c r="K740" i="2"/>
  <c r="N739" i="2"/>
  <c r="M739" i="2"/>
  <c r="L739" i="2"/>
  <c r="K739" i="2"/>
  <c r="N738" i="2"/>
  <c r="M738" i="2"/>
  <c r="L738" i="2"/>
  <c r="K738" i="2"/>
  <c r="N737" i="2"/>
  <c r="M737" i="2"/>
  <c r="L737" i="2"/>
  <c r="K737" i="2"/>
  <c r="N736" i="2"/>
  <c r="M736" i="2"/>
  <c r="L736" i="2"/>
  <c r="K736" i="2"/>
  <c r="N735" i="2"/>
  <c r="M735" i="2"/>
  <c r="L735" i="2"/>
  <c r="K735" i="2"/>
  <c r="N734" i="2"/>
  <c r="M734" i="2"/>
  <c r="L734" i="2"/>
  <c r="K734" i="2"/>
  <c r="N733" i="2"/>
  <c r="M733" i="2"/>
  <c r="L733" i="2"/>
  <c r="K733" i="2"/>
  <c r="N732" i="2"/>
  <c r="M732" i="2"/>
  <c r="L732" i="2"/>
  <c r="K732" i="2"/>
  <c r="N731" i="2"/>
  <c r="M731" i="2"/>
  <c r="L731" i="2"/>
  <c r="K731" i="2"/>
  <c r="N730" i="2"/>
  <c r="M730" i="2"/>
  <c r="L730" i="2"/>
  <c r="K730" i="2"/>
  <c r="N729" i="2"/>
  <c r="M729" i="2"/>
  <c r="L729" i="2"/>
  <c r="K729" i="2"/>
  <c r="N728" i="2"/>
  <c r="M728" i="2"/>
  <c r="L728" i="2"/>
  <c r="K728" i="2"/>
  <c r="N727" i="2"/>
  <c r="M727" i="2"/>
  <c r="L727" i="2"/>
  <c r="K727" i="2"/>
  <c r="N726" i="2"/>
  <c r="M726" i="2"/>
  <c r="L726" i="2"/>
  <c r="K726" i="2"/>
  <c r="N725" i="2"/>
  <c r="M725" i="2"/>
  <c r="L725" i="2"/>
  <c r="K725" i="2"/>
  <c r="N724" i="2"/>
  <c r="M724" i="2"/>
  <c r="L724" i="2"/>
  <c r="K724" i="2"/>
  <c r="N723" i="2"/>
  <c r="M723" i="2"/>
  <c r="L723" i="2"/>
  <c r="K723" i="2"/>
  <c r="N722" i="2"/>
  <c r="M722" i="2"/>
  <c r="L722" i="2"/>
  <c r="K722" i="2"/>
  <c r="N721" i="2"/>
  <c r="M721" i="2"/>
  <c r="L721" i="2"/>
  <c r="K721" i="2"/>
  <c r="N720" i="2"/>
  <c r="M720" i="2"/>
  <c r="L720" i="2"/>
  <c r="K720" i="2"/>
  <c r="N719" i="2"/>
  <c r="M719" i="2"/>
  <c r="L719" i="2"/>
  <c r="K719" i="2"/>
  <c r="N718" i="2"/>
  <c r="M718" i="2"/>
  <c r="L718" i="2"/>
  <c r="K718" i="2"/>
  <c r="N717" i="2"/>
  <c r="M717" i="2"/>
  <c r="L717" i="2"/>
  <c r="K717" i="2"/>
  <c r="N716" i="2"/>
  <c r="M716" i="2"/>
  <c r="L716" i="2"/>
  <c r="K716" i="2"/>
  <c r="N715" i="2"/>
  <c r="M715" i="2"/>
  <c r="L715" i="2"/>
  <c r="K715" i="2"/>
  <c r="N714" i="2"/>
  <c r="M714" i="2"/>
  <c r="L714" i="2"/>
  <c r="K714" i="2"/>
  <c r="N713" i="2"/>
  <c r="M713" i="2"/>
  <c r="L713" i="2"/>
  <c r="K713" i="2"/>
  <c r="N712" i="2"/>
  <c r="M712" i="2"/>
  <c r="L712" i="2"/>
  <c r="K712" i="2"/>
  <c r="N711" i="2"/>
  <c r="M711" i="2"/>
  <c r="L711" i="2"/>
  <c r="K711" i="2"/>
  <c r="N710" i="2"/>
  <c r="M710" i="2"/>
  <c r="L710" i="2"/>
  <c r="K710" i="2"/>
  <c r="N709" i="2"/>
  <c r="M709" i="2"/>
  <c r="L709" i="2"/>
  <c r="K709" i="2"/>
  <c r="N708" i="2"/>
  <c r="M708" i="2"/>
  <c r="L708" i="2"/>
  <c r="K708" i="2"/>
  <c r="N707" i="2"/>
  <c r="M707" i="2"/>
  <c r="L707" i="2"/>
  <c r="K707" i="2"/>
  <c r="N706" i="2"/>
  <c r="M706" i="2"/>
  <c r="L706" i="2"/>
  <c r="K706" i="2"/>
  <c r="N705" i="2"/>
  <c r="M705" i="2"/>
  <c r="L705" i="2"/>
  <c r="K705" i="2"/>
  <c r="N704" i="2"/>
  <c r="M704" i="2"/>
  <c r="L704" i="2"/>
  <c r="K704" i="2"/>
  <c r="N703" i="2"/>
  <c r="M703" i="2"/>
  <c r="L703" i="2"/>
  <c r="K703" i="2"/>
  <c r="N702" i="2"/>
  <c r="M702" i="2"/>
  <c r="L702" i="2"/>
  <c r="K702" i="2"/>
  <c r="N701" i="2"/>
  <c r="M701" i="2"/>
  <c r="L701" i="2"/>
  <c r="K701" i="2"/>
  <c r="N700" i="2"/>
  <c r="M700" i="2"/>
  <c r="L700" i="2"/>
  <c r="K700" i="2"/>
  <c r="N699" i="2"/>
  <c r="M699" i="2"/>
  <c r="L699" i="2"/>
  <c r="K699" i="2"/>
  <c r="N698" i="2"/>
  <c r="M698" i="2"/>
  <c r="L698" i="2"/>
  <c r="K698" i="2"/>
  <c r="N697" i="2"/>
  <c r="M697" i="2"/>
  <c r="L697" i="2"/>
  <c r="K697" i="2"/>
  <c r="N696" i="2"/>
  <c r="M696" i="2"/>
  <c r="L696" i="2"/>
  <c r="K696" i="2"/>
  <c r="N695" i="2"/>
  <c r="M695" i="2"/>
  <c r="L695" i="2"/>
  <c r="K695" i="2"/>
  <c r="N694" i="2"/>
  <c r="M694" i="2"/>
  <c r="L694" i="2"/>
  <c r="K694" i="2"/>
  <c r="N693" i="2"/>
  <c r="M693" i="2"/>
  <c r="L693" i="2"/>
  <c r="K693" i="2"/>
  <c r="N692" i="2"/>
  <c r="M692" i="2"/>
  <c r="L692" i="2"/>
  <c r="K692" i="2"/>
  <c r="N691" i="2"/>
  <c r="M691" i="2"/>
  <c r="L691" i="2"/>
  <c r="K691" i="2"/>
  <c r="N690" i="2"/>
  <c r="M690" i="2"/>
  <c r="L690" i="2"/>
  <c r="K690" i="2"/>
  <c r="N689" i="2"/>
  <c r="M689" i="2"/>
  <c r="L689" i="2"/>
  <c r="K689" i="2"/>
  <c r="N688" i="2"/>
  <c r="M688" i="2"/>
  <c r="L688" i="2"/>
  <c r="K688" i="2"/>
  <c r="N687" i="2"/>
  <c r="M687" i="2"/>
  <c r="L687" i="2"/>
  <c r="K687" i="2"/>
  <c r="N686" i="2"/>
  <c r="M686" i="2"/>
  <c r="L686" i="2"/>
  <c r="K686" i="2"/>
  <c r="N685" i="2"/>
  <c r="M685" i="2"/>
  <c r="L685" i="2"/>
  <c r="K685" i="2"/>
  <c r="N684" i="2"/>
  <c r="M684" i="2"/>
  <c r="L684" i="2"/>
  <c r="K684" i="2"/>
  <c r="N683" i="2"/>
  <c r="M683" i="2"/>
  <c r="L683" i="2"/>
  <c r="K683" i="2"/>
  <c r="N682" i="2"/>
  <c r="M682" i="2"/>
  <c r="L682" i="2"/>
  <c r="K682" i="2"/>
  <c r="N681" i="2"/>
  <c r="M681" i="2"/>
  <c r="L681" i="2"/>
  <c r="K681" i="2"/>
  <c r="N680" i="2"/>
  <c r="M680" i="2"/>
  <c r="L680" i="2"/>
  <c r="K680" i="2"/>
  <c r="N679" i="2"/>
  <c r="M679" i="2"/>
  <c r="L679" i="2"/>
  <c r="K679" i="2"/>
  <c r="N678" i="2"/>
  <c r="M678" i="2"/>
  <c r="L678" i="2"/>
  <c r="K678" i="2"/>
  <c r="N677" i="2"/>
  <c r="M677" i="2"/>
  <c r="L677" i="2"/>
  <c r="K677" i="2"/>
  <c r="N676" i="2"/>
  <c r="M676" i="2"/>
  <c r="L676" i="2"/>
  <c r="K676" i="2"/>
  <c r="N675" i="2"/>
  <c r="M675" i="2"/>
  <c r="L675" i="2"/>
  <c r="K675" i="2"/>
  <c r="N674" i="2"/>
  <c r="M674" i="2"/>
  <c r="L674" i="2"/>
  <c r="K674" i="2"/>
  <c r="N673" i="2"/>
  <c r="M673" i="2"/>
  <c r="L673" i="2"/>
  <c r="K673" i="2"/>
  <c r="N672" i="2"/>
  <c r="M672" i="2"/>
  <c r="L672" i="2"/>
  <c r="K672" i="2"/>
  <c r="N671" i="2"/>
  <c r="M671" i="2"/>
  <c r="L671" i="2"/>
  <c r="K671" i="2"/>
  <c r="N670" i="2"/>
  <c r="M670" i="2"/>
  <c r="L670" i="2"/>
  <c r="K670" i="2"/>
  <c r="N669" i="2"/>
  <c r="M669" i="2"/>
  <c r="L669" i="2"/>
  <c r="K669" i="2"/>
  <c r="N668" i="2"/>
  <c r="M668" i="2"/>
  <c r="L668" i="2"/>
  <c r="K668" i="2"/>
  <c r="N667" i="2"/>
  <c r="M667" i="2"/>
  <c r="L667" i="2"/>
  <c r="K667" i="2"/>
  <c r="N666" i="2"/>
  <c r="M666" i="2"/>
  <c r="L666" i="2"/>
  <c r="K666" i="2"/>
  <c r="N665" i="2"/>
  <c r="M665" i="2"/>
  <c r="L665" i="2"/>
  <c r="K665" i="2"/>
  <c r="N664" i="2"/>
  <c r="M664" i="2"/>
  <c r="L664" i="2"/>
  <c r="K664" i="2"/>
  <c r="N663" i="2"/>
  <c r="M663" i="2"/>
  <c r="L663" i="2"/>
  <c r="K663" i="2"/>
  <c r="N662" i="2"/>
  <c r="M662" i="2"/>
  <c r="L662" i="2"/>
  <c r="K662" i="2"/>
  <c r="N661" i="2"/>
  <c r="M661" i="2"/>
  <c r="L661" i="2"/>
  <c r="K661" i="2"/>
  <c r="N660" i="2"/>
  <c r="M660" i="2"/>
  <c r="L660" i="2"/>
  <c r="K660" i="2"/>
  <c r="N659" i="2"/>
  <c r="M659" i="2"/>
  <c r="L659" i="2"/>
  <c r="K659" i="2"/>
  <c r="N658" i="2"/>
  <c r="M658" i="2"/>
  <c r="L658" i="2"/>
  <c r="K658" i="2"/>
  <c r="N657" i="2"/>
  <c r="M657" i="2"/>
  <c r="L657" i="2"/>
  <c r="K657" i="2"/>
  <c r="N656" i="2"/>
  <c r="M656" i="2"/>
  <c r="L656" i="2"/>
  <c r="K656" i="2"/>
  <c r="N655" i="2"/>
  <c r="M655" i="2"/>
  <c r="L655" i="2"/>
  <c r="K655" i="2"/>
  <c r="N654" i="2"/>
  <c r="M654" i="2"/>
  <c r="L654" i="2"/>
  <c r="K654" i="2"/>
  <c r="N653" i="2"/>
  <c r="M653" i="2"/>
  <c r="L653" i="2"/>
  <c r="K653" i="2"/>
  <c r="N652" i="2"/>
  <c r="M652" i="2"/>
  <c r="L652" i="2"/>
  <c r="K652" i="2"/>
  <c r="N651" i="2"/>
  <c r="M651" i="2"/>
  <c r="L651" i="2"/>
  <c r="K651" i="2"/>
  <c r="N650" i="2"/>
  <c r="M650" i="2"/>
  <c r="L650" i="2"/>
  <c r="K650" i="2"/>
  <c r="N649" i="2"/>
  <c r="M649" i="2"/>
  <c r="L649" i="2"/>
  <c r="K649" i="2"/>
  <c r="N648" i="2"/>
  <c r="M648" i="2"/>
  <c r="L648" i="2"/>
  <c r="K648" i="2"/>
  <c r="N647" i="2"/>
  <c r="M647" i="2"/>
  <c r="L647" i="2"/>
  <c r="K647" i="2"/>
  <c r="N646" i="2"/>
  <c r="M646" i="2"/>
  <c r="L646" i="2"/>
  <c r="K646" i="2"/>
  <c r="N645" i="2"/>
  <c r="M645" i="2"/>
  <c r="L645" i="2"/>
  <c r="K645" i="2"/>
  <c r="N644" i="2"/>
  <c r="M644" i="2"/>
  <c r="L644" i="2"/>
  <c r="K644" i="2"/>
  <c r="N643" i="2"/>
  <c r="M643" i="2"/>
  <c r="L643" i="2"/>
  <c r="K643" i="2"/>
  <c r="N642" i="2"/>
  <c r="M642" i="2"/>
  <c r="L642" i="2"/>
  <c r="K642" i="2"/>
  <c r="N641" i="2"/>
  <c r="M641" i="2"/>
  <c r="L641" i="2"/>
  <c r="K641" i="2"/>
  <c r="N640" i="2"/>
  <c r="M640" i="2"/>
  <c r="L640" i="2"/>
  <c r="K640" i="2"/>
  <c r="N639" i="2"/>
  <c r="M639" i="2"/>
  <c r="L639" i="2"/>
  <c r="K639" i="2"/>
  <c r="N638" i="2"/>
  <c r="M638" i="2"/>
  <c r="L638" i="2"/>
  <c r="K638" i="2"/>
  <c r="N637" i="2"/>
  <c r="M637" i="2"/>
  <c r="L637" i="2"/>
  <c r="K637" i="2"/>
  <c r="N636" i="2"/>
  <c r="M636" i="2"/>
  <c r="L636" i="2"/>
  <c r="K636" i="2"/>
  <c r="N635" i="2"/>
  <c r="M635" i="2"/>
  <c r="L635" i="2"/>
  <c r="K635" i="2"/>
  <c r="N634" i="2"/>
  <c r="M634" i="2"/>
  <c r="L634" i="2"/>
  <c r="K634" i="2"/>
  <c r="N633" i="2"/>
  <c r="M633" i="2"/>
  <c r="L633" i="2"/>
  <c r="K633" i="2"/>
  <c r="N632" i="2"/>
  <c r="M632" i="2"/>
  <c r="L632" i="2"/>
  <c r="K632" i="2"/>
  <c r="N631" i="2"/>
  <c r="M631" i="2"/>
  <c r="L631" i="2"/>
  <c r="K631" i="2"/>
  <c r="N630" i="2"/>
  <c r="M630" i="2"/>
  <c r="L630" i="2"/>
  <c r="K630" i="2"/>
  <c r="N629" i="2"/>
  <c r="M629" i="2"/>
  <c r="L629" i="2"/>
  <c r="K629" i="2"/>
  <c r="N628" i="2"/>
  <c r="M628" i="2"/>
  <c r="L628" i="2"/>
  <c r="K628" i="2"/>
  <c r="N627" i="2"/>
  <c r="M627" i="2"/>
  <c r="L627" i="2"/>
  <c r="K627" i="2"/>
  <c r="N626" i="2"/>
  <c r="M626" i="2"/>
  <c r="L626" i="2"/>
  <c r="K626" i="2"/>
  <c r="N625" i="2"/>
  <c r="M625" i="2"/>
  <c r="L625" i="2"/>
  <c r="K625" i="2"/>
  <c r="N624" i="2"/>
  <c r="M624" i="2"/>
  <c r="L624" i="2"/>
  <c r="K624" i="2"/>
  <c r="N623" i="2"/>
  <c r="M623" i="2"/>
  <c r="L623" i="2"/>
  <c r="K623" i="2"/>
  <c r="N622" i="2"/>
  <c r="M622" i="2"/>
  <c r="L622" i="2"/>
  <c r="K622" i="2"/>
  <c r="N621" i="2"/>
  <c r="M621" i="2"/>
  <c r="L621" i="2"/>
  <c r="K621" i="2"/>
  <c r="N620" i="2"/>
  <c r="M620" i="2"/>
  <c r="L620" i="2"/>
  <c r="K620" i="2"/>
  <c r="N619" i="2"/>
  <c r="M619" i="2"/>
  <c r="L619" i="2"/>
  <c r="K619" i="2"/>
  <c r="N618" i="2"/>
  <c r="M618" i="2"/>
  <c r="L618" i="2"/>
  <c r="K618" i="2"/>
  <c r="N617" i="2"/>
  <c r="M617" i="2"/>
  <c r="L617" i="2"/>
  <c r="K617" i="2"/>
  <c r="N616" i="2"/>
  <c r="M616" i="2"/>
  <c r="L616" i="2"/>
  <c r="K616" i="2"/>
  <c r="N615" i="2"/>
  <c r="M615" i="2"/>
  <c r="L615" i="2"/>
  <c r="K615" i="2"/>
  <c r="N614" i="2"/>
  <c r="M614" i="2"/>
  <c r="L614" i="2"/>
  <c r="K614" i="2"/>
  <c r="N613" i="2"/>
  <c r="M613" i="2"/>
  <c r="L613" i="2"/>
  <c r="K613" i="2"/>
  <c r="N612" i="2"/>
  <c r="M612" i="2"/>
  <c r="L612" i="2"/>
  <c r="K612" i="2"/>
  <c r="N611" i="2"/>
  <c r="M611" i="2"/>
  <c r="L611" i="2"/>
  <c r="K611" i="2"/>
  <c r="N610" i="2"/>
  <c r="M610" i="2"/>
  <c r="L610" i="2"/>
  <c r="K610" i="2"/>
  <c r="N609" i="2"/>
  <c r="M609" i="2"/>
  <c r="L609" i="2"/>
  <c r="K609" i="2"/>
  <c r="N608" i="2"/>
  <c r="M608" i="2"/>
  <c r="L608" i="2"/>
  <c r="K608" i="2"/>
  <c r="N607" i="2"/>
  <c r="M607" i="2"/>
  <c r="L607" i="2"/>
  <c r="K607" i="2"/>
  <c r="N606" i="2"/>
  <c r="M606" i="2"/>
  <c r="L606" i="2"/>
  <c r="K606" i="2"/>
  <c r="N605" i="2"/>
  <c r="M605" i="2"/>
  <c r="L605" i="2"/>
  <c r="K605" i="2"/>
  <c r="N604" i="2"/>
  <c r="M604" i="2"/>
  <c r="L604" i="2"/>
  <c r="K604" i="2"/>
  <c r="N603" i="2"/>
  <c r="M603" i="2"/>
  <c r="L603" i="2"/>
  <c r="K603" i="2"/>
  <c r="N602" i="2"/>
  <c r="M602" i="2"/>
  <c r="L602" i="2"/>
  <c r="K602" i="2"/>
  <c r="N601" i="2"/>
  <c r="M601" i="2"/>
  <c r="L601" i="2"/>
  <c r="K601" i="2"/>
  <c r="N600" i="2"/>
  <c r="M600" i="2"/>
  <c r="L600" i="2"/>
  <c r="K600" i="2"/>
  <c r="N599" i="2"/>
  <c r="M599" i="2"/>
  <c r="L599" i="2"/>
  <c r="K599" i="2"/>
  <c r="N598" i="2"/>
  <c r="M598" i="2"/>
  <c r="L598" i="2"/>
  <c r="K598" i="2"/>
  <c r="N597" i="2"/>
  <c r="M597" i="2"/>
  <c r="L597" i="2"/>
  <c r="K597" i="2"/>
  <c r="N596" i="2"/>
  <c r="M596" i="2"/>
  <c r="L596" i="2"/>
  <c r="K596" i="2"/>
  <c r="N595" i="2"/>
  <c r="M595" i="2"/>
  <c r="L595" i="2"/>
  <c r="K595" i="2"/>
  <c r="N594" i="2"/>
  <c r="M594" i="2"/>
  <c r="L594" i="2"/>
  <c r="K594" i="2"/>
  <c r="N593" i="2"/>
  <c r="M593" i="2"/>
  <c r="L593" i="2"/>
  <c r="K593" i="2"/>
  <c r="N592" i="2"/>
  <c r="M592" i="2"/>
  <c r="L592" i="2"/>
  <c r="K592" i="2"/>
  <c r="N591" i="2"/>
  <c r="M591" i="2"/>
  <c r="L591" i="2"/>
  <c r="K591" i="2"/>
  <c r="N590" i="2"/>
  <c r="M590" i="2"/>
  <c r="L590" i="2"/>
  <c r="K590" i="2"/>
  <c r="N589" i="2"/>
  <c r="M589" i="2"/>
  <c r="L589" i="2"/>
  <c r="K589" i="2"/>
  <c r="N588" i="2"/>
  <c r="M588" i="2"/>
  <c r="L588" i="2"/>
  <c r="K588" i="2"/>
  <c r="N587" i="2"/>
  <c r="M587" i="2"/>
  <c r="L587" i="2"/>
  <c r="K587" i="2"/>
  <c r="N586" i="2"/>
  <c r="M586" i="2"/>
  <c r="L586" i="2"/>
  <c r="K586" i="2"/>
  <c r="N585" i="2"/>
  <c r="M585" i="2"/>
  <c r="L585" i="2"/>
  <c r="K585" i="2"/>
  <c r="N584" i="2"/>
  <c r="M584" i="2"/>
  <c r="L584" i="2"/>
  <c r="K584" i="2"/>
  <c r="N583" i="2"/>
  <c r="M583" i="2"/>
  <c r="L583" i="2"/>
  <c r="K583" i="2"/>
  <c r="N582" i="2"/>
  <c r="M582" i="2"/>
  <c r="L582" i="2"/>
  <c r="K582" i="2"/>
  <c r="N581" i="2"/>
  <c r="M581" i="2"/>
  <c r="L581" i="2"/>
  <c r="K581" i="2"/>
  <c r="N580" i="2"/>
  <c r="M580" i="2"/>
  <c r="L580" i="2"/>
  <c r="K580" i="2"/>
  <c r="N579" i="2"/>
  <c r="M579" i="2"/>
  <c r="L579" i="2"/>
  <c r="K579" i="2"/>
  <c r="N578" i="2"/>
  <c r="M578" i="2"/>
  <c r="L578" i="2"/>
  <c r="K578" i="2"/>
  <c r="N577" i="2"/>
  <c r="M577" i="2"/>
  <c r="L577" i="2"/>
  <c r="K577" i="2"/>
  <c r="N576" i="2"/>
  <c r="M576" i="2"/>
  <c r="L576" i="2"/>
  <c r="K576" i="2"/>
  <c r="N575" i="2"/>
  <c r="M575" i="2"/>
  <c r="L575" i="2"/>
  <c r="K575" i="2"/>
  <c r="N574" i="2"/>
  <c r="M574" i="2"/>
  <c r="L574" i="2"/>
  <c r="K574" i="2"/>
  <c r="N573" i="2"/>
  <c r="M573" i="2"/>
  <c r="L573" i="2"/>
  <c r="K573" i="2"/>
  <c r="N572" i="2"/>
  <c r="M572" i="2"/>
  <c r="L572" i="2"/>
  <c r="K572" i="2"/>
  <c r="N571" i="2"/>
  <c r="M571" i="2"/>
  <c r="L571" i="2"/>
  <c r="K571" i="2"/>
  <c r="N570" i="2"/>
  <c r="M570" i="2"/>
  <c r="L570" i="2"/>
  <c r="K570" i="2"/>
  <c r="N569" i="2"/>
  <c r="M569" i="2"/>
  <c r="L569" i="2"/>
  <c r="K569" i="2"/>
  <c r="N568" i="2"/>
  <c r="M568" i="2"/>
  <c r="L568" i="2"/>
  <c r="K568" i="2"/>
  <c r="N567" i="2"/>
  <c r="M567" i="2"/>
  <c r="L567" i="2"/>
  <c r="K567" i="2"/>
  <c r="N566" i="2"/>
  <c r="M566" i="2"/>
  <c r="L566" i="2"/>
  <c r="K566" i="2"/>
  <c r="N565" i="2"/>
  <c r="M565" i="2"/>
  <c r="L565" i="2"/>
  <c r="K565" i="2"/>
  <c r="N564" i="2"/>
  <c r="M564" i="2"/>
  <c r="L564" i="2"/>
  <c r="K564" i="2"/>
  <c r="N563" i="2"/>
  <c r="M563" i="2"/>
  <c r="L563" i="2"/>
  <c r="K563" i="2"/>
  <c r="N562" i="2"/>
  <c r="M562" i="2"/>
  <c r="L562" i="2"/>
  <c r="K562" i="2"/>
  <c r="N561" i="2"/>
  <c r="M561" i="2"/>
  <c r="L561" i="2"/>
  <c r="K561" i="2"/>
  <c r="N560" i="2"/>
  <c r="M560" i="2"/>
  <c r="L560" i="2"/>
  <c r="K560" i="2"/>
  <c r="N559" i="2"/>
  <c r="M559" i="2"/>
  <c r="L559" i="2"/>
  <c r="K559" i="2"/>
  <c r="N558" i="2"/>
  <c r="M558" i="2"/>
  <c r="L558" i="2"/>
  <c r="K558" i="2"/>
  <c r="N557" i="2"/>
  <c r="M557" i="2"/>
  <c r="L557" i="2"/>
  <c r="K557" i="2"/>
  <c r="N556" i="2"/>
  <c r="M556" i="2"/>
  <c r="L556" i="2"/>
  <c r="K556" i="2"/>
  <c r="N555" i="2"/>
  <c r="M555" i="2"/>
  <c r="L555" i="2"/>
  <c r="K555" i="2"/>
  <c r="N554" i="2"/>
  <c r="M554" i="2"/>
  <c r="L554" i="2"/>
  <c r="K554" i="2"/>
  <c r="N553" i="2"/>
  <c r="M553" i="2"/>
  <c r="L553" i="2"/>
  <c r="K553" i="2"/>
  <c r="N552" i="2"/>
  <c r="M552" i="2"/>
  <c r="L552" i="2"/>
  <c r="K552" i="2"/>
  <c r="N551" i="2"/>
  <c r="M551" i="2"/>
  <c r="L551" i="2"/>
  <c r="K551" i="2"/>
  <c r="N550" i="2"/>
  <c r="M550" i="2"/>
  <c r="L550" i="2"/>
  <c r="K550" i="2"/>
  <c r="N549" i="2"/>
  <c r="M549" i="2"/>
  <c r="L549" i="2"/>
  <c r="K549" i="2"/>
  <c r="N548" i="2"/>
  <c r="M548" i="2"/>
  <c r="L548" i="2"/>
  <c r="K548" i="2"/>
  <c r="N547" i="2"/>
  <c r="M547" i="2"/>
  <c r="L547" i="2"/>
  <c r="K547" i="2"/>
  <c r="N546" i="2"/>
  <c r="M546" i="2"/>
  <c r="L546" i="2"/>
  <c r="K546" i="2"/>
  <c r="N545" i="2"/>
  <c r="M545" i="2"/>
  <c r="L545" i="2"/>
  <c r="K545" i="2"/>
  <c r="N544" i="2"/>
  <c r="M544" i="2"/>
  <c r="L544" i="2"/>
  <c r="K544" i="2"/>
  <c r="N543" i="2"/>
  <c r="M543" i="2"/>
  <c r="L543" i="2"/>
  <c r="K543" i="2"/>
  <c r="N542" i="2"/>
  <c r="M542" i="2"/>
  <c r="L542" i="2"/>
  <c r="K542" i="2"/>
  <c r="N541" i="2"/>
  <c r="M541" i="2"/>
  <c r="L541" i="2"/>
  <c r="K541" i="2"/>
  <c r="N540" i="2"/>
  <c r="M540" i="2"/>
  <c r="L540" i="2"/>
  <c r="K540" i="2"/>
  <c r="N539" i="2"/>
  <c r="M539" i="2"/>
  <c r="L539" i="2"/>
  <c r="K539" i="2"/>
  <c r="N538" i="2"/>
  <c r="M538" i="2"/>
  <c r="L538" i="2"/>
  <c r="K538" i="2"/>
  <c r="N537" i="2"/>
  <c r="M537" i="2"/>
  <c r="L537" i="2"/>
  <c r="K537" i="2"/>
  <c r="N536" i="2"/>
  <c r="M536" i="2"/>
  <c r="L536" i="2"/>
  <c r="K536" i="2"/>
  <c r="N535" i="2"/>
  <c r="M535" i="2"/>
  <c r="L535" i="2"/>
  <c r="K535" i="2"/>
  <c r="N534" i="2"/>
  <c r="M534" i="2"/>
  <c r="L534" i="2"/>
  <c r="K534" i="2"/>
  <c r="N533" i="2"/>
  <c r="M533" i="2"/>
  <c r="L533" i="2"/>
  <c r="K533" i="2"/>
  <c r="N532" i="2"/>
  <c r="M532" i="2"/>
  <c r="L532" i="2"/>
  <c r="K532" i="2"/>
  <c r="N531" i="2"/>
  <c r="M531" i="2"/>
  <c r="L531" i="2"/>
  <c r="K531" i="2"/>
  <c r="N530" i="2"/>
  <c r="M530" i="2"/>
  <c r="L530" i="2"/>
  <c r="K530" i="2"/>
  <c r="N529" i="2"/>
  <c r="M529" i="2"/>
  <c r="L529" i="2"/>
  <c r="K529" i="2"/>
  <c r="N528" i="2"/>
  <c r="M528" i="2"/>
  <c r="L528" i="2"/>
  <c r="K528" i="2"/>
  <c r="N527" i="2"/>
  <c r="M527" i="2"/>
  <c r="L527" i="2"/>
  <c r="K527" i="2"/>
  <c r="N526" i="2"/>
  <c r="M526" i="2"/>
  <c r="L526" i="2"/>
  <c r="K526" i="2"/>
  <c r="N525" i="2"/>
  <c r="M525" i="2"/>
  <c r="L525" i="2"/>
  <c r="K525" i="2"/>
  <c r="N524" i="2"/>
  <c r="M524" i="2"/>
  <c r="L524" i="2"/>
  <c r="K524" i="2"/>
  <c r="N523" i="2"/>
  <c r="M523" i="2"/>
  <c r="L523" i="2"/>
  <c r="K523" i="2"/>
  <c r="N522" i="2"/>
  <c r="M522" i="2"/>
  <c r="L522" i="2"/>
  <c r="K522" i="2"/>
  <c r="N521" i="2"/>
  <c r="M521" i="2"/>
  <c r="L521" i="2"/>
  <c r="K521" i="2"/>
  <c r="N520" i="2"/>
  <c r="M520" i="2"/>
  <c r="L520" i="2"/>
  <c r="K520" i="2"/>
  <c r="N519" i="2"/>
  <c r="M519" i="2"/>
  <c r="L519" i="2"/>
  <c r="K519" i="2"/>
  <c r="N518" i="2"/>
  <c r="M518" i="2"/>
  <c r="L518" i="2"/>
  <c r="K518" i="2"/>
  <c r="N517" i="2"/>
  <c r="M517" i="2"/>
  <c r="L517" i="2"/>
  <c r="K517" i="2"/>
  <c r="N516" i="2"/>
  <c r="M516" i="2"/>
  <c r="L516" i="2"/>
  <c r="K516" i="2"/>
  <c r="N515" i="2"/>
  <c r="M515" i="2"/>
  <c r="L515" i="2"/>
  <c r="K515" i="2"/>
  <c r="N514" i="2"/>
  <c r="M514" i="2"/>
  <c r="L514" i="2"/>
  <c r="K514" i="2"/>
  <c r="N513" i="2"/>
  <c r="M513" i="2"/>
  <c r="L513" i="2"/>
  <c r="K513" i="2"/>
  <c r="N512" i="2"/>
  <c r="M512" i="2"/>
  <c r="L512" i="2"/>
  <c r="K512" i="2"/>
  <c r="N511" i="2"/>
  <c r="M511" i="2"/>
  <c r="L511" i="2"/>
  <c r="K511" i="2"/>
  <c r="N510" i="2"/>
  <c r="M510" i="2"/>
  <c r="L510" i="2"/>
  <c r="K510" i="2"/>
  <c r="N509" i="2"/>
  <c r="M509" i="2"/>
  <c r="L509" i="2"/>
  <c r="K509" i="2"/>
  <c r="N508" i="2"/>
  <c r="M508" i="2"/>
  <c r="L508" i="2"/>
  <c r="K508" i="2"/>
  <c r="N507" i="2"/>
  <c r="M507" i="2"/>
  <c r="L507" i="2"/>
  <c r="K507" i="2"/>
  <c r="N506" i="2"/>
  <c r="M506" i="2"/>
  <c r="L506" i="2"/>
  <c r="K506" i="2"/>
  <c r="N505" i="2"/>
  <c r="M505" i="2"/>
  <c r="L505" i="2"/>
  <c r="K505" i="2"/>
  <c r="N504" i="2"/>
  <c r="M504" i="2"/>
  <c r="L504" i="2"/>
  <c r="K504" i="2"/>
  <c r="N503" i="2"/>
  <c r="M503" i="2"/>
  <c r="L503" i="2"/>
  <c r="K503" i="2"/>
  <c r="N502" i="2"/>
  <c r="M502" i="2"/>
  <c r="L502" i="2"/>
  <c r="K502" i="2"/>
  <c r="N501" i="2"/>
  <c r="M501" i="2"/>
  <c r="L501" i="2"/>
  <c r="K501" i="2"/>
  <c r="N500" i="2"/>
  <c r="M500" i="2"/>
  <c r="L500" i="2"/>
  <c r="K500" i="2"/>
  <c r="N499" i="2"/>
  <c r="M499" i="2"/>
  <c r="L499" i="2"/>
  <c r="K499" i="2"/>
  <c r="N498" i="2"/>
  <c r="M498" i="2"/>
  <c r="L498" i="2"/>
  <c r="K498" i="2"/>
  <c r="N497" i="2"/>
  <c r="M497" i="2"/>
  <c r="L497" i="2"/>
  <c r="K497" i="2"/>
  <c r="N496" i="2"/>
  <c r="M496" i="2"/>
  <c r="L496" i="2"/>
  <c r="K496" i="2"/>
  <c r="N495" i="2"/>
  <c r="M495" i="2"/>
  <c r="L495" i="2"/>
  <c r="K495" i="2"/>
  <c r="N494" i="2"/>
  <c r="M494" i="2"/>
  <c r="L494" i="2"/>
  <c r="K494" i="2"/>
  <c r="N493" i="2"/>
  <c r="M493" i="2"/>
  <c r="L493" i="2"/>
  <c r="K493" i="2"/>
  <c r="N492" i="2"/>
  <c r="M492" i="2"/>
  <c r="L492" i="2"/>
  <c r="K492" i="2"/>
  <c r="N491" i="2"/>
  <c r="M491" i="2"/>
  <c r="L491" i="2"/>
  <c r="K491" i="2"/>
  <c r="N490" i="2"/>
  <c r="M490" i="2"/>
  <c r="L490" i="2"/>
  <c r="K490" i="2"/>
  <c r="N489" i="2"/>
  <c r="M489" i="2"/>
  <c r="L489" i="2"/>
  <c r="K489" i="2"/>
  <c r="N488" i="2"/>
  <c r="M488" i="2"/>
  <c r="L488" i="2"/>
  <c r="K488" i="2"/>
  <c r="N487" i="2"/>
  <c r="M487" i="2"/>
  <c r="L487" i="2"/>
  <c r="K487" i="2"/>
  <c r="N486" i="2"/>
  <c r="M486" i="2"/>
  <c r="L486" i="2"/>
  <c r="K486" i="2"/>
  <c r="N485" i="2"/>
  <c r="M485" i="2"/>
  <c r="L485" i="2"/>
  <c r="K485" i="2"/>
  <c r="N484" i="2"/>
  <c r="M484" i="2"/>
  <c r="L484" i="2"/>
  <c r="K484" i="2"/>
  <c r="N483" i="2"/>
  <c r="M483" i="2"/>
  <c r="L483" i="2"/>
  <c r="K483" i="2"/>
  <c r="N482" i="2"/>
  <c r="M482" i="2"/>
  <c r="L482" i="2"/>
  <c r="K482" i="2"/>
  <c r="N481" i="2"/>
  <c r="M481" i="2"/>
  <c r="L481" i="2"/>
  <c r="K481" i="2"/>
  <c r="N480" i="2"/>
  <c r="M480" i="2"/>
  <c r="L480" i="2"/>
  <c r="K480" i="2"/>
  <c r="N479" i="2"/>
  <c r="M479" i="2"/>
  <c r="L479" i="2"/>
  <c r="K479" i="2"/>
  <c r="N478" i="2"/>
  <c r="M478" i="2"/>
  <c r="L478" i="2"/>
  <c r="K478" i="2"/>
  <c r="N477" i="2"/>
  <c r="M477" i="2"/>
  <c r="L477" i="2"/>
  <c r="K477" i="2"/>
  <c r="N476" i="2"/>
  <c r="M476" i="2"/>
  <c r="L476" i="2"/>
  <c r="K476" i="2"/>
  <c r="N475" i="2"/>
  <c r="M475" i="2"/>
  <c r="L475" i="2"/>
  <c r="K475" i="2"/>
  <c r="N474" i="2"/>
  <c r="M474" i="2"/>
  <c r="L474" i="2"/>
  <c r="K474" i="2"/>
  <c r="N473" i="2"/>
  <c r="M473" i="2"/>
  <c r="L473" i="2"/>
  <c r="K473" i="2"/>
  <c r="N472" i="2"/>
  <c r="M472" i="2"/>
  <c r="L472" i="2"/>
  <c r="K472" i="2"/>
  <c r="N471" i="2"/>
  <c r="M471" i="2"/>
  <c r="L471" i="2"/>
  <c r="K471" i="2"/>
  <c r="N470" i="2"/>
  <c r="M470" i="2"/>
  <c r="L470" i="2"/>
  <c r="K470" i="2"/>
  <c r="N469" i="2"/>
  <c r="M469" i="2"/>
  <c r="L469" i="2"/>
  <c r="K469" i="2"/>
  <c r="N468" i="2"/>
  <c r="M468" i="2"/>
  <c r="L468" i="2"/>
  <c r="K468" i="2"/>
  <c r="N467" i="2"/>
  <c r="M467" i="2"/>
  <c r="L467" i="2"/>
  <c r="K467" i="2"/>
  <c r="N466" i="2"/>
  <c r="M466" i="2"/>
  <c r="L466" i="2"/>
  <c r="K466" i="2"/>
  <c r="N465" i="2"/>
  <c r="M465" i="2"/>
  <c r="L465" i="2"/>
  <c r="K465" i="2"/>
  <c r="N464" i="2"/>
  <c r="M464" i="2"/>
  <c r="L464" i="2"/>
  <c r="K464" i="2"/>
  <c r="N463" i="2"/>
  <c r="M463" i="2"/>
  <c r="L463" i="2"/>
  <c r="K463" i="2"/>
  <c r="N462" i="2"/>
  <c r="M462" i="2"/>
  <c r="L462" i="2"/>
  <c r="K462" i="2"/>
  <c r="N461" i="2"/>
  <c r="M461" i="2"/>
  <c r="L461" i="2"/>
  <c r="K461" i="2"/>
  <c r="N460" i="2"/>
  <c r="M460" i="2"/>
  <c r="L460" i="2"/>
  <c r="K460" i="2"/>
  <c r="N459" i="2"/>
  <c r="M459" i="2"/>
  <c r="L459" i="2"/>
  <c r="K459" i="2"/>
  <c r="N458" i="2"/>
  <c r="M458" i="2"/>
  <c r="L458" i="2"/>
  <c r="K458" i="2"/>
  <c r="N457" i="2"/>
  <c r="M457" i="2"/>
  <c r="L457" i="2"/>
  <c r="K457" i="2"/>
  <c r="N456" i="2"/>
  <c r="M456" i="2"/>
  <c r="L456" i="2"/>
  <c r="K456" i="2"/>
  <c r="N455" i="2"/>
  <c r="M455" i="2"/>
  <c r="L455" i="2"/>
  <c r="K455" i="2"/>
  <c r="N454" i="2"/>
  <c r="M454" i="2"/>
  <c r="L454" i="2"/>
  <c r="K454" i="2"/>
  <c r="N453" i="2"/>
  <c r="M453" i="2"/>
  <c r="L453" i="2"/>
  <c r="K453" i="2"/>
  <c r="N452" i="2"/>
  <c r="M452" i="2"/>
  <c r="L452" i="2"/>
  <c r="K452" i="2"/>
  <c r="N451" i="2"/>
  <c r="M451" i="2"/>
  <c r="L451" i="2"/>
  <c r="K451" i="2"/>
  <c r="N450" i="2"/>
  <c r="M450" i="2"/>
  <c r="L450" i="2"/>
  <c r="K450" i="2"/>
  <c r="N449" i="2"/>
  <c r="M449" i="2"/>
  <c r="L449" i="2"/>
  <c r="K449" i="2"/>
  <c r="N448" i="2"/>
  <c r="M448" i="2"/>
  <c r="L448" i="2"/>
  <c r="K448" i="2"/>
  <c r="N447" i="2"/>
  <c r="M447" i="2"/>
  <c r="L447" i="2"/>
  <c r="K447" i="2"/>
  <c r="N446" i="2"/>
  <c r="M446" i="2"/>
  <c r="L446" i="2"/>
  <c r="K446" i="2"/>
  <c r="N445" i="2"/>
  <c r="M445" i="2"/>
  <c r="L445" i="2"/>
  <c r="K445" i="2"/>
  <c r="N444" i="2"/>
  <c r="M444" i="2"/>
  <c r="L444" i="2"/>
  <c r="K444" i="2"/>
  <c r="N443" i="2"/>
  <c r="M443" i="2"/>
  <c r="L443" i="2"/>
  <c r="K443" i="2"/>
  <c r="N442" i="2"/>
  <c r="M442" i="2"/>
  <c r="L442" i="2"/>
  <c r="K442" i="2"/>
  <c r="N441" i="2"/>
  <c r="M441" i="2"/>
  <c r="L441" i="2"/>
  <c r="K441" i="2"/>
  <c r="N440" i="2"/>
  <c r="M440" i="2"/>
  <c r="L440" i="2"/>
  <c r="K440" i="2"/>
  <c r="N439" i="2"/>
  <c r="M439" i="2"/>
  <c r="L439" i="2"/>
  <c r="K439" i="2"/>
  <c r="N438" i="2"/>
  <c r="M438" i="2"/>
  <c r="L438" i="2"/>
  <c r="K438" i="2"/>
  <c r="N437" i="2"/>
  <c r="M437" i="2"/>
  <c r="L437" i="2"/>
  <c r="K437" i="2"/>
  <c r="N436" i="2"/>
  <c r="M436" i="2"/>
  <c r="L436" i="2"/>
  <c r="K436" i="2"/>
  <c r="N435" i="2"/>
  <c r="M435" i="2"/>
  <c r="L435" i="2"/>
  <c r="K435" i="2"/>
  <c r="N434" i="2"/>
  <c r="M434" i="2"/>
  <c r="L434" i="2"/>
  <c r="K434" i="2"/>
  <c r="N433" i="2"/>
  <c r="M433" i="2"/>
  <c r="L433" i="2"/>
  <c r="K433" i="2"/>
  <c r="N432" i="2"/>
  <c r="M432" i="2"/>
  <c r="L432" i="2"/>
  <c r="K432" i="2"/>
  <c r="N431" i="2"/>
  <c r="M431" i="2"/>
  <c r="L431" i="2"/>
  <c r="K431" i="2"/>
  <c r="N430" i="2"/>
  <c r="M430" i="2"/>
  <c r="L430" i="2"/>
  <c r="K430" i="2"/>
  <c r="N429" i="2"/>
  <c r="M429" i="2"/>
  <c r="L429" i="2"/>
  <c r="K429" i="2"/>
  <c r="N428" i="2"/>
  <c r="M428" i="2"/>
  <c r="L428" i="2"/>
  <c r="K428" i="2"/>
  <c r="N427" i="2"/>
  <c r="M427" i="2"/>
  <c r="L427" i="2"/>
  <c r="K427" i="2"/>
  <c r="N426" i="2"/>
  <c r="M426" i="2"/>
  <c r="L426" i="2"/>
  <c r="K426" i="2"/>
  <c r="N425" i="2"/>
  <c r="M425" i="2"/>
  <c r="L425" i="2"/>
  <c r="K425" i="2"/>
  <c r="N424" i="2"/>
  <c r="M424" i="2"/>
  <c r="L424" i="2"/>
  <c r="K424" i="2"/>
  <c r="N423" i="2"/>
  <c r="M423" i="2"/>
  <c r="L423" i="2"/>
  <c r="K423" i="2"/>
  <c r="N422" i="2"/>
  <c r="M422" i="2"/>
  <c r="L422" i="2"/>
  <c r="K422" i="2"/>
  <c r="N421" i="2"/>
  <c r="M421" i="2"/>
  <c r="L421" i="2"/>
  <c r="K421" i="2"/>
  <c r="N420" i="2"/>
  <c r="M420" i="2"/>
  <c r="L420" i="2"/>
  <c r="K420" i="2"/>
  <c r="N419" i="2"/>
  <c r="M419" i="2"/>
  <c r="L419" i="2"/>
  <c r="K419" i="2"/>
  <c r="N418" i="2"/>
  <c r="M418" i="2"/>
  <c r="L418" i="2"/>
  <c r="K418" i="2"/>
  <c r="N417" i="2"/>
  <c r="M417" i="2"/>
  <c r="L417" i="2"/>
  <c r="K417" i="2"/>
  <c r="N416" i="2"/>
  <c r="M416" i="2"/>
  <c r="L416" i="2"/>
  <c r="K416" i="2"/>
  <c r="N415" i="2"/>
  <c r="M415" i="2"/>
  <c r="L415" i="2"/>
  <c r="K415" i="2"/>
  <c r="N414" i="2"/>
  <c r="M414" i="2"/>
  <c r="L414" i="2"/>
  <c r="K414" i="2"/>
  <c r="N413" i="2"/>
  <c r="M413" i="2"/>
  <c r="L413" i="2"/>
  <c r="K413" i="2"/>
  <c r="N412" i="2"/>
  <c r="M412" i="2"/>
  <c r="L412" i="2"/>
  <c r="K412" i="2"/>
  <c r="N411" i="2"/>
  <c r="M411" i="2"/>
  <c r="L411" i="2"/>
  <c r="K411" i="2"/>
  <c r="N410" i="2"/>
  <c r="M410" i="2"/>
  <c r="L410" i="2"/>
  <c r="K410" i="2"/>
  <c r="N409" i="2"/>
  <c r="M409" i="2"/>
  <c r="L409" i="2"/>
  <c r="K409" i="2"/>
  <c r="N408" i="2"/>
  <c r="M408" i="2"/>
  <c r="L408" i="2"/>
  <c r="K408" i="2"/>
  <c r="N407" i="2"/>
  <c r="M407" i="2"/>
  <c r="L407" i="2"/>
  <c r="K407" i="2"/>
  <c r="N406" i="2"/>
  <c r="M406" i="2"/>
  <c r="L406" i="2"/>
  <c r="K406" i="2"/>
  <c r="N405" i="2"/>
  <c r="M405" i="2"/>
  <c r="L405" i="2"/>
  <c r="K405" i="2"/>
  <c r="N404" i="2"/>
  <c r="M404" i="2"/>
  <c r="L404" i="2"/>
  <c r="K404" i="2"/>
  <c r="N403" i="2"/>
  <c r="M403" i="2"/>
  <c r="L403" i="2"/>
  <c r="K403" i="2"/>
  <c r="N402" i="2"/>
  <c r="M402" i="2"/>
  <c r="L402" i="2"/>
  <c r="K402" i="2"/>
  <c r="N401" i="2"/>
  <c r="M401" i="2"/>
  <c r="L401" i="2"/>
  <c r="K401" i="2"/>
  <c r="N400" i="2"/>
  <c r="M400" i="2"/>
  <c r="L400" i="2"/>
  <c r="K400" i="2"/>
  <c r="N399" i="2"/>
  <c r="M399" i="2"/>
  <c r="L399" i="2"/>
  <c r="K399" i="2"/>
  <c r="N398" i="2"/>
  <c r="M398" i="2"/>
  <c r="L398" i="2"/>
  <c r="K398" i="2"/>
  <c r="N397" i="2"/>
  <c r="M397" i="2"/>
  <c r="L397" i="2"/>
  <c r="K397" i="2"/>
  <c r="N396" i="2"/>
  <c r="M396" i="2"/>
  <c r="L396" i="2"/>
  <c r="K396" i="2"/>
  <c r="N395" i="2"/>
  <c r="M395" i="2"/>
  <c r="L395" i="2"/>
  <c r="K395" i="2"/>
  <c r="N394" i="2"/>
  <c r="M394" i="2"/>
  <c r="L394" i="2"/>
  <c r="K394" i="2"/>
  <c r="N393" i="2"/>
  <c r="M393" i="2"/>
  <c r="L393" i="2"/>
  <c r="K393" i="2"/>
  <c r="N392" i="2"/>
  <c r="M392" i="2"/>
  <c r="L392" i="2"/>
  <c r="K392" i="2"/>
  <c r="N391" i="2"/>
  <c r="M391" i="2"/>
  <c r="L391" i="2"/>
  <c r="K391" i="2"/>
  <c r="N390" i="2"/>
  <c r="M390" i="2"/>
  <c r="L390" i="2"/>
  <c r="K390" i="2"/>
  <c r="N389" i="2"/>
  <c r="M389" i="2"/>
  <c r="L389" i="2"/>
  <c r="K389" i="2"/>
  <c r="N388" i="2"/>
  <c r="M388" i="2"/>
  <c r="L388" i="2"/>
  <c r="K388" i="2"/>
  <c r="N387" i="2"/>
  <c r="M387" i="2"/>
  <c r="L387" i="2"/>
  <c r="K387" i="2"/>
  <c r="N386" i="2"/>
  <c r="M386" i="2"/>
  <c r="L386" i="2"/>
  <c r="K386" i="2"/>
  <c r="N385" i="2"/>
  <c r="M385" i="2"/>
  <c r="L385" i="2"/>
  <c r="K385" i="2"/>
  <c r="N384" i="2"/>
  <c r="M384" i="2"/>
  <c r="L384" i="2"/>
  <c r="K384" i="2"/>
  <c r="N383" i="2"/>
  <c r="M383" i="2"/>
  <c r="L383" i="2"/>
  <c r="K383" i="2"/>
  <c r="N382" i="2"/>
  <c r="M382" i="2"/>
  <c r="L382" i="2"/>
  <c r="K382" i="2"/>
  <c r="N381" i="2"/>
  <c r="M381" i="2"/>
  <c r="L381" i="2"/>
  <c r="K381" i="2"/>
  <c r="N380" i="2"/>
  <c r="M380" i="2"/>
  <c r="L380" i="2"/>
  <c r="K380" i="2"/>
  <c r="N379" i="2"/>
  <c r="M379" i="2"/>
  <c r="L379" i="2"/>
  <c r="K379" i="2"/>
  <c r="N378" i="2"/>
  <c r="M378" i="2"/>
  <c r="L378" i="2"/>
  <c r="K378" i="2"/>
  <c r="N377" i="2"/>
  <c r="M377" i="2"/>
  <c r="L377" i="2"/>
  <c r="K377" i="2"/>
  <c r="N376" i="2"/>
  <c r="M376" i="2"/>
  <c r="L376" i="2"/>
  <c r="K376" i="2"/>
  <c r="N375" i="2"/>
  <c r="M375" i="2"/>
  <c r="L375" i="2"/>
  <c r="K375" i="2"/>
  <c r="N374" i="2"/>
  <c r="M374" i="2"/>
  <c r="L374" i="2"/>
  <c r="K374" i="2"/>
  <c r="N373" i="2"/>
  <c r="M373" i="2"/>
  <c r="L373" i="2"/>
  <c r="K373" i="2"/>
  <c r="N372" i="2"/>
  <c r="M372" i="2"/>
  <c r="L372" i="2"/>
  <c r="K372" i="2"/>
  <c r="N371" i="2"/>
  <c r="M371" i="2"/>
  <c r="L371" i="2"/>
  <c r="K371" i="2"/>
  <c r="N370" i="2"/>
  <c r="M370" i="2"/>
  <c r="L370" i="2"/>
  <c r="K370" i="2"/>
  <c r="N369" i="2"/>
  <c r="M369" i="2"/>
  <c r="L369" i="2"/>
  <c r="K369" i="2"/>
  <c r="N368" i="2"/>
  <c r="M368" i="2"/>
  <c r="L368" i="2"/>
  <c r="K368" i="2"/>
  <c r="N367" i="2"/>
  <c r="M367" i="2"/>
  <c r="L367" i="2"/>
  <c r="K367" i="2"/>
  <c r="N366" i="2"/>
  <c r="M366" i="2"/>
  <c r="L366" i="2"/>
  <c r="K366" i="2"/>
  <c r="N365" i="2"/>
  <c r="M365" i="2"/>
  <c r="L365" i="2"/>
  <c r="K365" i="2"/>
  <c r="N364" i="2"/>
  <c r="M364" i="2"/>
  <c r="L364" i="2"/>
  <c r="K364" i="2"/>
  <c r="N363" i="2"/>
  <c r="M363" i="2"/>
  <c r="L363" i="2"/>
  <c r="K363" i="2"/>
  <c r="N362" i="2"/>
  <c r="M362" i="2"/>
  <c r="L362" i="2"/>
  <c r="K362" i="2"/>
  <c r="N361" i="2"/>
  <c r="M361" i="2"/>
  <c r="L361" i="2"/>
  <c r="K361" i="2"/>
  <c r="N360" i="2"/>
  <c r="M360" i="2"/>
  <c r="L360" i="2"/>
  <c r="K360" i="2"/>
  <c r="N359" i="2"/>
  <c r="M359" i="2"/>
  <c r="L359" i="2"/>
  <c r="K359" i="2"/>
  <c r="N358" i="2"/>
  <c r="M358" i="2"/>
  <c r="L358" i="2"/>
  <c r="K358" i="2"/>
  <c r="N357" i="2"/>
  <c r="M357" i="2"/>
  <c r="L357" i="2"/>
  <c r="K357" i="2"/>
  <c r="N356" i="2"/>
  <c r="M356" i="2"/>
  <c r="L356" i="2"/>
  <c r="K356" i="2"/>
  <c r="N355" i="2"/>
  <c r="M355" i="2"/>
  <c r="L355" i="2"/>
  <c r="K355" i="2"/>
  <c r="N354" i="2"/>
  <c r="M354" i="2"/>
  <c r="L354" i="2"/>
  <c r="K354" i="2"/>
  <c r="N353" i="2"/>
  <c r="M353" i="2"/>
  <c r="L353" i="2"/>
  <c r="K353" i="2"/>
  <c r="N352" i="2"/>
  <c r="M352" i="2"/>
  <c r="L352" i="2"/>
  <c r="K352" i="2"/>
  <c r="N351" i="2"/>
  <c r="M351" i="2"/>
  <c r="L351" i="2"/>
  <c r="K351" i="2"/>
  <c r="N350" i="2"/>
  <c r="M350" i="2"/>
  <c r="L350" i="2"/>
  <c r="K350" i="2"/>
  <c r="N349" i="2"/>
  <c r="M349" i="2"/>
  <c r="L349" i="2"/>
  <c r="K349" i="2"/>
  <c r="N348" i="2"/>
  <c r="M348" i="2"/>
  <c r="L348" i="2"/>
  <c r="K348" i="2"/>
  <c r="N347" i="2"/>
  <c r="M347" i="2"/>
  <c r="L347" i="2"/>
  <c r="K347" i="2"/>
  <c r="N346" i="2"/>
  <c r="M346" i="2"/>
  <c r="L346" i="2"/>
  <c r="K346" i="2"/>
  <c r="N345" i="2"/>
  <c r="M345" i="2"/>
  <c r="L345" i="2"/>
  <c r="K345" i="2"/>
  <c r="N344" i="2"/>
  <c r="M344" i="2"/>
  <c r="L344" i="2"/>
  <c r="K344" i="2"/>
  <c r="N343" i="2"/>
  <c r="M343" i="2"/>
  <c r="L343" i="2"/>
  <c r="K343" i="2"/>
  <c r="N342" i="2"/>
  <c r="M342" i="2"/>
  <c r="L342" i="2"/>
  <c r="K342" i="2"/>
  <c r="N341" i="2"/>
  <c r="M341" i="2"/>
  <c r="L341" i="2"/>
  <c r="K341" i="2"/>
  <c r="N340" i="2"/>
  <c r="M340" i="2"/>
  <c r="L340" i="2"/>
  <c r="K340" i="2"/>
  <c r="N339" i="2"/>
  <c r="M339" i="2"/>
  <c r="L339" i="2"/>
  <c r="K339" i="2"/>
  <c r="N338" i="2"/>
  <c r="M338" i="2"/>
  <c r="L338" i="2"/>
  <c r="K338" i="2"/>
  <c r="N337" i="2"/>
  <c r="M337" i="2"/>
  <c r="L337" i="2"/>
  <c r="K337" i="2"/>
  <c r="N336" i="2"/>
  <c r="M336" i="2"/>
  <c r="L336" i="2"/>
  <c r="K336" i="2"/>
  <c r="N335" i="2"/>
  <c r="M335" i="2"/>
  <c r="L335" i="2"/>
  <c r="K335" i="2"/>
  <c r="N334" i="2"/>
  <c r="M334" i="2"/>
  <c r="L334" i="2"/>
  <c r="K334" i="2"/>
  <c r="N333" i="2"/>
  <c r="M333" i="2"/>
  <c r="L333" i="2"/>
  <c r="K333" i="2"/>
  <c r="N332" i="2"/>
  <c r="M332" i="2"/>
  <c r="L332" i="2"/>
  <c r="K332" i="2"/>
  <c r="N331" i="2"/>
  <c r="M331" i="2"/>
  <c r="L331" i="2"/>
  <c r="K331" i="2"/>
  <c r="N330" i="2"/>
  <c r="M330" i="2"/>
  <c r="L330" i="2"/>
  <c r="K330" i="2"/>
  <c r="N329" i="2"/>
  <c r="M329" i="2"/>
  <c r="L329" i="2"/>
  <c r="K329" i="2"/>
  <c r="N328" i="2"/>
  <c r="M328" i="2"/>
  <c r="L328" i="2"/>
  <c r="K328" i="2"/>
  <c r="N327" i="2"/>
  <c r="M327" i="2"/>
  <c r="L327" i="2"/>
  <c r="K327" i="2"/>
  <c r="N326" i="2"/>
  <c r="M326" i="2"/>
  <c r="L326" i="2"/>
  <c r="K326" i="2"/>
  <c r="N325" i="2"/>
  <c r="M325" i="2"/>
  <c r="L325" i="2"/>
  <c r="K325" i="2"/>
  <c r="N324" i="2"/>
  <c r="M324" i="2"/>
  <c r="L324" i="2"/>
  <c r="K324" i="2"/>
  <c r="N323" i="2"/>
  <c r="M323" i="2"/>
  <c r="L323" i="2"/>
  <c r="K323" i="2"/>
  <c r="N322" i="2"/>
  <c r="M322" i="2"/>
  <c r="L322" i="2"/>
  <c r="K322" i="2"/>
  <c r="N321" i="2"/>
  <c r="M321" i="2"/>
  <c r="L321" i="2"/>
  <c r="K321" i="2"/>
  <c r="N320" i="2"/>
  <c r="M320" i="2"/>
  <c r="L320" i="2"/>
  <c r="K320" i="2"/>
  <c r="N319" i="2"/>
  <c r="M319" i="2"/>
  <c r="L319" i="2"/>
  <c r="K319" i="2"/>
  <c r="N318" i="2"/>
  <c r="M318" i="2"/>
  <c r="L318" i="2"/>
  <c r="K318" i="2"/>
  <c r="N317" i="2"/>
  <c r="M317" i="2"/>
  <c r="L317" i="2"/>
  <c r="K317" i="2"/>
  <c r="N316" i="2"/>
  <c r="M316" i="2"/>
  <c r="L316" i="2"/>
  <c r="K316" i="2"/>
  <c r="N315" i="2"/>
  <c r="M315" i="2"/>
  <c r="L315" i="2"/>
  <c r="K315" i="2"/>
  <c r="N314" i="2"/>
  <c r="M314" i="2"/>
  <c r="L314" i="2"/>
  <c r="K314" i="2"/>
  <c r="N313" i="2"/>
  <c r="M313" i="2"/>
  <c r="L313" i="2"/>
  <c r="K313" i="2"/>
  <c r="N312" i="2"/>
  <c r="M312" i="2"/>
  <c r="L312" i="2"/>
  <c r="K312" i="2"/>
  <c r="N311" i="2"/>
  <c r="M311" i="2"/>
  <c r="L311" i="2"/>
  <c r="K311" i="2"/>
  <c r="N310" i="2"/>
  <c r="M310" i="2"/>
  <c r="L310" i="2"/>
  <c r="K310" i="2"/>
  <c r="N309" i="2"/>
  <c r="M309" i="2"/>
  <c r="L309" i="2"/>
  <c r="K309" i="2"/>
  <c r="N308" i="2"/>
  <c r="M308" i="2"/>
  <c r="L308" i="2"/>
  <c r="K308" i="2"/>
  <c r="N307" i="2"/>
  <c r="M307" i="2"/>
  <c r="L307" i="2"/>
  <c r="K307" i="2"/>
  <c r="N306" i="2"/>
  <c r="M306" i="2"/>
  <c r="L306" i="2"/>
  <c r="K306" i="2"/>
  <c r="N305" i="2"/>
  <c r="M305" i="2"/>
  <c r="L305" i="2"/>
  <c r="K305" i="2"/>
  <c r="N304" i="2"/>
  <c r="M304" i="2"/>
  <c r="L304" i="2"/>
  <c r="K304" i="2"/>
  <c r="N303" i="2"/>
  <c r="M303" i="2"/>
  <c r="L303" i="2"/>
  <c r="K303" i="2"/>
  <c r="N302" i="2"/>
  <c r="M302" i="2"/>
  <c r="L302" i="2"/>
  <c r="K302" i="2"/>
  <c r="N301" i="2"/>
  <c r="M301" i="2"/>
  <c r="L301" i="2"/>
  <c r="K301" i="2"/>
  <c r="N300" i="2"/>
  <c r="M300" i="2"/>
  <c r="L300" i="2"/>
  <c r="K300" i="2"/>
  <c r="N299" i="2"/>
  <c r="M299" i="2"/>
  <c r="L299" i="2"/>
  <c r="K299" i="2"/>
  <c r="N298" i="2"/>
  <c r="M298" i="2"/>
  <c r="L298" i="2"/>
  <c r="K298" i="2"/>
  <c r="N297" i="2"/>
  <c r="M297" i="2"/>
  <c r="L297" i="2"/>
  <c r="K297" i="2"/>
  <c r="N296" i="2"/>
  <c r="M296" i="2"/>
  <c r="L296" i="2"/>
  <c r="K296" i="2"/>
  <c r="N295" i="2"/>
  <c r="M295" i="2"/>
  <c r="L295" i="2"/>
  <c r="K295" i="2"/>
  <c r="N294" i="2"/>
  <c r="M294" i="2"/>
  <c r="L294" i="2"/>
  <c r="K294" i="2"/>
  <c r="N293" i="2"/>
  <c r="M293" i="2"/>
  <c r="L293" i="2"/>
  <c r="K293" i="2"/>
  <c r="N292" i="2"/>
  <c r="M292" i="2"/>
  <c r="L292" i="2"/>
  <c r="K292" i="2"/>
  <c r="N291" i="2"/>
  <c r="M291" i="2"/>
  <c r="L291" i="2"/>
  <c r="K291" i="2"/>
  <c r="N290" i="2"/>
  <c r="M290" i="2"/>
  <c r="L290" i="2"/>
  <c r="K290" i="2"/>
  <c r="N289" i="2"/>
  <c r="M289" i="2"/>
  <c r="L289" i="2"/>
  <c r="K289" i="2"/>
  <c r="N288" i="2"/>
  <c r="M288" i="2"/>
  <c r="L288" i="2"/>
  <c r="K288" i="2"/>
  <c r="N287" i="2"/>
  <c r="M287" i="2"/>
  <c r="L287" i="2"/>
  <c r="K287" i="2"/>
  <c r="N286" i="2"/>
  <c r="M286" i="2"/>
  <c r="L286" i="2"/>
  <c r="K286" i="2"/>
  <c r="N285" i="2"/>
  <c r="M285" i="2"/>
  <c r="L285" i="2"/>
  <c r="K285" i="2"/>
  <c r="N284" i="2"/>
  <c r="M284" i="2"/>
  <c r="L284" i="2"/>
  <c r="K284" i="2"/>
  <c r="N283" i="2"/>
  <c r="M283" i="2"/>
  <c r="L283" i="2"/>
  <c r="K283" i="2"/>
  <c r="N282" i="2"/>
  <c r="M282" i="2"/>
  <c r="L282" i="2"/>
  <c r="K282" i="2"/>
  <c r="N281" i="2"/>
  <c r="M281" i="2"/>
  <c r="L281" i="2"/>
  <c r="K281" i="2"/>
  <c r="N280" i="2"/>
  <c r="M280" i="2"/>
  <c r="L280" i="2"/>
  <c r="K280" i="2"/>
  <c r="N279" i="2"/>
  <c r="M279" i="2"/>
  <c r="L279" i="2"/>
  <c r="K279" i="2"/>
  <c r="N278" i="2"/>
  <c r="M278" i="2"/>
  <c r="L278" i="2"/>
  <c r="K278" i="2"/>
  <c r="N277" i="2"/>
  <c r="M277" i="2"/>
  <c r="L277" i="2"/>
  <c r="K277" i="2"/>
  <c r="N276" i="2"/>
  <c r="M276" i="2"/>
  <c r="L276" i="2"/>
  <c r="K276" i="2"/>
  <c r="N275" i="2"/>
  <c r="M275" i="2"/>
  <c r="L275" i="2"/>
  <c r="K275" i="2"/>
  <c r="N274" i="2"/>
  <c r="M274" i="2"/>
  <c r="L274" i="2"/>
  <c r="K274" i="2"/>
  <c r="N273" i="2"/>
  <c r="M273" i="2"/>
  <c r="L273" i="2"/>
  <c r="K273" i="2"/>
  <c r="N272" i="2"/>
  <c r="M272" i="2"/>
  <c r="L272" i="2"/>
  <c r="K272" i="2"/>
  <c r="N271" i="2"/>
  <c r="M271" i="2"/>
  <c r="L271" i="2"/>
  <c r="K271" i="2"/>
  <c r="N270" i="2"/>
  <c r="M270" i="2"/>
  <c r="L270" i="2"/>
  <c r="K270" i="2"/>
  <c r="N269" i="2"/>
  <c r="M269" i="2"/>
  <c r="L269" i="2"/>
  <c r="K269" i="2"/>
  <c r="N268" i="2"/>
  <c r="M268" i="2"/>
  <c r="L268" i="2"/>
  <c r="K268" i="2"/>
  <c r="N267" i="2"/>
  <c r="M267" i="2"/>
  <c r="L267" i="2"/>
  <c r="K267" i="2"/>
  <c r="N266" i="2"/>
  <c r="M266" i="2"/>
  <c r="L266" i="2"/>
  <c r="K266" i="2"/>
  <c r="N265" i="2"/>
  <c r="M265" i="2"/>
  <c r="L265" i="2"/>
  <c r="K265" i="2"/>
  <c r="N264" i="2"/>
  <c r="M264" i="2"/>
  <c r="L264" i="2"/>
  <c r="K264" i="2"/>
  <c r="N263" i="2"/>
  <c r="M263" i="2"/>
  <c r="L263" i="2"/>
  <c r="K263" i="2"/>
  <c r="N262" i="2"/>
  <c r="M262" i="2"/>
  <c r="L262" i="2"/>
  <c r="K262" i="2"/>
  <c r="N261" i="2"/>
  <c r="M261" i="2"/>
  <c r="L261" i="2"/>
  <c r="K261" i="2"/>
  <c r="N260" i="2"/>
  <c r="M260" i="2"/>
  <c r="L260" i="2"/>
  <c r="K260" i="2"/>
  <c r="N259" i="2"/>
  <c r="M259" i="2"/>
  <c r="L259" i="2"/>
  <c r="K259" i="2"/>
  <c r="N258" i="2"/>
  <c r="M258" i="2"/>
  <c r="L258" i="2"/>
  <c r="K258" i="2"/>
  <c r="N257" i="2"/>
  <c r="M257" i="2"/>
  <c r="L257" i="2"/>
  <c r="K257" i="2"/>
  <c r="N256" i="2"/>
  <c r="M256" i="2"/>
  <c r="L256" i="2"/>
  <c r="K256" i="2"/>
  <c r="N255" i="2"/>
  <c r="M255" i="2"/>
  <c r="L255" i="2"/>
  <c r="K255" i="2"/>
  <c r="N254" i="2"/>
  <c r="M254" i="2"/>
  <c r="L254" i="2"/>
  <c r="K254" i="2"/>
  <c r="N253" i="2"/>
  <c r="M253" i="2"/>
  <c r="L253" i="2"/>
  <c r="K253" i="2"/>
  <c r="N252" i="2"/>
  <c r="M252" i="2"/>
  <c r="L252" i="2"/>
  <c r="K252" i="2"/>
  <c r="N251" i="2"/>
  <c r="M251" i="2"/>
  <c r="L251" i="2"/>
  <c r="K251" i="2"/>
  <c r="N250" i="2"/>
  <c r="M250" i="2"/>
  <c r="L250" i="2"/>
  <c r="K250" i="2"/>
  <c r="N249" i="2"/>
  <c r="M249" i="2"/>
  <c r="L249" i="2"/>
  <c r="K249" i="2"/>
  <c r="N248" i="2"/>
  <c r="M248" i="2"/>
  <c r="L248" i="2"/>
  <c r="K248" i="2"/>
  <c r="N247" i="2"/>
  <c r="M247" i="2"/>
  <c r="L247" i="2"/>
  <c r="K247" i="2"/>
  <c r="N246" i="2"/>
  <c r="M246" i="2"/>
  <c r="L246" i="2"/>
  <c r="K246" i="2"/>
  <c r="N245" i="2"/>
  <c r="M245" i="2"/>
  <c r="L245" i="2"/>
  <c r="K245" i="2"/>
  <c r="N244" i="2"/>
  <c r="M244" i="2"/>
  <c r="L244" i="2"/>
  <c r="K244" i="2"/>
  <c r="N243" i="2"/>
  <c r="M243" i="2"/>
  <c r="L243" i="2"/>
  <c r="K243" i="2"/>
  <c r="N242" i="2"/>
  <c r="M242" i="2"/>
  <c r="L242" i="2"/>
  <c r="K242" i="2"/>
  <c r="N241" i="2"/>
  <c r="M241" i="2"/>
  <c r="L241" i="2"/>
  <c r="K241" i="2"/>
  <c r="N240" i="2"/>
  <c r="M240" i="2"/>
  <c r="L240" i="2"/>
  <c r="K240" i="2"/>
  <c r="N239" i="2"/>
  <c r="M239" i="2"/>
  <c r="L239" i="2"/>
  <c r="K239" i="2"/>
  <c r="N238" i="2"/>
  <c r="M238" i="2"/>
  <c r="L238" i="2"/>
  <c r="K238" i="2"/>
  <c r="N237" i="2"/>
  <c r="M237" i="2"/>
  <c r="L237" i="2"/>
  <c r="K237" i="2"/>
  <c r="N236" i="2"/>
  <c r="M236" i="2"/>
  <c r="L236" i="2"/>
  <c r="K236" i="2"/>
  <c r="N235" i="2"/>
  <c r="M235" i="2"/>
  <c r="L235" i="2"/>
  <c r="K235" i="2"/>
  <c r="N234" i="2"/>
  <c r="M234" i="2"/>
  <c r="L234" i="2"/>
  <c r="K234" i="2"/>
  <c r="N233" i="2"/>
  <c r="M233" i="2"/>
  <c r="L233" i="2"/>
  <c r="K233" i="2"/>
  <c r="N232" i="2"/>
  <c r="M232" i="2"/>
  <c r="L232" i="2"/>
  <c r="K232" i="2"/>
  <c r="N231" i="2"/>
  <c r="M231" i="2"/>
  <c r="L231" i="2"/>
  <c r="K231" i="2"/>
  <c r="N230" i="2"/>
  <c r="M230" i="2"/>
  <c r="L230" i="2"/>
  <c r="K230" i="2"/>
  <c r="N229" i="2"/>
  <c r="M229" i="2"/>
  <c r="L229" i="2"/>
  <c r="K229" i="2"/>
  <c r="N228" i="2"/>
  <c r="M228" i="2"/>
  <c r="L228" i="2"/>
  <c r="K228" i="2"/>
  <c r="N227" i="2"/>
  <c r="M227" i="2"/>
  <c r="L227" i="2"/>
  <c r="K227" i="2"/>
  <c r="N226" i="2"/>
  <c r="M226" i="2"/>
  <c r="L226" i="2"/>
  <c r="K226" i="2"/>
  <c r="N225" i="2"/>
  <c r="M225" i="2"/>
  <c r="L225" i="2"/>
  <c r="K225" i="2"/>
  <c r="N224" i="2"/>
  <c r="M224" i="2"/>
  <c r="L224" i="2"/>
  <c r="K224" i="2"/>
  <c r="N223" i="2"/>
  <c r="M223" i="2"/>
  <c r="L223" i="2"/>
  <c r="K223" i="2"/>
  <c r="N222" i="2"/>
  <c r="M222" i="2"/>
  <c r="L222" i="2"/>
  <c r="K222" i="2"/>
  <c r="N221" i="2"/>
  <c r="M221" i="2"/>
  <c r="L221" i="2"/>
  <c r="K221" i="2"/>
  <c r="N220" i="2"/>
  <c r="M220" i="2"/>
  <c r="L220" i="2"/>
  <c r="K220" i="2"/>
  <c r="N219" i="2"/>
  <c r="M219" i="2"/>
  <c r="L219" i="2"/>
  <c r="K219" i="2"/>
  <c r="N218" i="2"/>
  <c r="M218" i="2"/>
  <c r="L218" i="2"/>
  <c r="K218" i="2"/>
  <c r="N217" i="2"/>
  <c r="M217" i="2"/>
  <c r="L217" i="2"/>
  <c r="K217" i="2"/>
  <c r="N216" i="2"/>
  <c r="M216" i="2"/>
  <c r="L216" i="2"/>
  <c r="K216" i="2"/>
  <c r="N215" i="2"/>
  <c r="M215" i="2"/>
  <c r="L215" i="2"/>
  <c r="K215" i="2"/>
  <c r="N214" i="2"/>
  <c r="M214" i="2"/>
  <c r="L214" i="2"/>
  <c r="K214" i="2"/>
  <c r="N213" i="2"/>
  <c r="M213" i="2"/>
  <c r="L213" i="2"/>
  <c r="K213" i="2"/>
  <c r="N212" i="2"/>
  <c r="M212" i="2"/>
  <c r="L212" i="2"/>
  <c r="K212" i="2"/>
  <c r="N211" i="2"/>
  <c r="M211" i="2"/>
  <c r="L211" i="2"/>
  <c r="K211" i="2"/>
  <c r="N210" i="2"/>
  <c r="M210" i="2"/>
  <c r="L210" i="2"/>
  <c r="K210" i="2"/>
  <c r="N209" i="2"/>
  <c r="M209" i="2"/>
  <c r="L209" i="2"/>
  <c r="K209" i="2"/>
  <c r="N208" i="2"/>
  <c r="M208" i="2"/>
  <c r="L208" i="2"/>
  <c r="K208" i="2"/>
  <c r="N207" i="2"/>
  <c r="M207" i="2"/>
  <c r="L207" i="2"/>
  <c r="K207" i="2"/>
  <c r="N206" i="2"/>
  <c r="M206" i="2"/>
  <c r="L206" i="2"/>
  <c r="K206" i="2"/>
  <c r="N205" i="2"/>
  <c r="M205" i="2"/>
  <c r="L205" i="2"/>
  <c r="K205" i="2"/>
  <c r="N204" i="2"/>
  <c r="M204" i="2"/>
  <c r="L204" i="2"/>
  <c r="K204" i="2"/>
  <c r="N203" i="2"/>
  <c r="M203" i="2"/>
  <c r="L203" i="2"/>
  <c r="K203" i="2"/>
  <c r="N202" i="2"/>
  <c r="M202" i="2"/>
  <c r="L202" i="2"/>
  <c r="K202" i="2"/>
  <c r="N201" i="2"/>
  <c r="M201" i="2"/>
  <c r="L201" i="2"/>
  <c r="K201" i="2"/>
  <c r="N200" i="2"/>
  <c r="M200" i="2"/>
  <c r="L200" i="2"/>
  <c r="K200" i="2"/>
  <c r="N199" i="2"/>
  <c r="M199" i="2"/>
  <c r="L199" i="2"/>
  <c r="K199" i="2"/>
  <c r="N198" i="2"/>
  <c r="M198" i="2"/>
  <c r="L198" i="2"/>
  <c r="K198" i="2"/>
  <c r="N197" i="2"/>
  <c r="M197" i="2"/>
  <c r="L197" i="2"/>
  <c r="K197" i="2"/>
  <c r="N196" i="2"/>
  <c r="M196" i="2"/>
  <c r="L196" i="2"/>
  <c r="K196" i="2"/>
  <c r="N195" i="2"/>
  <c r="M195" i="2"/>
  <c r="L195" i="2"/>
  <c r="K195" i="2"/>
  <c r="N194" i="2"/>
  <c r="M194" i="2"/>
  <c r="L194" i="2"/>
  <c r="K194" i="2"/>
  <c r="N193" i="2"/>
  <c r="M193" i="2"/>
  <c r="L193" i="2"/>
  <c r="K193" i="2"/>
  <c r="N192" i="2"/>
  <c r="M192" i="2"/>
  <c r="L192" i="2"/>
  <c r="K192" i="2"/>
  <c r="N191" i="2"/>
  <c r="M191" i="2"/>
  <c r="L191" i="2"/>
  <c r="K191" i="2"/>
  <c r="N190" i="2"/>
  <c r="M190" i="2"/>
  <c r="L190" i="2"/>
  <c r="K190" i="2"/>
  <c r="N189" i="2"/>
  <c r="M189" i="2"/>
  <c r="L189" i="2"/>
  <c r="K189" i="2"/>
  <c r="N188" i="2"/>
  <c r="M188" i="2"/>
  <c r="L188" i="2"/>
  <c r="K188" i="2"/>
  <c r="N187" i="2"/>
  <c r="M187" i="2"/>
  <c r="L187" i="2"/>
  <c r="K187" i="2"/>
  <c r="N186" i="2"/>
  <c r="M186" i="2"/>
  <c r="L186" i="2"/>
  <c r="K186" i="2"/>
  <c r="N185" i="2"/>
  <c r="M185" i="2"/>
  <c r="L185" i="2"/>
  <c r="K185" i="2"/>
  <c r="N184" i="2"/>
  <c r="M184" i="2"/>
  <c r="L184" i="2"/>
  <c r="K184" i="2"/>
  <c r="N183" i="2"/>
  <c r="M183" i="2"/>
  <c r="L183" i="2"/>
  <c r="K183" i="2"/>
  <c r="N182" i="2"/>
  <c r="M182" i="2"/>
  <c r="L182" i="2"/>
  <c r="K182" i="2"/>
  <c r="N181" i="2"/>
  <c r="M181" i="2"/>
  <c r="L181" i="2"/>
  <c r="K181" i="2"/>
  <c r="N180" i="2"/>
  <c r="M180" i="2"/>
  <c r="L180" i="2"/>
  <c r="K180" i="2"/>
  <c r="N179" i="2"/>
  <c r="M179" i="2"/>
  <c r="L179" i="2"/>
  <c r="K179" i="2"/>
  <c r="N178" i="2"/>
  <c r="M178" i="2"/>
  <c r="L178" i="2"/>
  <c r="K178" i="2"/>
  <c r="N177" i="2"/>
  <c r="M177" i="2"/>
  <c r="L177" i="2"/>
  <c r="K177" i="2"/>
  <c r="N176" i="2"/>
  <c r="M176" i="2"/>
  <c r="L176" i="2"/>
  <c r="K176" i="2"/>
  <c r="N175" i="2"/>
  <c r="M175" i="2"/>
  <c r="L175" i="2"/>
  <c r="K175" i="2"/>
  <c r="N174" i="2"/>
  <c r="M174" i="2"/>
  <c r="L174" i="2"/>
  <c r="K174" i="2"/>
  <c r="N173" i="2"/>
  <c r="M173" i="2"/>
  <c r="L173" i="2"/>
  <c r="K173" i="2"/>
  <c r="N172" i="2"/>
  <c r="M172" i="2"/>
  <c r="L172" i="2"/>
  <c r="K172" i="2"/>
  <c r="N171" i="2"/>
  <c r="M171" i="2"/>
  <c r="L171" i="2"/>
  <c r="K171" i="2"/>
  <c r="N170" i="2"/>
  <c r="M170" i="2"/>
  <c r="L170" i="2"/>
  <c r="K170" i="2"/>
  <c r="N169" i="2"/>
  <c r="M169" i="2"/>
  <c r="L169" i="2"/>
  <c r="K169" i="2"/>
  <c r="N168" i="2"/>
  <c r="M168" i="2"/>
  <c r="L168" i="2"/>
  <c r="K168" i="2"/>
  <c r="N167" i="2"/>
  <c r="M167" i="2"/>
  <c r="L167" i="2"/>
  <c r="K167" i="2"/>
  <c r="N166" i="2"/>
  <c r="M166" i="2"/>
  <c r="L166" i="2"/>
  <c r="K166" i="2"/>
  <c r="N165" i="2"/>
  <c r="M165" i="2"/>
  <c r="L165" i="2"/>
  <c r="K165" i="2"/>
  <c r="N164" i="2"/>
  <c r="M164" i="2"/>
  <c r="L164" i="2"/>
  <c r="K164" i="2"/>
  <c r="N163" i="2"/>
  <c r="M163" i="2"/>
  <c r="L163" i="2"/>
  <c r="K163" i="2"/>
  <c r="N162" i="2"/>
  <c r="M162" i="2"/>
  <c r="L162" i="2"/>
  <c r="K162" i="2"/>
  <c r="N161" i="2"/>
  <c r="M161" i="2"/>
  <c r="L161" i="2"/>
  <c r="K161" i="2"/>
  <c r="N160" i="2"/>
  <c r="M160" i="2"/>
  <c r="L160" i="2"/>
  <c r="K160" i="2"/>
  <c r="N159" i="2"/>
  <c r="M159" i="2"/>
  <c r="L159" i="2"/>
  <c r="K159" i="2"/>
  <c r="N158" i="2"/>
  <c r="M158" i="2"/>
  <c r="L158" i="2"/>
  <c r="K158" i="2"/>
  <c r="N157" i="2"/>
  <c r="M157" i="2"/>
  <c r="L157" i="2"/>
  <c r="K157" i="2"/>
  <c r="N156" i="2"/>
  <c r="M156" i="2"/>
  <c r="L156" i="2"/>
  <c r="K156" i="2"/>
  <c r="N155" i="2"/>
  <c r="M155" i="2"/>
  <c r="L155" i="2"/>
  <c r="K155" i="2"/>
  <c r="N154" i="2"/>
  <c r="M154" i="2"/>
  <c r="L154" i="2"/>
  <c r="K154" i="2"/>
  <c r="N153" i="2"/>
  <c r="M153" i="2"/>
  <c r="L153" i="2"/>
  <c r="K153" i="2"/>
  <c r="N152" i="2"/>
  <c r="M152" i="2"/>
  <c r="L152" i="2"/>
  <c r="K152" i="2"/>
  <c r="N151" i="2"/>
  <c r="M151" i="2"/>
  <c r="L151" i="2"/>
  <c r="K151" i="2"/>
  <c r="N150" i="2"/>
  <c r="M150" i="2"/>
  <c r="L150" i="2"/>
  <c r="K150" i="2"/>
  <c r="N149" i="2"/>
  <c r="M149" i="2"/>
  <c r="L149" i="2"/>
  <c r="K149" i="2"/>
  <c r="N148" i="2"/>
  <c r="M148" i="2"/>
  <c r="L148" i="2"/>
  <c r="K148" i="2"/>
  <c r="N147" i="2"/>
  <c r="M147" i="2"/>
  <c r="L147" i="2"/>
  <c r="K147" i="2"/>
  <c r="N146" i="2"/>
  <c r="M146" i="2"/>
  <c r="L146" i="2"/>
  <c r="K146" i="2"/>
  <c r="N145" i="2"/>
  <c r="M145" i="2"/>
  <c r="L145" i="2"/>
  <c r="K145" i="2"/>
  <c r="N144" i="2"/>
  <c r="M144" i="2"/>
  <c r="L144" i="2"/>
  <c r="K144" i="2"/>
  <c r="N143" i="2"/>
  <c r="M143" i="2"/>
  <c r="L143" i="2"/>
  <c r="K143" i="2"/>
  <c r="N142" i="2"/>
  <c r="M142" i="2"/>
  <c r="L142" i="2"/>
  <c r="K142" i="2"/>
  <c r="N141" i="2"/>
  <c r="M141" i="2"/>
  <c r="L141" i="2"/>
  <c r="K141" i="2"/>
  <c r="N140" i="2"/>
  <c r="M140" i="2"/>
  <c r="L140" i="2"/>
  <c r="K140" i="2"/>
  <c r="N139" i="2"/>
  <c r="M139" i="2"/>
  <c r="L139" i="2"/>
  <c r="K139" i="2"/>
  <c r="N138" i="2"/>
  <c r="M138" i="2"/>
  <c r="L138" i="2"/>
  <c r="K138" i="2"/>
  <c r="N137" i="2"/>
  <c r="M137" i="2"/>
  <c r="L137" i="2"/>
  <c r="K137" i="2"/>
  <c r="N136" i="2"/>
  <c r="M136" i="2"/>
  <c r="L136" i="2"/>
  <c r="K136" i="2"/>
  <c r="N135" i="2"/>
  <c r="M135" i="2"/>
  <c r="L135" i="2"/>
  <c r="K135" i="2"/>
  <c r="N134" i="2"/>
  <c r="M134" i="2"/>
  <c r="L134" i="2"/>
  <c r="K134" i="2"/>
  <c r="N133" i="2"/>
  <c r="M133" i="2"/>
  <c r="L133" i="2"/>
  <c r="K133" i="2"/>
  <c r="N132" i="2"/>
  <c r="M132" i="2"/>
  <c r="L132" i="2"/>
  <c r="K132" i="2"/>
  <c r="N131" i="2"/>
  <c r="M131" i="2"/>
  <c r="L131" i="2"/>
  <c r="K131" i="2"/>
  <c r="N130" i="2"/>
  <c r="M130" i="2"/>
  <c r="L130" i="2"/>
  <c r="K130" i="2"/>
  <c r="N129" i="2"/>
  <c r="M129" i="2"/>
  <c r="L129" i="2"/>
  <c r="K129" i="2"/>
  <c r="N128" i="2"/>
  <c r="M128" i="2"/>
  <c r="L128" i="2"/>
  <c r="K128" i="2"/>
  <c r="N127" i="2"/>
  <c r="M127" i="2"/>
  <c r="L127" i="2"/>
  <c r="K127" i="2"/>
  <c r="N126" i="2"/>
  <c r="M126" i="2"/>
  <c r="L126" i="2"/>
  <c r="K126" i="2"/>
  <c r="N125" i="2"/>
  <c r="M125" i="2"/>
  <c r="L125" i="2"/>
  <c r="K125" i="2"/>
  <c r="N124" i="2"/>
  <c r="M124" i="2"/>
  <c r="L124" i="2"/>
  <c r="K124" i="2"/>
  <c r="N123" i="2"/>
  <c r="M123" i="2"/>
  <c r="L123" i="2"/>
  <c r="K123" i="2"/>
  <c r="N122" i="2"/>
  <c r="M122" i="2"/>
  <c r="L122" i="2"/>
  <c r="K122" i="2"/>
  <c r="N121" i="2"/>
  <c r="M121" i="2"/>
  <c r="L121" i="2"/>
  <c r="K121" i="2"/>
  <c r="N120" i="2"/>
  <c r="M120" i="2"/>
  <c r="L120" i="2"/>
  <c r="K120" i="2"/>
  <c r="N119" i="2"/>
  <c r="M119" i="2"/>
  <c r="L119" i="2"/>
  <c r="K119" i="2"/>
  <c r="N118" i="2"/>
  <c r="M118" i="2"/>
  <c r="L118" i="2"/>
  <c r="K118" i="2"/>
  <c r="N117" i="2"/>
  <c r="M117" i="2"/>
  <c r="L117" i="2"/>
  <c r="K117" i="2"/>
  <c r="N116" i="2"/>
  <c r="M116" i="2"/>
  <c r="L116" i="2"/>
  <c r="K116" i="2"/>
  <c r="N115" i="2"/>
  <c r="M115" i="2"/>
  <c r="L115" i="2"/>
  <c r="K115" i="2"/>
  <c r="N114" i="2"/>
  <c r="M114" i="2"/>
  <c r="L114" i="2"/>
  <c r="K114" i="2"/>
  <c r="N113" i="2"/>
  <c r="M113" i="2"/>
  <c r="L113" i="2"/>
  <c r="K113" i="2"/>
  <c r="N112" i="2"/>
  <c r="M112" i="2"/>
  <c r="L112" i="2"/>
  <c r="K112" i="2"/>
  <c r="N111" i="2"/>
  <c r="M111" i="2"/>
  <c r="L111" i="2"/>
  <c r="K111" i="2"/>
  <c r="N110" i="2"/>
  <c r="M110" i="2"/>
  <c r="L110" i="2"/>
  <c r="K110" i="2"/>
  <c r="N109" i="2"/>
  <c r="M109" i="2"/>
  <c r="L109" i="2"/>
  <c r="K109" i="2"/>
  <c r="N108" i="2"/>
  <c r="M108" i="2"/>
  <c r="L108" i="2"/>
  <c r="K108" i="2"/>
  <c r="N107" i="2"/>
  <c r="M107" i="2"/>
  <c r="L107" i="2"/>
  <c r="K107" i="2"/>
  <c r="N106" i="2"/>
  <c r="M106" i="2"/>
  <c r="L106" i="2"/>
  <c r="K106" i="2"/>
  <c r="N105" i="2"/>
  <c r="M105" i="2"/>
  <c r="L105" i="2"/>
  <c r="K105" i="2"/>
  <c r="N104" i="2"/>
  <c r="M104" i="2"/>
  <c r="L104" i="2"/>
  <c r="K104" i="2"/>
  <c r="N103" i="2"/>
  <c r="M103" i="2"/>
  <c r="L103" i="2"/>
  <c r="K103" i="2"/>
  <c r="N102" i="2"/>
  <c r="M102" i="2"/>
  <c r="L102" i="2"/>
  <c r="K102" i="2"/>
  <c r="N101" i="2"/>
  <c r="M101" i="2"/>
  <c r="L101" i="2"/>
  <c r="K101" i="2"/>
  <c r="N100" i="2"/>
  <c r="M100" i="2"/>
  <c r="L100" i="2"/>
  <c r="K100" i="2"/>
  <c r="N99" i="2"/>
  <c r="M99" i="2"/>
  <c r="L99" i="2"/>
  <c r="K99" i="2"/>
  <c r="N98" i="2"/>
  <c r="M98" i="2"/>
  <c r="L98" i="2"/>
  <c r="K98" i="2"/>
  <c r="N97" i="2"/>
  <c r="M97" i="2"/>
  <c r="L97" i="2"/>
  <c r="K97" i="2"/>
  <c r="N96" i="2"/>
  <c r="M96" i="2"/>
  <c r="L96" i="2"/>
  <c r="K96" i="2"/>
  <c r="N95" i="2"/>
  <c r="M95" i="2"/>
  <c r="L95" i="2"/>
  <c r="K95" i="2"/>
  <c r="N94" i="2"/>
  <c r="M94" i="2"/>
  <c r="L94" i="2"/>
  <c r="K94" i="2"/>
  <c r="N93" i="2"/>
  <c r="M93" i="2"/>
  <c r="L93" i="2"/>
  <c r="K93" i="2"/>
  <c r="N92" i="2"/>
  <c r="M92" i="2"/>
  <c r="L92" i="2"/>
  <c r="K92" i="2"/>
  <c r="N91" i="2"/>
  <c r="M91" i="2"/>
  <c r="L91" i="2"/>
  <c r="K91" i="2"/>
  <c r="N90" i="2"/>
  <c r="M90" i="2"/>
  <c r="L90" i="2"/>
  <c r="K90" i="2"/>
  <c r="N89" i="2"/>
  <c r="M89" i="2"/>
  <c r="L89" i="2"/>
  <c r="K89" i="2"/>
  <c r="N88" i="2"/>
  <c r="M88" i="2"/>
  <c r="L88" i="2"/>
  <c r="K88" i="2"/>
  <c r="N87" i="2"/>
  <c r="M87" i="2"/>
  <c r="L87" i="2"/>
  <c r="K87" i="2"/>
  <c r="N86" i="2"/>
  <c r="M86" i="2"/>
  <c r="L86" i="2"/>
  <c r="K86" i="2"/>
  <c r="N85" i="2"/>
  <c r="M85" i="2"/>
  <c r="L85" i="2"/>
  <c r="K85" i="2"/>
  <c r="N84" i="2"/>
  <c r="M84" i="2"/>
  <c r="L84" i="2"/>
  <c r="K84" i="2"/>
  <c r="N83" i="2"/>
  <c r="M83" i="2"/>
  <c r="L83" i="2"/>
  <c r="K83" i="2"/>
  <c r="N82" i="2"/>
  <c r="M82" i="2"/>
  <c r="L82" i="2"/>
  <c r="K82" i="2"/>
  <c r="N81" i="2"/>
  <c r="M81" i="2"/>
  <c r="L81" i="2"/>
  <c r="K81" i="2"/>
  <c r="N80" i="2"/>
  <c r="M80" i="2"/>
  <c r="L80" i="2"/>
  <c r="K80" i="2"/>
  <c r="N79" i="2"/>
  <c r="M79" i="2"/>
  <c r="L79" i="2"/>
  <c r="K79" i="2"/>
  <c r="N78" i="2"/>
  <c r="M78" i="2"/>
  <c r="L78" i="2"/>
  <c r="K78" i="2"/>
  <c r="N77" i="2"/>
  <c r="M77" i="2"/>
  <c r="L77" i="2"/>
  <c r="K77" i="2"/>
  <c r="N76" i="2"/>
  <c r="M76" i="2"/>
  <c r="L76" i="2"/>
  <c r="K76" i="2"/>
  <c r="N75" i="2"/>
  <c r="M75" i="2"/>
  <c r="L75" i="2"/>
  <c r="K75" i="2"/>
  <c r="N74" i="2"/>
  <c r="M74" i="2"/>
  <c r="L74" i="2"/>
  <c r="K74" i="2"/>
  <c r="N73" i="2"/>
  <c r="M73" i="2"/>
  <c r="L73" i="2"/>
  <c r="K73" i="2"/>
  <c r="N72" i="2"/>
  <c r="M72" i="2"/>
  <c r="L72" i="2"/>
  <c r="K72" i="2"/>
  <c r="N71" i="2"/>
  <c r="M71" i="2"/>
  <c r="L71" i="2"/>
  <c r="K71" i="2"/>
  <c r="N70" i="2"/>
  <c r="M70" i="2"/>
  <c r="L70" i="2"/>
  <c r="K70" i="2"/>
  <c r="N69" i="2"/>
  <c r="M69" i="2"/>
  <c r="L69" i="2"/>
  <c r="K69" i="2"/>
  <c r="N68" i="2"/>
  <c r="M68" i="2"/>
  <c r="L68" i="2"/>
  <c r="K68" i="2"/>
  <c r="N67" i="2"/>
  <c r="M67" i="2"/>
  <c r="L67" i="2"/>
  <c r="K67" i="2"/>
  <c r="N66" i="2"/>
  <c r="M66" i="2"/>
  <c r="L66" i="2"/>
  <c r="K66" i="2"/>
  <c r="N65" i="2"/>
  <c r="M65" i="2"/>
  <c r="L65" i="2"/>
  <c r="K65" i="2"/>
  <c r="N64" i="2"/>
  <c r="M64" i="2"/>
  <c r="L64" i="2"/>
  <c r="K64" i="2"/>
  <c r="N63" i="2"/>
  <c r="M63" i="2"/>
  <c r="L63" i="2"/>
  <c r="K63" i="2"/>
  <c r="N62" i="2"/>
  <c r="M62" i="2"/>
  <c r="L62" i="2"/>
  <c r="K62" i="2"/>
  <c r="N61" i="2"/>
  <c r="M61" i="2"/>
  <c r="L61" i="2"/>
  <c r="K61" i="2"/>
  <c r="N60" i="2"/>
  <c r="M60" i="2"/>
  <c r="L60" i="2"/>
  <c r="K60" i="2"/>
  <c r="N59" i="2"/>
  <c r="M59" i="2"/>
  <c r="L59" i="2"/>
  <c r="K59" i="2"/>
  <c r="N58" i="2"/>
  <c r="M58" i="2"/>
  <c r="L58" i="2"/>
  <c r="K58" i="2"/>
  <c r="N57" i="2"/>
  <c r="M57" i="2"/>
  <c r="L57" i="2"/>
  <c r="K57" i="2"/>
  <c r="N56" i="2"/>
  <c r="M56" i="2"/>
  <c r="L56" i="2"/>
  <c r="K56" i="2"/>
  <c r="N55" i="2"/>
  <c r="M55" i="2"/>
  <c r="L55" i="2"/>
  <c r="K55" i="2"/>
  <c r="N54" i="2"/>
  <c r="M54" i="2"/>
  <c r="L54" i="2"/>
  <c r="K54" i="2"/>
  <c r="N53" i="2"/>
  <c r="M53" i="2"/>
  <c r="L53" i="2"/>
  <c r="K53" i="2"/>
  <c r="N52" i="2"/>
  <c r="M52" i="2"/>
  <c r="L52" i="2"/>
  <c r="K52" i="2"/>
  <c r="N51" i="2"/>
  <c r="M51" i="2"/>
  <c r="L51" i="2"/>
  <c r="K51" i="2"/>
  <c r="N50" i="2"/>
  <c r="M50" i="2"/>
  <c r="L50" i="2"/>
  <c r="K50" i="2"/>
  <c r="N49" i="2"/>
  <c r="M49" i="2"/>
  <c r="L49" i="2"/>
  <c r="K49" i="2"/>
  <c r="N48" i="2"/>
  <c r="M48" i="2"/>
  <c r="L48" i="2"/>
  <c r="K48" i="2"/>
  <c r="N47" i="2"/>
  <c r="M47" i="2"/>
  <c r="L47" i="2"/>
  <c r="K47" i="2"/>
  <c r="N46" i="2"/>
  <c r="M46" i="2"/>
  <c r="L46" i="2"/>
  <c r="K46" i="2"/>
  <c r="N45" i="2"/>
  <c r="M45" i="2"/>
  <c r="L45" i="2"/>
  <c r="K45" i="2"/>
  <c r="N44" i="2"/>
  <c r="M44" i="2"/>
  <c r="L44" i="2"/>
  <c r="K44" i="2"/>
  <c r="N43" i="2"/>
  <c r="M43" i="2"/>
  <c r="L43" i="2"/>
  <c r="K43" i="2"/>
  <c r="N42" i="2"/>
  <c r="M42" i="2"/>
  <c r="L42" i="2"/>
  <c r="K42" i="2"/>
  <c r="N41" i="2"/>
  <c r="M41" i="2"/>
  <c r="L41" i="2"/>
  <c r="K41" i="2"/>
  <c r="N40" i="2"/>
  <c r="M40" i="2"/>
  <c r="L40" i="2"/>
  <c r="K40" i="2"/>
  <c r="N39" i="2"/>
  <c r="M39" i="2"/>
  <c r="L39" i="2"/>
  <c r="K39" i="2"/>
  <c r="N38" i="2"/>
  <c r="M38" i="2"/>
  <c r="L38" i="2"/>
  <c r="K38" i="2"/>
  <c r="N37" i="2"/>
  <c r="M37" i="2"/>
  <c r="L37" i="2"/>
  <c r="K37" i="2"/>
  <c r="N36" i="2"/>
  <c r="M36" i="2"/>
  <c r="L36" i="2"/>
  <c r="K36" i="2"/>
  <c r="N35" i="2"/>
  <c r="M35" i="2"/>
  <c r="L35" i="2"/>
  <c r="K35" i="2"/>
  <c r="N34" i="2"/>
  <c r="M34" i="2"/>
  <c r="L34" i="2"/>
  <c r="K34" i="2"/>
  <c r="N33" i="2"/>
  <c r="M33" i="2"/>
  <c r="L33" i="2"/>
  <c r="K33" i="2"/>
  <c r="N32" i="2"/>
  <c r="M32" i="2"/>
  <c r="L32" i="2"/>
  <c r="K32" i="2"/>
  <c r="N31" i="2"/>
  <c r="M31" i="2"/>
  <c r="L31" i="2"/>
  <c r="K31" i="2"/>
  <c r="N30" i="2"/>
  <c r="M30" i="2"/>
  <c r="L30" i="2"/>
  <c r="K30" i="2"/>
  <c r="N29" i="2"/>
  <c r="M29" i="2"/>
  <c r="L29" i="2"/>
  <c r="K29" i="2"/>
  <c r="N28" i="2"/>
  <c r="M28" i="2"/>
  <c r="L28" i="2"/>
  <c r="K28" i="2"/>
  <c r="N27" i="2"/>
  <c r="M27" i="2"/>
  <c r="L27" i="2"/>
  <c r="K27" i="2"/>
  <c r="N26" i="2"/>
  <c r="M26" i="2"/>
  <c r="L26" i="2"/>
  <c r="K26" i="2"/>
  <c r="N25" i="2"/>
  <c r="M25" i="2"/>
  <c r="L25" i="2"/>
  <c r="K25" i="2"/>
  <c r="N24" i="2"/>
  <c r="M24" i="2"/>
  <c r="L24" i="2"/>
  <c r="K24" i="2"/>
  <c r="N23" i="2"/>
  <c r="M23" i="2"/>
  <c r="L23" i="2"/>
  <c r="K23" i="2"/>
  <c r="N22" i="2"/>
  <c r="M22" i="2"/>
  <c r="L22" i="2"/>
  <c r="K22" i="2"/>
  <c r="N21" i="2"/>
  <c r="M21" i="2"/>
  <c r="L21" i="2"/>
  <c r="K21" i="2"/>
  <c r="N20" i="2"/>
  <c r="M20" i="2"/>
  <c r="L20" i="2"/>
  <c r="K20" i="2"/>
  <c r="N19" i="2"/>
  <c r="M19" i="2"/>
  <c r="L19" i="2"/>
  <c r="K19" i="2"/>
  <c r="N18" i="2"/>
  <c r="M18" i="2"/>
  <c r="L18" i="2"/>
  <c r="K18" i="2"/>
  <c r="N17" i="2"/>
  <c r="M17" i="2"/>
  <c r="L17" i="2"/>
  <c r="K17" i="2"/>
  <c r="N16" i="2"/>
  <c r="M16" i="2"/>
  <c r="L16" i="2"/>
  <c r="K16" i="2"/>
  <c r="N15" i="2"/>
  <c r="M15" i="2"/>
  <c r="L15" i="2"/>
  <c r="K15" i="2"/>
  <c r="N14" i="2"/>
  <c r="M14" i="2"/>
  <c r="L14" i="2"/>
  <c r="K14" i="2"/>
  <c r="N13" i="2"/>
  <c r="M13" i="2"/>
  <c r="L13" i="2"/>
  <c r="K13" i="2"/>
  <c r="N12" i="2"/>
  <c r="M12" i="2"/>
  <c r="L12" i="2"/>
  <c r="K12" i="2"/>
  <c r="N11" i="2"/>
  <c r="M11" i="2"/>
  <c r="L11" i="2"/>
  <c r="K11" i="2"/>
  <c r="N10" i="2"/>
  <c r="M10" i="2"/>
  <c r="L10" i="2"/>
  <c r="K10" i="2"/>
  <c r="N9" i="2"/>
  <c r="M9" i="2"/>
  <c r="L9" i="2"/>
  <c r="K9" i="2"/>
  <c r="N8" i="2"/>
  <c r="M8" i="2"/>
  <c r="L8" i="2"/>
  <c r="K8" i="2"/>
  <c r="N7" i="2"/>
  <c r="M7" i="2"/>
  <c r="L7" i="2"/>
  <c r="K7" i="2"/>
  <c r="N6" i="2"/>
  <c r="M6" i="2"/>
  <c r="L6" i="2"/>
  <c r="K6" i="2"/>
  <c r="N5" i="2"/>
  <c r="M5" i="2"/>
  <c r="L5" i="2"/>
  <c r="K5" i="2"/>
  <c r="N4" i="2"/>
  <c r="M4" i="2"/>
  <c r="L4" i="2"/>
  <c r="K4" i="2"/>
  <c r="N3" i="2"/>
  <c r="M3" i="2"/>
  <c r="L3" i="2"/>
  <c r="K3" i="2"/>
  <c r="N2" i="2"/>
  <c r="M2" i="2"/>
  <c r="L2" i="2"/>
  <c r="K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B34CED-A0DF-4663-897B-D88A587EF9E1}" keepAlive="1" name="Query - Raw_Data" description="Connection to the 'Raw_Data' query in the workbook." type="5" refreshedVersion="8" background="1" saveData="1">
    <dbPr connection="Provider=Microsoft.Mashup.OleDb.1;Data Source=$Workbook$;Location=Raw_Data;Extended Properties=&quot;&quot;" command="SELECT * FROM [Raw_Data]"/>
  </connection>
</connections>
</file>

<file path=xl/sharedStrings.xml><?xml version="1.0" encoding="utf-8"?>
<sst xmlns="http://schemas.openxmlformats.org/spreadsheetml/2006/main" count="10124" uniqueCount="1380">
  <si>
    <t>Product_ID</t>
  </si>
  <si>
    <t>Product_Name</t>
  </si>
  <si>
    <t>Category</t>
  </si>
  <si>
    <t>Warehouse</t>
  </si>
  <si>
    <t>Last_Sale_Date</t>
  </si>
  <si>
    <t>Opening_Stock</t>
  </si>
  <si>
    <t>Units_Sold</t>
  </si>
  <si>
    <t>Closing_Stock</t>
  </si>
  <si>
    <t>Unit_Cost</t>
  </si>
  <si>
    <t>Stock_Status</t>
  </si>
  <si>
    <t>P545</t>
  </si>
  <si>
    <t>Basmati Rice Pro</t>
  </si>
  <si>
    <t>Groceries</t>
  </si>
  <si>
    <t>Coimbatore</t>
  </si>
  <si>
    <t>In Stock</t>
  </si>
  <si>
    <t>P516</t>
  </si>
  <si>
    <t>Biscuits Std</t>
  </si>
  <si>
    <t>Low Stock</t>
  </si>
  <si>
    <t>P194</t>
  </si>
  <si>
    <t>Bluetooth Speaker Pro</t>
  </si>
  <si>
    <t xml:space="preserve">Electronics </t>
  </si>
  <si>
    <t>Madurai</t>
  </si>
  <si>
    <t>P012</t>
  </si>
  <si>
    <t>Cotton T-Shirt Lite</t>
  </si>
  <si>
    <t>APPAREL</t>
  </si>
  <si>
    <t xml:space="preserve">  Chennai</t>
  </si>
  <si>
    <t>P280</t>
  </si>
  <si>
    <t>Bluetooth Speaker Std</t>
  </si>
  <si>
    <t>Electronics</t>
  </si>
  <si>
    <t>P654</t>
  </si>
  <si>
    <t>Colour Pencils Lite</t>
  </si>
  <si>
    <t>Stationery</t>
  </si>
  <si>
    <t>Pondicherry</t>
  </si>
  <si>
    <t>P644</t>
  </si>
  <si>
    <t>Denim Jeans Pro</t>
  </si>
  <si>
    <t>Apparel</t>
  </si>
  <si>
    <t>Chennai</t>
  </si>
  <si>
    <t>₹479</t>
  </si>
  <si>
    <t>P764</t>
  </si>
  <si>
    <t>USB Cable Lite</t>
  </si>
  <si>
    <t>P199</t>
  </si>
  <si>
    <t>Dinner Set Pro</t>
  </si>
  <si>
    <t>home &amp; kitchen</t>
  </si>
  <si>
    <t xml:space="preserve">Low Stock </t>
  </si>
  <si>
    <t>P722</t>
  </si>
  <si>
    <t>Cotton T-Shirt Std</t>
  </si>
  <si>
    <t>in stock</t>
  </si>
  <si>
    <t>P237</t>
  </si>
  <si>
    <t>Water Bottle Pro</t>
  </si>
  <si>
    <t>Home &amp; Kitchen</t>
  </si>
  <si>
    <t>P501</t>
  </si>
  <si>
    <t>Mixer Grinder Std</t>
  </si>
  <si>
    <t xml:space="preserve">Home &amp; Kitchen </t>
  </si>
  <si>
    <t>P568</t>
  </si>
  <si>
    <t>Colour Pencils Pro</t>
  </si>
  <si>
    <t>P412</t>
  </si>
  <si>
    <t>P874</t>
  </si>
  <si>
    <t>Bluetooth Speaker Lite</t>
  </si>
  <si>
    <t>N/A</t>
  </si>
  <si>
    <t>P907</t>
  </si>
  <si>
    <t>Power Bank Std</t>
  </si>
  <si>
    <t>P061</t>
  </si>
  <si>
    <t>Mixer Grinder Pro</t>
  </si>
  <si>
    <t>CHENNAI</t>
  </si>
  <si>
    <t>P354</t>
  </si>
  <si>
    <t>Dinner Set Std</t>
  </si>
  <si>
    <t>P930</t>
  </si>
  <si>
    <t>Colour Pencils Std</t>
  </si>
  <si>
    <t>LOW STOCK</t>
  </si>
  <si>
    <t>P337</t>
  </si>
  <si>
    <t>P818</t>
  </si>
  <si>
    <t>Socks Lite</t>
  </si>
  <si>
    <t>P284</t>
  </si>
  <si>
    <t>Pressure Cooker Pro</t>
  </si>
  <si>
    <t>HOME &amp; KITCHEN</t>
  </si>
  <si>
    <t>₹1,823</t>
  </si>
  <si>
    <t>P949</t>
  </si>
  <si>
    <t>P596</t>
  </si>
  <si>
    <t>Kurta Lite</t>
  </si>
  <si>
    <t>P738</t>
  </si>
  <si>
    <t>Toor Dal Lite</t>
  </si>
  <si>
    <t>₹2,983</t>
  </si>
  <si>
    <t>P948</t>
  </si>
  <si>
    <t>P004</t>
  </si>
  <si>
    <t>Earbuds Pro</t>
  </si>
  <si>
    <t xml:space="preserve">In Stock </t>
  </si>
  <si>
    <t>P757</t>
  </si>
  <si>
    <t>USB Cable Pro</t>
  </si>
  <si>
    <t>P574</t>
  </si>
  <si>
    <t>Pressure Cooker Lite</t>
  </si>
  <si>
    <t>P945</t>
  </si>
  <si>
    <t>₹2,917</t>
  </si>
  <si>
    <t>P753</t>
  </si>
  <si>
    <t>Sunflower Oil Lite</t>
  </si>
  <si>
    <t>P289</t>
  </si>
  <si>
    <t>School Bag Pro</t>
  </si>
  <si>
    <t>P160</t>
  </si>
  <si>
    <t>P612</t>
  </si>
  <si>
    <t>Tea Powder Lite</t>
  </si>
  <si>
    <t>₹2,687</t>
  </si>
  <si>
    <t>P348</t>
  </si>
  <si>
    <t>Sunflower Oil Std</t>
  </si>
  <si>
    <t>P848</t>
  </si>
  <si>
    <t>apparel</t>
  </si>
  <si>
    <t>P502</t>
  </si>
  <si>
    <t>Earbuds Std</t>
  </si>
  <si>
    <t>₹1,918</t>
  </si>
  <si>
    <t>P332</t>
  </si>
  <si>
    <t xml:space="preserve">  Earbuds Std</t>
  </si>
  <si>
    <t>₹428</t>
  </si>
  <si>
    <t>P820</t>
  </si>
  <si>
    <t>P362</t>
  </si>
  <si>
    <t>Socks Std</t>
  </si>
  <si>
    <t>P471</t>
  </si>
  <si>
    <t>P425</t>
  </si>
  <si>
    <t xml:space="preserve">  Pondicherry</t>
  </si>
  <si>
    <t>P865</t>
  </si>
  <si>
    <t>Smart Watch Pro</t>
  </si>
  <si>
    <t>pondicherry</t>
  </si>
  <si>
    <t>P683</t>
  </si>
  <si>
    <t xml:space="preserve">  Madurai</t>
  </si>
  <si>
    <t>P910</t>
  </si>
  <si>
    <t>BLUETOOTH SPEAKER PRO</t>
  </si>
  <si>
    <t>P073</t>
  </si>
  <si>
    <t>Earbuds Lite</t>
  </si>
  <si>
    <t>P814</t>
  </si>
  <si>
    <t>pressure cooker lite</t>
  </si>
  <si>
    <t>IN STOCK</t>
  </si>
  <si>
    <t>P059</t>
  </si>
  <si>
    <t>COTTON T-SHIRT STD</t>
  </si>
  <si>
    <t>P630</t>
  </si>
  <si>
    <t>Bedsheet Pro</t>
  </si>
  <si>
    <t>₹1,693</t>
  </si>
  <si>
    <t>P317</t>
  </si>
  <si>
    <t>School Bag Std</t>
  </si>
  <si>
    <t>P024</t>
  </si>
  <si>
    <t>Running Shoes Lite</t>
  </si>
  <si>
    <t>P795</t>
  </si>
  <si>
    <t>Notebook Std</t>
  </si>
  <si>
    <t>STATIONERY</t>
  </si>
  <si>
    <t>P287</t>
  </si>
  <si>
    <t>P213</t>
  </si>
  <si>
    <t>Bedsheet Std</t>
  </si>
  <si>
    <t>P760</t>
  </si>
  <si>
    <t>pressure cooker std</t>
  </si>
  <si>
    <t>P834</t>
  </si>
  <si>
    <t>Denim Jeans Lite</t>
  </si>
  <si>
    <t>₹785</t>
  </si>
  <si>
    <t>P853</t>
  </si>
  <si>
    <t>P531</t>
  </si>
  <si>
    <t>P566</t>
  </si>
  <si>
    <t>Running Shoes Pro</t>
  </si>
  <si>
    <t>P890</t>
  </si>
  <si>
    <t xml:space="preserve">  Coimbatore</t>
  </si>
  <si>
    <t>P034</t>
  </si>
  <si>
    <t>P448</t>
  </si>
  <si>
    <t>smart watch pro</t>
  </si>
  <si>
    <t>P556</t>
  </si>
  <si>
    <t>School Bag Lite</t>
  </si>
  <si>
    <t>P665</t>
  </si>
  <si>
    <t>P804</t>
  </si>
  <si>
    <t>Biscuits Lite</t>
  </si>
  <si>
    <t>P209</t>
  </si>
  <si>
    <t>P648</t>
  </si>
  <si>
    <t>Dinner Set Lite</t>
  </si>
  <si>
    <t>₹567</t>
  </si>
  <si>
    <t>P132</t>
  </si>
  <si>
    <t>BASMATI RICE PRO</t>
  </si>
  <si>
    <t>P527</t>
  </si>
  <si>
    <t>toor dal pro</t>
  </si>
  <si>
    <t>P842</t>
  </si>
  <si>
    <t>P445</t>
  </si>
  <si>
    <t>P815</t>
  </si>
  <si>
    <t xml:space="preserve">  Notebook Lite</t>
  </si>
  <si>
    <t>P594</t>
  </si>
  <si>
    <t>P439</t>
  </si>
  <si>
    <t>P623</t>
  </si>
  <si>
    <t>Marker Set Pro</t>
  </si>
  <si>
    <t>P062</t>
  </si>
  <si>
    <t>BASMATI RICE STD</t>
  </si>
  <si>
    <t>low stock</t>
  </si>
  <si>
    <t>P029</t>
  </si>
  <si>
    <t>Toor Dal Std</t>
  </si>
  <si>
    <t>P446</t>
  </si>
  <si>
    <t>Notebook Lite</t>
  </si>
  <si>
    <t>₹2,528</t>
  </si>
  <si>
    <t>P863</t>
  </si>
  <si>
    <t xml:space="preserve">  Sunflower Oil Lite</t>
  </si>
  <si>
    <t>P259</t>
  </si>
  <si>
    <t>Bedsheet Lite</t>
  </si>
  <si>
    <t>P167</t>
  </si>
  <si>
    <t>USB Cable Std</t>
  </si>
  <si>
    <t>₹1,289</t>
  </si>
  <si>
    <t>P831</t>
  </si>
  <si>
    <t xml:space="preserve">  Water Bottle Lite</t>
  </si>
  <si>
    <t>P551</t>
  </si>
  <si>
    <t>P592</t>
  </si>
  <si>
    <t>P542</t>
  </si>
  <si>
    <t>Gel Pens Lite</t>
  </si>
  <si>
    <t>P393</t>
  </si>
  <si>
    <t>Kurta Std</t>
  </si>
  <si>
    <t>P554</t>
  </si>
  <si>
    <t>₹2,663</t>
  </si>
  <si>
    <t>P013</t>
  </si>
  <si>
    <t>₹2,007</t>
  </si>
  <si>
    <t>P711</t>
  </si>
  <si>
    <t>P939</t>
  </si>
  <si>
    <t>P801</t>
  </si>
  <si>
    <t xml:space="preserve">Toor Dal Lite  </t>
  </si>
  <si>
    <t>chennai</t>
  </si>
  <si>
    <t>P196</t>
  </si>
  <si>
    <t>Cotton T-Shirt Pro</t>
  </si>
  <si>
    <t>P313</t>
  </si>
  <si>
    <t>stationery</t>
  </si>
  <si>
    <t>madurai</t>
  </si>
  <si>
    <t>P589</t>
  </si>
  <si>
    <t>P134</t>
  </si>
  <si>
    <t>P122</t>
  </si>
  <si>
    <t>P903</t>
  </si>
  <si>
    <t>P578</t>
  </si>
  <si>
    <t>P177</t>
  </si>
  <si>
    <t>P442</t>
  </si>
  <si>
    <t>P107</t>
  </si>
  <si>
    <t>P538</t>
  </si>
  <si>
    <t>Pressure Cooker Std</t>
  </si>
  <si>
    <t>P202</t>
  </si>
  <si>
    <t>₹1,370</t>
  </si>
  <si>
    <t>P699</t>
  </si>
  <si>
    <t>P371</t>
  </si>
  <si>
    <t>₹336</t>
  </si>
  <si>
    <t>P601</t>
  </si>
  <si>
    <t>P405</t>
  </si>
  <si>
    <t>P208</t>
  </si>
  <si>
    <t>P149</t>
  </si>
  <si>
    <t>Smart Watch Lite</t>
  </si>
  <si>
    <t>P367</t>
  </si>
  <si>
    <t>Basmati Rice Std</t>
  </si>
  <si>
    <t>P310</t>
  </si>
  <si>
    <t>Power Bank Pro</t>
  </si>
  <si>
    <t>P514</t>
  </si>
  <si>
    <t>Mixer Grinder Lite</t>
  </si>
  <si>
    <t>₹1,889</t>
  </si>
  <si>
    <t>P386</t>
  </si>
  <si>
    <t>Smart Watch Std</t>
  </si>
  <si>
    <t>P427</t>
  </si>
  <si>
    <t xml:space="preserve">  Smart Watch Pro</t>
  </si>
  <si>
    <t>P357</t>
  </si>
  <si>
    <t>₹138</t>
  </si>
  <si>
    <t>P036</t>
  </si>
  <si>
    <t>₹495</t>
  </si>
  <si>
    <t>P615</t>
  </si>
  <si>
    <t xml:space="preserve">Stationery </t>
  </si>
  <si>
    <t>₹1,184</t>
  </si>
  <si>
    <t>P421</t>
  </si>
  <si>
    <t>water bottle pro</t>
  </si>
  <si>
    <t>P558</t>
  </si>
  <si>
    <t>P361</t>
  </si>
  <si>
    <t>P353</t>
  </si>
  <si>
    <t>P639</t>
  </si>
  <si>
    <t>mixer grinder lite</t>
  </si>
  <si>
    <t>₹245</t>
  </si>
  <si>
    <t>P350</t>
  </si>
  <si>
    <t>Tea Powder Std</t>
  </si>
  <si>
    <t>P300</t>
  </si>
  <si>
    <t>P270</t>
  </si>
  <si>
    <t>P726</t>
  </si>
  <si>
    <t xml:space="preserve">Running Shoes Std  </t>
  </si>
  <si>
    <t>P060</t>
  </si>
  <si>
    <t>P424</t>
  </si>
  <si>
    <t>P251</t>
  </si>
  <si>
    <t>MIXER GRINDER LITE</t>
  </si>
  <si>
    <t>₹1,421</t>
  </si>
  <si>
    <t>P486</t>
  </si>
  <si>
    <t>P541</t>
  </si>
  <si>
    <t>EARBUDS PRO</t>
  </si>
  <si>
    <t>P676</t>
  </si>
  <si>
    <t>notebook pro</t>
  </si>
  <si>
    <t>P718</t>
  </si>
  <si>
    <t>BLUETOOTH SPEAKER LITE</t>
  </si>
  <si>
    <t>electronics</t>
  </si>
  <si>
    <t>P204</t>
  </si>
  <si>
    <t>P440</t>
  </si>
  <si>
    <t>₹2,769</t>
  </si>
  <si>
    <t>P708</t>
  </si>
  <si>
    <t>Water Bottle Std</t>
  </si>
  <si>
    <t>P870</t>
  </si>
  <si>
    <t>P098</t>
  </si>
  <si>
    <t>P929</t>
  </si>
  <si>
    <t>P396</t>
  </si>
  <si>
    <t>bedsheet lite</t>
  </si>
  <si>
    <t>P579</t>
  </si>
  <si>
    <t>P247</t>
  </si>
  <si>
    <t>P636</t>
  </si>
  <si>
    <t>P473</t>
  </si>
  <si>
    <t>Socks Pro</t>
  </si>
  <si>
    <t>P620</t>
  </si>
  <si>
    <t>Notebook Pro</t>
  </si>
  <si>
    <t>P235</t>
  </si>
  <si>
    <t xml:space="preserve">  Gel Pens Pro</t>
  </si>
  <si>
    <t>P717</t>
  </si>
  <si>
    <t xml:space="preserve">Coimbatore </t>
  </si>
  <si>
    <t>P565</t>
  </si>
  <si>
    <t xml:space="preserve">Toor Dal Pro  </t>
  </si>
  <si>
    <t>P797</t>
  </si>
  <si>
    <t xml:space="preserve">Marker Set Pro  </t>
  </si>
  <si>
    <t>P437</t>
  </si>
  <si>
    <t>P581</t>
  </si>
  <si>
    <t>P483</t>
  </si>
  <si>
    <t>Basmati Rice Lite</t>
  </si>
  <si>
    <t>P105</t>
  </si>
  <si>
    <t>P864</t>
  </si>
  <si>
    <t>P560</t>
  </si>
  <si>
    <t>P127</t>
  </si>
  <si>
    <t>₹345</t>
  </si>
  <si>
    <t>P832</t>
  </si>
  <si>
    <t>Water Bottle Lite</t>
  </si>
  <si>
    <t>P513</t>
  </si>
  <si>
    <t>P600</t>
  </si>
  <si>
    <t xml:space="preserve">Pondicherry </t>
  </si>
  <si>
    <t>₹2,501</t>
  </si>
  <si>
    <t>P058</t>
  </si>
  <si>
    <t>water bottle std</t>
  </si>
  <si>
    <t>P806</t>
  </si>
  <si>
    <t>P534</t>
  </si>
  <si>
    <t>Marker Set Std</t>
  </si>
  <si>
    <t>P754</t>
  </si>
  <si>
    <t xml:space="preserve">  Cotton T-Shirt Lite</t>
  </si>
  <si>
    <t>P344</t>
  </si>
  <si>
    <t>P932</t>
  </si>
  <si>
    <t>P787</t>
  </si>
  <si>
    <t>P268</t>
  </si>
  <si>
    <t xml:space="preserve">  Bluetooth Speaker Std</t>
  </si>
  <si>
    <t>₹1,488</t>
  </si>
  <si>
    <t>P506</t>
  </si>
  <si>
    <t>P301</t>
  </si>
  <si>
    <t xml:space="preserve">Mixer Grinder Std  </t>
  </si>
  <si>
    <t>P231</t>
  </si>
  <si>
    <t>USB CABLE LITE</t>
  </si>
  <si>
    <t>₹1,736</t>
  </si>
  <si>
    <t>P724</t>
  </si>
  <si>
    <t>P696</t>
  </si>
  <si>
    <t>P603</t>
  </si>
  <si>
    <t>P794</t>
  </si>
  <si>
    <t>P139</t>
  </si>
  <si>
    <t>₹177</t>
  </si>
  <si>
    <t>P950</t>
  </si>
  <si>
    <t>P940</t>
  </si>
  <si>
    <t>P525</t>
  </si>
  <si>
    <t>school bag pro</t>
  </si>
  <si>
    <t>P768</t>
  </si>
  <si>
    <t>P694</t>
  </si>
  <si>
    <t xml:space="preserve">Madurai </t>
  </si>
  <si>
    <t>₹1,762</t>
  </si>
  <si>
    <t>P366</t>
  </si>
  <si>
    <t>P880</t>
  </si>
  <si>
    <t>P229</t>
  </si>
  <si>
    <t>P470</t>
  </si>
  <si>
    <t>₹1,500</t>
  </si>
  <si>
    <t>P245</t>
  </si>
  <si>
    <t>P621</t>
  </si>
  <si>
    <t xml:space="preserve">USB Cable Std  </t>
  </si>
  <si>
    <t>P276</t>
  </si>
  <si>
    <t>P667</t>
  </si>
  <si>
    <t>Toor Dal Pro</t>
  </si>
  <si>
    <t>P118</t>
  </si>
  <si>
    <t>P248</t>
  </si>
  <si>
    <t>P323</t>
  </si>
  <si>
    <t>Running Shoes Std</t>
  </si>
  <si>
    <t>P459</t>
  </si>
  <si>
    <t>BEDSHEET STD</t>
  </si>
  <si>
    <t>P490</t>
  </si>
  <si>
    <t>P861</t>
  </si>
  <si>
    <t>P380</t>
  </si>
  <si>
    <t>P897</t>
  </si>
  <si>
    <t>P810</t>
  </si>
  <si>
    <t>P166</t>
  </si>
  <si>
    <t>P041</t>
  </si>
  <si>
    <t xml:space="preserve">Dinner Set Std  </t>
  </si>
  <si>
    <t>P146</t>
  </si>
  <si>
    <t>P830</t>
  </si>
  <si>
    <t xml:space="preserve">  Power Bank Lite</t>
  </si>
  <si>
    <t>P322</t>
  </si>
  <si>
    <t xml:space="preserve">Tea Powder Std  </t>
  </si>
  <si>
    <t>₹897</t>
  </si>
  <si>
    <t>P875</t>
  </si>
  <si>
    <t>P476</t>
  </si>
  <si>
    <t>P840</t>
  </si>
  <si>
    <t>Sunflower Oil Pro</t>
  </si>
  <si>
    <t>P666</t>
  </si>
  <si>
    <t>P200</t>
  </si>
  <si>
    <t>₹1,292</t>
  </si>
  <si>
    <t>P197</t>
  </si>
  <si>
    <t>P778</t>
  </si>
  <si>
    <t>P072</t>
  </si>
  <si>
    <t>P163</t>
  </si>
  <si>
    <t>P154</t>
  </si>
  <si>
    <t>P687</t>
  </si>
  <si>
    <t>P495</t>
  </si>
  <si>
    <t>P885</t>
  </si>
  <si>
    <t>PRESSURE COOKER STD</t>
  </si>
  <si>
    <t>₹133</t>
  </si>
  <si>
    <t>P733</t>
  </si>
  <si>
    <t>P782</t>
  </si>
  <si>
    <t>P335</t>
  </si>
  <si>
    <t>GROCERIES</t>
  </si>
  <si>
    <t>P038</t>
  </si>
  <si>
    <t>P685</t>
  </si>
  <si>
    <t>P457</t>
  </si>
  <si>
    <t>₹2,834</t>
  </si>
  <si>
    <t>P152</t>
  </si>
  <si>
    <t>₹1,697</t>
  </si>
  <si>
    <t>P294</t>
  </si>
  <si>
    <t>₹1,313</t>
  </si>
  <si>
    <t>P085</t>
  </si>
  <si>
    <t>P878</t>
  </si>
  <si>
    <t>Marker Set Lite</t>
  </si>
  <si>
    <t>₹1,945</t>
  </si>
  <si>
    <t>P669</t>
  </si>
  <si>
    <t>ELECTRONICS</t>
  </si>
  <si>
    <t>P624</t>
  </si>
  <si>
    <t>P628</t>
  </si>
  <si>
    <t>P124</t>
  </si>
  <si>
    <t>Tea Powder Pro</t>
  </si>
  <si>
    <t>P749</t>
  </si>
  <si>
    <t xml:space="preserve">Sunflower Oil Lite  </t>
  </si>
  <si>
    <t>P906</t>
  </si>
  <si>
    <t>P356</t>
  </si>
  <si>
    <t>P109</t>
  </si>
  <si>
    <t xml:space="preserve">Earbuds Pro  </t>
  </si>
  <si>
    <t>P400</t>
  </si>
  <si>
    <t>P298</t>
  </si>
  <si>
    <t xml:space="preserve">  Biscuits Pro</t>
  </si>
  <si>
    <t>P342</t>
  </si>
  <si>
    <t>P595</t>
  </si>
  <si>
    <t>Gel Pens Std</t>
  </si>
  <si>
    <t xml:space="preserve">Chennai </t>
  </si>
  <si>
    <t>P719</t>
  </si>
  <si>
    <t>P407</t>
  </si>
  <si>
    <t>₹887</t>
  </si>
  <si>
    <t>P576</t>
  </si>
  <si>
    <t>P735</t>
  </si>
  <si>
    <t>EARBUDS LITE</t>
  </si>
  <si>
    <t>P915</t>
  </si>
  <si>
    <t>P736</t>
  </si>
  <si>
    <t>P417</t>
  </si>
  <si>
    <t>P602</t>
  </si>
  <si>
    <t>₹1,081</t>
  </si>
  <si>
    <t>P296</t>
  </si>
  <si>
    <t>P468</t>
  </si>
  <si>
    <t>P689</t>
  </si>
  <si>
    <t>P179</t>
  </si>
  <si>
    <t>P499</t>
  </si>
  <si>
    <t>P937</t>
  </si>
  <si>
    <t xml:space="preserve">Bedsheet Pro  </t>
  </si>
  <si>
    <t>P649</t>
  </si>
  <si>
    <t>Kurta Pro</t>
  </si>
  <si>
    <t>P946</t>
  </si>
  <si>
    <t>P282</t>
  </si>
  <si>
    <t>P790</t>
  </si>
  <si>
    <t>P140</t>
  </si>
  <si>
    <t>P852</t>
  </si>
  <si>
    <t>DINNER SET PRO</t>
  </si>
  <si>
    <t>₹830</t>
  </si>
  <si>
    <t>P416</t>
  </si>
  <si>
    <t>₹2,820</t>
  </si>
  <si>
    <t>P008</t>
  </si>
  <si>
    <t>P900</t>
  </si>
  <si>
    <t>P613</t>
  </si>
  <si>
    <t>P826</t>
  </si>
  <si>
    <t>P662</t>
  </si>
  <si>
    <t>₹517</t>
  </si>
  <si>
    <t>P355</t>
  </si>
  <si>
    <t>P359</t>
  </si>
  <si>
    <t>P510</t>
  </si>
  <si>
    <t>P452</t>
  </si>
  <si>
    <t>coimbatore</t>
  </si>
  <si>
    <t>P435</t>
  </si>
  <si>
    <t>POWER BANK PRO</t>
  </si>
  <si>
    <t>P847</t>
  </si>
  <si>
    <t>Gel Pens Pro</t>
  </si>
  <si>
    <t>P792</t>
  </si>
  <si>
    <t>P180</t>
  </si>
  <si>
    <t>P823</t>
  </si>
  <si>
    <t>P043</t>
  </si>
  <si>
    <t>₹696</t>
  </si>
  <si>
    <t>P533</t>
  </si>
  <si>
    <t>earbuds std</t>
  </si>
  <si>
    <t>P480</t>
  </si>
  <si>
    <t xml:space="preserve">Groceries </t>
  </si>
  <si>
    <t>P330</t>
  </si>
  <si>
    <t>P783</t>
  </si>
  <si>
    <t>P463</t>
  </si>
  <si>
    <t>P135</t>
  </si>
  <si>
    <t>₹1,747</t>
  </si>
  <si>
    <t>P053</t>
  </si>
  <si>
    <t>P260</t>
  </si>
  <si>
    <t>P345</t>
  </si>
  <si>
    <t>₹1,608</t>
  </si>
  <si>
    <t>P748</t>
  </si>
  <si>
    <t>Power Bank Lite</t>
  </si>
  <si>
    <t>P464</t>
  </si>
  <si>
    <t>P130</t>
  </si>
  <si>
    <t>P420</t>
  </si>
  <si>
    <t>cotton t-shirt pro</t>
  </si>
  <si>
    <t>P214</t>
  </si>
  <si>
    <t>P487</t>
  </si>
  <si>
    <t>P597</t>
  </si>
  <si>
    <t xml:space="preserve">  Earbuds Lite</t>
  </si>
  <si>
    <t>P858</t>
  </si>
  <si>
    <t>P385</t>
  </si>
  <si>
    <t>P478</t>
  </si>
  <si>
    <t xml:space="preserve">  Marker Set Std</t>
  </si>
  <si>
    <t>P563</t>
  </si>
  <si>
    <t>P637</t>
  </si>
  <si>
    <t>P511</t>
  </si>
  <si>
    <t xml:space="preserve">Notebook Std  </t>
  </si>
  <si>
    <t>P905</t>
  </si>
  <si>
    <t>P133</t>
  </si>
  <si>
    <t xml:space="preserve">Denim Jeans Std  </t>
  </si>
  <si>
    <t>P943</t>
  </si>
  <si>
    <t>P785</t>
  </si>
  <si>
    <t>P682</t>
  </si>
  <si>
    <t>P067</t>
  </si>
  <si>
    <t>P150</t>
  </si>
  <si>
    <t>₹1,682</t>
  </si>
  <si>
    <t>P369</t>
  </si>
  <si>
    <t>P866</t>
  </si>
  <si>
    <t>P522</t>
  </si>
  <si>
    <t>P144</t>
  </si>
  <si>
    <t>P704</t>
  </si>
  <si>
    <t>TEA POWDER STD</t>
  </si>
  <si>
    <t>P262</t>
  </si>
  <si>
    <t>kurta std</t>
  </si>
  <si>
    <t>P631</t>
  </si>
  <si>
    <t>₹261</t>
  </si>
  <si>
    <t>P185</t>
  </si>
  <si>
    <t xml:space="preserve">Kurta Pro  </t>
  </si>
  <si>
    <t>P328</t>
  </si>
  <si>
    <t>P936</t>
  </si>
  <si>
    <t>₹388</t>
  </si>
  <si>
    <t>P164</t>
  </si>
  <si>
    <t>₹2,658</t>
  </si>
  <si>
    <t>P809</t>
  </si>
  <si>
    <t>P046</t>
  </si>
  <si>
    <t>₹1,154</t>
  </si>
  <si>
    <t>P526</t>
  </si>
  <si>
    <t>P121</t>
  </si>
  <si>
    <t>₹2,382</t>
  </si>
  <si>
    <t>P697</t>
  </si>
  <si>
    <t>P090</t>
  </si>
  <si>
    <t>P766</t>
  </si>
  <si>
    <t>Biscuits Pro</t>
  </si>
  <si>
    <t>P108</t>
  </si>
  <si>
    <t>P157</t>
  </si>
  <si>
    <t>P493</t>
  </si>
  <si>
    <t>P267</t>
  </si>
  <si>
    <t>bluetooth speaker std</t>
  </si>
  <si>
    <t>P727</t>
  </si>
  <si>
    <t>P668</t>
  </si>
  <si>
    <t>P250</t>
  </si>
  <si>
    <t>P647</t>
  </si>
  <si>
    <t>P725</t>
  </si>
  <si>
    <t>Denim Jeans Std</t>
  </si>
  <si>
    <t>P593</t>
  </si>
  <si>
    <t>P297</t>
  </si>
  <si>
    <t>P141</t>
  </si>
  <si>
    <t>TOOR DAL LITE</t>
  </si>
  <si>
    <t>P391</t>
  </si>
  <si>
    <t>P627</t>
  </si>
  <si>
    <t>P395</t>
  </si>
  <si>
    <t>P426</t>
  </si>
  <si>
    <t>P867</t>
  </si>
  <si>
    <t>₹2,808</t>
  </si>
  <si>
    <t>P151</t>
  </si>
  <si>
    <t>P515</t>
  </si>
  <si>
    <t>P100</t>
  </si>
  <si>
    <t xml:space="preserve">Cotton T-Shirt Pro  </t>
  </si>
  <si>
    <t>P303</t>
  </si>
  <si>
    <t>₹1,237</t>
  </si>
  <si>
    <t>P807</t>
  </si>
  <si>
    <t>P710</t>
  </si>
  <si>
    <t>P125</t>
  </si>
  <si>
    <t>₹2,387</t>
  </si>
  <si>
    <t>P605</t>
  </si>
  <si>
    <t>P349</t>
  </si>
  <si>
    <t>P142</t>
  </si>
  <si>
    <t>P845</t>
  </si>
  <si>
    <t>₹2,129</t>
  </si>
  <si>
    <t>P022</t>
  </si>
  <si>
    <t>P479</t>
  </si>
  <si>
    <t xml:space="preserve">Cotton T-Shirt Std  </t>
  </si>
  <si>
    <t>P428</t>
  </si>
  <si>
    <t>P050</t>
  </si>
  <si>
    <t>dinner set pro</t>
  </si>
  <si>
    <t>P547</t>
  </si>
  <si>
    <t>P813</t>
  </si>
  <si>
    <t xml:space="preserve">  Mixer Grinder Std</t>
  </si>
  <si>
    <t>₹1,962</t>
  </si>
  <si>
    <t>P389</t>
  </si>
  <si>
    <t>P609</t>
  </si>
  <si>
    <t xml:space="preserve">  Water Bottle Pro</t>
  </si>
  <si>
    <t>P051</t>
  </si>
  <si>
    <t>P324</t>
  </si>
  <si>
    <t>₹2,095</t>
  </si>
  <si>
    <t>P518</t>
  </si>
  <si>
    <t>P327</t>
  </si>
  <si>
    <t>P798</t>
  </si>
  <si>
    <t xml:space="preserve">Gel Pens Lite  </t>
  </si>
  <si>
    <t>P914</t>
  </si>
  <si>
    <t>P575</t>
  </si>
  <si>
    <t xml:space="preserve">  Toor Dal Pro</t>
  </si>
  <si>
    <t>P747</t>
  </si>
  <si>
    <t>₹518</t>
  </si>
  <si>
    <t>P434</t>
  </si>
  <si>
    <t>P756</t>
  </si>
  <si>
    <t>P027</t>
  </si>
  <si>
    <t>P729</t>
  </si>
  <si>
    <t>P254</t>
  </si>
  <si>
    <t>P028</t>
  </si>
  <si>
    <t>P803</t>
  </si>
  <si>
    <t>P555</t>
  </si>
  <si>
    <t>₹2,551</t>
  </si>
  <si>
    <t>P591</t>
  </si>
  <si>
    <t>P469</t>
  </si>
  <si>
    <t>P273</t>
  </si>
  <si>
    <t>P465</t>
  </si>
  <si>
    <t>P241</t>
  </si>
  <si>
    <t>P311</t>
  </si>
  <si>
    <t>P054</t>
  </si>
  <si>
    <t>P347</t>
  </si>
  <si>
    <t>P824</t>
  </si>
  <si>
    <t>P444</t>
  </si>
  <si>
    <t>₹380</t>
  </si>
  <si>
    <t>P888</t>
  </si>
  <si>
    <t>₹1,809</t>
  </si>
  <si>
    <t>P387</t>
  </si>
  <si>
    <t>P947</t>
  </si>
  <si>
    <t>P286</t>
  </si>
  <si>
    <t>P339</t>
  </si>
  <si>
    <t>gel pens std</t>
  </si>
  <si>
    <t>P856</t>
  </si>
  <si>
    <t>P233</t>
  </si>
  <si>
    <t>₹2,906</t>
  </si>
  <si>
    <t>P156</t>
  </si>
  <si>
    <t>₹2,541</t>
  </si>
  <si>
    <t>P279</t>
  </si>
  <si>
    <t>MADURAI</t>
  </si>
  <si>
    <t>P562</t>
  </si>
  <si>
    <t>P698</t>
  </si>
  <si>
    <t>P909</t>
  </si>
  <si>
    <t>P883</t>
  </si>
  <si>
    <t>₹837</t>
  </si>
  <si>
    <t>P799</t>
  </si>
  <si>
    <t>P307</t>
  </si>
  <si>
    <t xml:space="preserve">  Basmati Rice Std</t>
  </si>
  <si>
    <t>P274</t>
  </si>
  <si>
    <t>P455</t>
  </si>
  <si>
    <t>P063</t>
  </si>
  <si>
    <t>P855</t>
  </si>
  <si>
    <t>P640</t>
  </si>
  <si>
    <t>gel pens lite</t>
  </si>
  <si>
    <t>P503</t>
  </si>
  <si>
    <t>P453</t>
  </si>
  <si>
    <t>₹886</t>
  </si>
  <si>
    <t>P635</t>
  </si>
  <si>
    <t>P580</t>
  </si>
  <si>
    <t>P829</t>
  </si>
  <si>
    <t>P112</t>
  </si>
  <si>
    <t>P873</t>
  </si>
  <si>
    <t>P877</t>
  </si>
  <si>
    <t>P889</t>
  </si>
  <si>
    <t>P788</t>
  </si>
  <si>
    <t>₹843</t>
  </si>
  <si>
    <t>P734</t>
  </si>
  <si>
    <t>P835</t>
  </si>
  <si>
    <t>P611</t>
  </si>
  <si>
    <t>P934</t>
  </si>
  <si>
    <t>P433</t>
  </si>
  <si>
    <t>P841</t>
  </si>
  <si>
    <t>P941</t>
  </si>
  <si>
    <t>P198</t>
  </si>
  <si>
    <t>P688</t>
  </si>
  <si>
    <t>bedsheet pro</t>
  </si>
  <si>
    <t>P069</t>
  </si>
  <si>
    <t>P546</t>
  </si>
  <si>
    <t>P496</t>
  </si>
  <si>
    <t>P653</t>
  </si>
  <si>
    <t>P537</t>
  </si>
  <si>
    <t>₹2,554</t>
  </si>
  <si>
    <t>P418</t>
  </si>
  <si>
    <t>P410</t>
  </si>
  <si>
    <t>P188</t>
  </si>
  <si>
    <t>P397</t>
  </si>
  <si>
    <t>P489</t>
  </si>
  <si>
    <t>P893</t>
  </si>
  <si>
    <t>COIMBATORE</t>
  </si>
  <si>
    <t>P422</t>
  </si>
  <si>
    <t>P331</t>
  </si>
  <si>
    <t xml:space="preserve">Socks Lite  </t>
  </si>
  <si>
    <t>P343</t>
  </si>
  <si>
    <t xml:space="preserve">  Running Shoes Pro</t>
  </si>
  <si>
    <t>P116</t>
  </si>
  <si>
    <t>P557</t>
  </si>
  <si>
    <t>₹2,001</t>
  </si>
  <si>
    <t>P364</t>
  </si>
  <si>
    <t>₹2,424</t>
  </si>
  <si>
    <t>P314</t>
  </si>
  <si>
    <t>P481</t>
  </si>
  <si>
    <t>P482</t>
  </si>
  <si>
    <t>P441</t>
  </si>
  <si>
    <t>P195</t>
  </si>
  <si>
    <t>₹2,056</t>
  </si>
  <si>
    <t>P902</t>
  </si>
  <si>
    <t>P896</t>
  </si>
  <si>
    <t>USB CABLE STD</t>
  </si>
  <si>
    <t>P684</t>
  </si>
  <si>
    <t>P225</t>
  </si>
  <si>
    <t>P743</t>
  </si>
  <si>
    <t>P052</t>
  </si>
  <si>
    <t>₹548</t>
  </si>
  <si>
    <t>P243</t>
  </si>
  <si>
    <t>₹2,928</t>
  </si>
  <si>
    <t>P076</t>
  </si>
  <si>
    <t>P220</t>
  </si>
  <si>
    <t>P223</t>
  </si>
  <si>
    <t>COTTON T-SHIRT LITE</t>
  </si>
  <si>
    <t>P318</t>
  </si>
  <si>
    <t>P569</t>
  </si>
  <si>
    <t>P817</t>
  </si>
  <si>
    <t>P360</t>
  </si>
  <si>
    <t>P320</t>
  </si>
  <si>
    <t>P777</t>
  </si>
  <si>
    <t>P370</t>
  </si>
  <si>
    <t xml:space="preserve">Basmati Rice Lite  </t>
  </si>
  <si>
    <t>P651</t>
  </si>
  <si>
    <t>P859</t>
  </si>
  <si>
    <t>P005</t>
  </si>
  <si>
    <t>P283</t>
  </si>
  <si>
    <t xml:space="preserve">  Mixer Grinder Lite</t>
  </si>
  <si>
    <t>P007</t>
  </si>
  <si>
    <t>P739</t>
  </si>
  <si>
    <t>P129</t>
  </si>
  <si>
    <t>BLUETOOTH SPEAKER STD</t>
  </si>
  <si>
    <t>P249</t>
  </si>
  <si>
    <t>P306</t>
  </si>
  <si>
    <t>P449</t>
  </si>
  <si>
    <t>P016</t>
  </si>
  <si>
    <t>P505</t>
  </si>
  <si>
    <t>P293</t>
  </si>
  <si>
    <t>P663</t>
  </si>
  <si>
    <t>P680</t>
  </si>
  <si>
    <t>P094</t>
  </si>
  <si>
    <t>₹2,455</t>
  </si>
  <si>
    <t>P319</t>
  </si>
  <si>
    <t>P304</t>
  </si>
  <si>
    <t>P922</t>
  </si>
  <si>
    <t>P614</t>
  </si>
  <si>
    <t xml:space="preserve">USB Cable Pro  </t>
  </si>
  <si>
    <t>₹1,347</t>
  </si>
  <si>
    <t>P057</t>
  </si>
  <si>
    <t>BISCUITS STD</t>
  </si>
  <si>
    <t>P384</t>
  </si>
  <si>
    <t>P916</t>
  </si>
  <si>
    <t>P358</t>
  </si>
  <si>
    <t>P616</t>
  </si>
  <si>
    <t>P035</t>
  </si>
  <si>
    <t>₹2,732</t>
  </si>
  <si>
    <t>P553</t>
  </si>
  <si>
    <t>P171</t>
  </si>
  <si>
    <t>P467</t>
  </si>
  <si>
    <t>₹2,197</t>
  </si>
  <si>
    <t>P714</t>
  </si>
  <si>
    <t>P876</t>
  </si>
  <si>
    <t>P187</t>
  </si>
  <si>
    <t>P011</t>
  </si>
  <si>
    <t>P086</t>
  </si>
  <si>
    <t>P659</t>
  </si>
  <si>
    <t>P629</t>
  </si>
  <si>
    <t>P326</t>
  </si>
  <si>
    <t>P786</t>
  </si>
  <si>
    <t>groceries</t>
  </si>
  <si>
    <t>P773</t>
  </si>
  <si>
    <t>P190</t>
  </si>
  <si>
    <t>P117</t>
  </si>
  <si>
    <t>P881</t>
  </si>
  <si>
    <t>P808</t>
  </si>
  <si>
    <t>P693</t>
  </si>
  <si>
    <t>P049</t>
  </si>
  <si>
    <t>P895</t>
  </si>
  <si>
    <t>P126</t>
  </si>
  <si>
    <t>P047</t>
  </si>
  <si>
    <t>P257</t>
  </si>
  <si>
    <t>P588</t>
  </si>
  <si>
    <t>P732</t>
  </si>
  <si>
    <t>₹1,627</t>
  </si>
  <si>
    <t>P681</t>
  </si>
  <si>
    <t>P017</t>
  </si>
  <si>
    <t>P643</t>
  </si>
  <si>
    <t>P406</t>
  </si>
  <si>
    <t>P690</t>
  </si>
  <si>
    <t>P048</t>
  </si>
  <si>
    <t>P158</t>
  </si>
  <si>
    <t>P675</t>
  </si>
  <si>
    <t>₹1,833</t>
  </si>
  <si>
    <t>P938</t>
  </si>
  <si>
    <t>P564</t>
  </si>
  <si>
    <t>P383</t>
  </si>
  <si>
    <t>P219</t>
  </si>
  <si>
    <t>P844</t>
  </si>
  <si>
    <t>P789</t>
  </si>
  <si>
    <t>P091</t>
  </si>
  <si>
    <t>P584</t>
  </si>
  <si>
    <t>P805</t>
  </si>
  <si>
    <t>₹306</t>
  </si>
  <si>
    <t>P055</t>
  </si>
  <si>
    <t>₹2,885</t>
  </si>
  <si>
    <t>P674</t>
  </si>
  <si>
    <t>P458</t>
  </si>
  <si>
    <t>WATER BOTTLE STD</t>
  </si>
  <si>
    <t>P894</t>
  </si>
  <si>
    <t>P128</t>
  </si>
  <si>
    <t>P110</t>
  </si>
  <si>
    <t>P485</t>
  </si>
  <si>
    <t>P044</t>
  </si>
  <si>
    <t>P423</t>
  </si>
  <si>
    <t>GEL PENS LITE</t>
  </si>
  <si>
    <t>P652</t>
  </si>
  <si>
    <t>₹2,741</t>
  </si>
  <si>
    <t>P715</t>
  </si>
  <si>
    <t>₹1,461</t>
  </si>
  <si>
    <t>P772</t>
  </si>
  <si>
    <t>P658</t>
  </si>
  <si>
    <t>P849</t>
  </si>
  <si>
    <t>P928</t>
  </si>
  <si>
    <t>P891</t>
  </si>
  <si>
    <t>P632</t>
  </si>
  <si>
    <t>P290</t>
  </si>
  <si>
    <t>P825</t>
  </si>
  <si>
    <t>P316</t>
  </si>
  <si>
    <t>P582</t>
  </si>
  <si>
    <t>P099</t>
  </si>
  <si>
    <t>P227</t>
  </si>
  <si>
    <t>P451</t>
  </si>
  <si>
    <t>PONDICHERRY</t>
  </si>
  <si>
    <t>P382</t>
  </si>
  <si>
    <t>pressure cooker pro</t>
  </si>
  <si>
    <t>P776</t>
  </si>
  <si>
    <t xml:space="preserve">Earbuds Std  </t>
  </si>
  <si>
    <t>P462</t>
  </si>
  <si>
    <t>P904</t>
  </si>
  <si>
    <t>NOTEBOOK STD</t>
  </si>
  <si>
    <t>P278</t>
  </si>
  <si>
    <t>P587</t>
  </si>
  <si>
    <t>POWER BANK LITE</t>
  </si>
  <si>
    <t>P944</t>
  </si>
  <si>
    <t>P484</t>
  </si>
  <si>
    <t>P443</t>
  </si>
  <si>
    <t>P504</t>
  </si>
  <si>
    <t>P583</t>
  </si>
  <si>
    <t>P655</t>
  </si>
  <si>
    <t>P833</t>
  </si>
  <si>
    <t>P577</t>
  </si>
  <si>
    <t>P642</t>
  </si>
  <si>
    <t>P908</t>
  </si>
  <si>
    <t>P657</t>
  </si>
  <si>
    <t>P765</t>
  </si>
  <si>
    <t>P189</t>
  </si>
  <si>
    <t>P918</t>
  </si>
  <si>
    <t>P491</t>
  </si>
  <si>
    <t>₹741</t>
  </si>
  <si>
    <t>P899</t>
  </si>
  <si>
    <t>P123</t>
  </si>
  <si>
    <t>P010</t>
  </si>
  <si>
    <t>P712</t>
  </si>
  <si>
    <t>P165</t>
  </si>
  <si>
    <t>P102</t>
  </si>
  <si>
    <t>₹148</t>
  </si>
  <si>
    <t>P352</t>
  </si>
  <si>
    <t>P374</t>
  </si>
  <si>
    <t>P572</t>
  </si>
  <si>
    <t>P561</t>
  </si>
  <si>
    <t>P846</t>
  </si>
  <si>
    <t>P695</t>
  </si>
  <si>
    <t>P240</t>
  </si>
  <si>
    <t>P931</t>
  </si>
  <si>
    <t>P077</t>
  </si>
  <si>
    <t>P224</t>
  </si>
  <si>
    <t>P670</t>
  </si>
  <si>
    <t>P519</t>
  </si>
  <si>
    <t>₹1,039</t>
  </si>
  <si>
    <t>P645</t>
  </si>
  <si>
    <t>P461</t>
  </si>
  <si>
    <t>P312</t>
  </si>
  <si>
    <t>P019</t>
  </si>
  <si>
    <t>₹1,169</t>
  </si>
  <si>
    <t>P192</t>
  </si>
  <si>
    <t>P414</t>
  </si>
  <si>
    <t xml:space="preserve">Biscuits Lite  </t>
  </si>
  <si>
    <t>P215</t>
  </si>
  <si>
    <t>P767</t>
  </si>
  <si>
    <t>P281</t>
  </si>
  <si>
    <t>P500</t>
  </si>
  <si>
    <t>usb cable lite</t>
  </si>
  <si>
    <t>P329</t>
  </si>
  <si>
    <t>₹648</t>
  </si>
  <si>
    <t>P001</t>
  </si>
  <si>
    <t>denim jeans pro</t>
  </si>
  <si>
    <t>P573</t>
  </si>
  <si>
    <t>P784</t>
  </si>
  <si>
    <t>colour pencils pro</t>
  </si>
  <si>
    <t>₹2,220</t>
  </si>
  <si>
    <t>P664</t>
  </si>
  <si>
    <t>P340</t>
  </si>
  <si>
    <t>COLOUR PENCILS STD</t>
  </si>
  <si>
    <t>P183</t>
  </si>
  <si>
    <t>P494</t>
  </si>
  <si>
    <t>P097</t>
  </si>
  <si>
    <t>P056</t>
  </si>
  <si>
    <t>P351</t>
  </si>
  <si>
    <t>P040</t>
  </si>
  <si>
    <t>P523</t>
  </si>
  <si>
    <t>P892</t>
  </si>
  <si>
    <t>P819</t>
  </si>
  <si>
    <t xml:space="preserve">  Pressure Cooker Lite</t>
  </si>
  <si>
    <t>P305</t>
  </si>
  <si>
    <t xml:space="preserve">Socks Std  </t>
  </si>
  <si>
    <t>₹1,532</t>
  </si>
  <si>
    <t>P216</t>
  </si>
  <si>
    <t xml:space="preserve">  Pressure Cooker Pro</t>
  </si>
  <si>
    <t>P299</t>
  </si>
  <si>
    <t>P372</t>
  </si>
  <si>
    <t>P539</t>
  </si>
  <si>
    <t>P750</t>
  </si>
  <si>
    <t>P238</t>
  </si>
  <si>
    <t>P377</t>
  </si>
  <si>
    <t>P089</t>
  </si>
  <si>
    <t>P796</t>
  </si>
  <si>
    <t>P530</t>
  </si>
  <si>
    <t>P178</t>
  </si>
  <si>
    <t>P269</t>
  </si>
  <si>
    <t>P039</t>
  </si>
  <si>
    <t>P153</t>
  </si>
  <si>
    <t>P080</t>
  </si>
  <si>
    <t>₹444</t>
  </si>
  <si>
    <t>P430</t>
  </si>
  <si>
    <t>P242</t>
  </si>
  <si>
    <t>P913</t>
  </si>
  <si>
    <t>MARKER SET STD</t>
  </si>
  <si>
    <t>P346</t>
  </si>
  <si>
    <t>P175</t>
  </si>
  <si>
    <t>bluetooth speaker pro</t>
  </si>
  <si>
    <t>P850</t>
  </si>
  <si>
    <t>₹2,571</t>
  </si>
  <si>
    <t>P507</t>
  </si>
  <si>
    <t>₹344</t>
  </si>
  <si>
    <t>P740</t>
  </si>
  <si>
    <t>P025</t>
  </si>
  <si>
    <t>₹2,883</t>
  </si>
  <si>
    <t>P162</t>
  </si>
  <si>
    <t>P927</t>
  </si>
  <si>
    <t>P925</t>
  </si>
  <si>
    <t>P120</t>
  </si>
  <si>
    <t>P263</t>
  </si>
  <si>
    <t>SUNFLOWER OIL STD</t>
  </si>
  <si>
    <t>P571</t>
  </si>
  <si>
    <t>P169</t>
  </si>
  <si>
    <t>P082</t>
  </si>
  <si>
    <t>P812</t>
  </si>
  <si>
    <t>P791</t>
  </si>
  <si>
    <t>P222</t>
  </si>
  <si>
    <t>P887</t>
  </si>
  <si>
    <t>P751</t>
  </si>
  <si>
    <t>P763</t>
  </si>
  <si>
    <t>P775</t>
  </si>
  <si>
    <t>P084</t>
  </si>
  <si>
    <t>P093</t>
  </si>
  <si>
    <t>P302</t>
  </si>
  <si>
    <t>P020</t>
  </si>
  <si>
    <t>₹1,664</t>
  </si>
  <si>
    <t>P559</t>
  </si>
  <si>
    <t>tea powder std</t>
  </si>
  <si>
    <t>P186</t>
  </si>
  <si>
    <t>P228</t>
  </si>
  <si>
    <t>P210</t>
  </si>
  <si>
    <t>P334</t>
  </si>
  <si>
    <t>P608</t>
  </si>
  <si>
    <t>P528</t>
  </si>
  <si>
    <t>P232</t>
  </si>
  <si>
    <t>P509</t>
  </si>
  <si>
    <t>P429</t>
  </si>
  <si>
    <t>P315</t>
  </si>
  <si>
    <t>P618</t>
  </si>
  <si>
    <t>P552</t>
  </si>
  <si>
    <t>P731</t>
  </si>
  <si>
    <t>WATER BOTTLE PRO</t>
  </si>
  <si>
    <t>₹2,789</t>
  </si>
  <si>
    <t>P239</t>
  </si>
  <si>
    <t>P138</t>
  </si>
  <si>
    <t>P026</t>
  </si>
  <si>
    <t>P884</t>
  </si>
  <si>
    <t>P341</t>
  </si>
  <si>
    <t>P308</t>
  </si>
  <si>
    <t>₹2,971</t>
  </si>
  <si>
    <t>P159</t>
  </si>
  <si>
    <t>P524</t>
  </si>
  <si>
    <t>power bank pro</t>
  </si>
  <si>
    <t>P472</t>
  </si>
  <si>
    <t>P018</t>
  </si>
  <si>
    <t>P068</t>
  </si>
  <si>
    <t>P761</t>
  </si>
  <si>
    <t>P737</t>
  </si>
  <si>
    <t>P113</t>
  </si>
  <si>
    <t>P857</t>
  </si>
  <si>
    <t>P619</t>
  </si>
  <si>
    <t>P517</t>
  </si>
  <si>
    <t>P919</t>
  </si>
  <si>
    <t>P103</t>
  </si>
  <si>
    <t>P742</t>
  </si>
  <si>
    <t>P488</t>
  </si>
  <si>
    <t>P474</t>
  </si>
  <si>
    <t>P811</t>
  </si>
  <si>
    <t xml:space="preserve">Water Bottle Std  </t>
  </si>
  <si>
    <t>₹2,957</t>
  </si>
  <si>
    <t>P843</t>
  </si>
  <si>
    <t>₹1,471</t>
  </si>
  <si>
    <t>P292</t>
  </si>
  <si>
    <t>P264</t>
  </si>
  <si>
    <t>₹2,547</t>
  </si>
  <si>
    <t>P252</t>
  </si>
  <si>
    <t>P606</t>
  </si>
  <si>
    <t>P672</t>
  </si>
  <si>
    <t>P793</t>
  </si>
  <si>
    <t>P774</t>
  </si>
  <si>
    <t>P002</t>
  </si>
  <si>
    <t>P550</t>
  </si>
  <si>
    <t>marker set pro</t>
  </si>
  <si>
    <t>P376</t>
  </si>
  <si>
    <t>₹87</t>
  </si>
  <si>
    <t>P933</t>
  </si>
  <si>
    <t>P755</t>
  </si>
  <si>
    <t>P368</t>
  </si>
  <si>
    <t>smart watch std</t>
  </si>
  <si>
    <t>P403</t>
  </si>
  <si>
    <t>₹1,384</t>
  </si>
  <si>
    <t>P679</t>
  </si>
  <si>
    <t>P003</t>
  </si>
  <si>
    <t>P096</t>
  </si>
  <si>
    <t>P536</t>
  </si>
  <si>
    <t>P497</t>
  </si>
  <si>
    <t>P821</t>
  </si>
  <si>
    <t>P886</t>
  </si>
  <si>
    <t>₹2,733</t>
  </si>
  <si>
    <t>P285</t>
  </si>
  <si>
    <t>P212</t>
  </si>
  <si>
    <t>P411</t>
  </si>
  <si>
    <t>P646</t>
  </si>
  <si>
    <t>₹1,923</t>
  </si>
  <si>
    <t>P174</t>
  </si>
  <si>
    <t>P288</t>
  </si>
  <si>
    <t>P758</t>
  </si>
  <si>
    <t>earbuds pro</t>
  </si>
  <si>
    <t>P143</t>
  </si>
  <si>
    <t>P413</t>
  </si>
  <si>
    <t>P193</t>
  </si>
  <si>
    <t>₹680</t>
  </si>
  <si>
    <t>P402</t>
  </si>
  <si>
    <t>P230</t>
  </si>
  <si>
    <t>P837</t>
  </si>
  <si>
    <t>P759</t>
  </si>
  <si>
    <t>P218</t>
  </si>
  <si>
    <t>P598</t>
  </si>
  <si>
    <t>P762</t>
  </si>
  <si>
    <t xml:space="preserve">Denim Jeans Lite  </t>
  </si>
  <si>
    <t>P155</t>
  </si>
  <si>
    <t>P431</t>
  </si>
  <si>
    <t>P404</t>
  </si>
  <si>
    <t>₹2,792</t>
  </si>
  <si>
    <t>P182</t>
  </si>
  <si>
    <t>P336</t>
  </si>
  <si>
    <t>P822</t>
  </si>
  <si>
    <t>P075</t>
  </si>
  <si>
    <t>P415</t>
  </si>
  <si>
    <t>P436</t>
  </si>
  <si>
    <t>P626</t>
  </si>
  <si>
    <t>P641</t>
  </si>
  <si>
    <t>P234</t>
  </si>
  <si>
    <t>P021</t>
  </si>
  <si>
    <t>₹756</t>
  </si>
  <si>
    <t>P923</t>
  </si>
  <si>
    <t>P770</t>
  </si>
  <si>
    <t>P879</t>
  </si>
  <si>
    <t>P610</t>
  </si>
  <si>
    <t>P590</t>
  </si>
  <si>
    <t xml:space="preserve">  USB Cable Lite</t>
  </si>
  <si>
    <t>P031</t>
  </si>
  <si>
    <t>P291</t>
  </si>
  <si>
    <t>P253</t>
  </si>
  <si>
    <t>P070</t>
  </si>
  <si>
    <t>P088</t>
  </si>
  <si>
    <t>₹1,481</t>
  </si>
  <si>
    <t>P115</t>
  </si>
  <si>
    <t>P549</t>
  </si>
  <si>
    <t>P092</t>
  </si>
  <si>
    <t>cotton t-shirt lite</t>
  </si>
  <si>
    <t>₹2,340</t>
  </si>
  <si>
    <t>P466</t>
  </si>
  <si>
    <t>₹2,477</t>
  </si>
  <si>
    <t>P862</t>
  </si>
  <si>
    <t>P709</t>
  </si>
  <si>
    <t xml:space="preserve">  Denim Jeans Lite</t>
  </si>
  <si>
    <t>P168</t>
  </si>
  <si>
    <t>P408</t>
  </si>
  <si>
    <t>P617</t>
  </si>
  <si>
    <t>P321</t>
  </si>
  <si>
    <t>P917</t>
  </si>
  <si>
    <t>₹2,261</t>
  </si>
  <si>
    <t>P586</t>
  </si>
  <si>
    <t>P078</t>
  </si>
  <si>
    <t>P705</t>
  </si>
  <si>
    <t>P567</t>
  </si>
  <si>
    <t>P532</t>
  </si>
  <si>
    <t>P599</t>
  </si>
  <si>
    <t>P691</t>
  </si>
  <si>
    <t xml:space="preserve">  Sunflower Oil Std</t>
  </si>
  <si>
    <t>₹387</t>
  </si>
  <si>
    <t>P258</t>
  </si>
  <si>
    <t>P256</t>
  </si>
  <si>
    <t>SOCKS STD</t>
  </si>
  <si>
    <t>P728</t>
  </si>
  <si>
    <t>TOOR DAL STD</t>
  </si>
  <si>
    <t>P911</t>
  </si>
  <si>
    <t>P706</t>
  </si>
  <si>
    <t>P498</t>
  </si>
  <si>
    <t>P131</t>
  </si>
  <si>
    <t>₹544</t>
  </si>
  <si>
    <t>P101</t>
  </si>
  <si>
    <t>P172</t>
  </si>
  <si>
    <t xml:space="preserve">  USB Cable Std</t>
  </si>
  <si>
    <t>P935</t>
  </si>
  <si>
    <t>₹1,782</t>
  </si>
  <si>
    <t>P703</t>
  </si>
  <si>
    <t>P872</t>
  </si>
  <si>
    <t>P454</t>
  </si>
  <si>
    <t>P656</t>
  </si>
  <si>
    <t>P201</t>
  </si>
  <si>
    <t>P203</t>
  </si>
  <si>
    <t>P713</t>
  </si>
  <si>
    <t>P828</t>
  </si>
  <si>
    <t>₹1,948</t>
  </si>
  <si>
    <t>P661</t>
  </si>
  <si>
    <t>P781</t>
  </si>
  <si>
    <t>₹924</t>
  </si>
  <si>
    <t>P456</t>
  </si>
  <si>
    <t>P634</t>
  </si>
  <si>
    <t>₹1,346</t>
  </si>
  <si>
    <t>P137</t>
  </si>
  <si>
    <t>P521</t>
  </si>
  <si>
    <t>P660</t>
  </si>
  <si>
    <t xml:space="preserve">Dinner Set Pro  </t>
  </si>
  <si>
    <t>P570</t>
  </si>
  <si>
    <t>P379</t>
  </si>
  <si>
    <t>P707</t>
  </si>
  <si>
    <t>P271</t>
  </si>
  <si>
    <t>P607</t>
  </si>
  <si>
    <t>P064</t>
  </si>
  <si>
    <t>P394</t>
  </si>
  <si>
    <t>P071</t>
  </si>
  <si>
    <t>P535</t>
  </si>
  <si>
    <t>P272</t>
  </si>
  <si>
    <t>P544</t>
  </si>
  <si>
    <t>P779</t>
  </si>
  <si>
    <t>P161</t>
  </si>
  <si>
    <t>P871</t>
  </si>
  <si>
    <t>P170</t>
  </si>
  <si>
    <t>P037</t>
  </si>
  <si>
    <t>P244</t>
  </si>
  <si>
    <t>KURTA PRO</t>
  </si>
  <si>
    <t>₹1,458</t>
  </si>
  <si>
    <t>P083</t>
  </si>
  <si>
    <t>P261</t>
  </si>
  <si>
    <t>₹188</t>
  </si>
  <si>
    <t>P373</t>
  </si>
  <si>
    <t>P023</t>
  </si>
  <si>
    <t>P338</t>
  </si>
  <si>
    <t>P309</t>
  </si>
  <si>
    <t>P752</t>
  </si>
  <si>
    <t>P508</t>
  </si>
  <si>
    <t>₹1,680</t>
  </si>
  <si>
    <t>P221</t>
  </si>
  <si>
    <t>P014</t>
  </si>
  <si>
    <t>P673</t>
  </si>
  <si>
    <t>P585</t>
  </si>
  <si>
    <t>P512</t>
  </si>
  <si>
    <t xml:space="preserve">Colour Pencils Std  </t>
  </si>
  <si>
    <t>P277</t>
  </si>
  <si>
    <t>P548</t>
  </si>
  <si>
    <t>P839</t>
  </si>
  <si>
    <t>P720</t>
  </si>
  <si>
    <t xml:space="preserve">Earbuds Lite  </t>
  </si>
  <si>
    <t>P477</t>
  </si>
  <si>
    <t>P226</t>
  </si>
  <si>
    <t>₹2,607</t>
  </si>
  <si>
    <t>P633</t>
  </si>
  <si>
    <t>P217</t>
  </si>
  <si>
    <t>P030</t>
  </si>
  <si>
    <t>P860</t>
  </si>
  <si>
    <t>P701</t>
  </si>
  <si>
    <t>₹705</t>
  </si>
  <si>
    <t>P723</t>
  </si>
  <si>
    <t>P838</t>
  </si>
  <si>
    <t>P181</t>
  </si>
  <si>
    <t>P746</t>
  </si>
  <si>
    <t>P460</t>
  </si>
  <si>
    <t>water bottle lite</t>
  </si>
  <si>
    <t>P678</t>
  </si>
  <si>
    <t>P438</t>
  </si>
  <si>
    <t>P475</t>
  </si>
  <si>
    <t>P265</t>
  </si>
  <si>
    <t>P065</t>
  </si>
  <si>
    <t>P921</t>
  </si>
  <si>
    <t>P942</t>
  </si>
  <si>
    <t>P851</t>
  </si>
  <si>
    <t>P920</t>
  </si>
  <si>
    <t>P176</t>
  </si>
  <si>
    <t>P399</t>
  </si>
  <si>
    <t>P173</t>
  </si>
  <si>
    <t>P333</t>
  </si>
  <si>
    <t>P033</t>
  </si>
  <si>
    <t>P032</t>
  </si>
  <si>
    <t>P745</t>
  </si>
  <si>
    <t>P236</t>
  </si>
  <si>
    <t>P375</t>
  </si>
  <si>
    <t>P398</t>
  </si>
  <si>
    <t>P409</t>
  </si>
  <si>
    <t>P700</t>
  </si>
  <si>
    <t>P686</t>
  </si>
  <si>
    <t>basmati rice pro</t>
  </si>
  <si>
    <t>₹669</t>
  </si>
  <si>
    <t>P419</t>
  </si>
  <si>
    <t>P390</t>
  </si>
  <si>
    <t>P388</t>
  </si>
  <si>
    <t>₹2,369</t>
  </si>
  <si>
    <t>P816</t>
  </si>
  <si>
    <t>P266</t>
  </si>
  <si>
    <t>P015</t>
  </si>
  <si>
    <t>P095</t>
  </si>
  <si>
    <t>P529</t>
  </si>
  <si>
    <t>₹349</t>
  </si>
  <si>
    <t>P392</t>
  </si>
  <si>
    <t>P854</t>
  </si>
  <si>
    <t>P730</t>
  </si>
  <si>
    <t>P802</t>
  </si>
  <si>
    <t>P926</t>
  </si>
  <si>
    <t xml:space="preserve">  Mixer Grinder Pro</t>
  </si>
  <si>
    <t>P924</t>
  </si>
  <si>
    <t>P079</t>
  </si>
  <si>
    <t>₹2,978</t>
  </si>
  <si>
    <t>P604</t>
  </si>
  <si>
    <t>P184</t>
  </si>
  <si>
    <t>P450</t>
  </si>
  <si>
    <t>₹657</t>
  </si>
  <si>
    <t>P381</t>
  </si>
  <si>
    <t>P836</t>
  </si>
  <si>
    <t>P492</t>
  </si>
  <si>
    <t>P780</t>
  </si>
  <si>
    <t>P191</t>
  </si>
  <si>
    <t>P622</t>
  </si>
  <si>
    <t>P365</t>
  </si>
  <si>
    <t>P869</t>
  </si>
  <si>
    <t xml:space="preserve">  Bedsheet Lite</t>
  </si>
  <si>
    <t>P136</t>
  </si>
  <si>
    <t>P246</t>
  </si>
  <si>
    <t>P882</t>
  </si>
  <si>
    <t>SCHOOL BAG PRO</t>
  </si>
  <si>
    <t>P275</t>
  </si>
  <si>
    <t>P148</t>
  </si>
  <si>
    <t>₹1,565</t>
  </si>
  <si>
    <t>P106</t>
  </si>
  <si>
    <t>₹2,293</t>
  </si>
  <si>
    <t>P295</t>
  </si>
  <si>
    <t>P325</t>
  </si>
  <si>
    <t>P771</t>
  </si>
  <si>
    <t>P800</t>
  </si>
  <si>
    <t>P540</t>
  </si>
  <si>
    <t>P692</t>
  </si>
  <si>
    <t>P677</t>
  </si>
  <si>
    <t>P111</t>
  </si>
  <si>
    <t>P901</t>
  </si>
  <si>
    <t>P769</t>
  </si>
  <si>
    <t>P827</t>
  </si>
  <si>
    <t>P006</t>
  </si>
  <si>
    <t>₹2,986</t>
  </si>
  <si>
    <t>P145</t>
  </si>
  <si>
    <t>P104</t>
  </si>
  <si>
    <t>P211</t>
  </si>
  <si>
    <t xml:space="preserve">Smart Watch Pro  </t>
  </si>
  <si>
    <t>P898</t>
  </si>
  <si>
    <t>P447</t>
  </si>
  <si>
    <t>₹1,987</t>
  </si>
  <si>
    <t>P042</t>
  </si>
  <si>
    <t>P363</t>
  </si>
  <si>
    <t>P650</t>
  </si>
  <si>
    <t>₹416</t>
  </si>
  <si>
    <t>P378</t>
  </si>
  <si>
    <t>P255</t>
  </si>
  <si>
    <t>₹1,249</t>
  </si>
  <si>
    <t>P147</t>
  </si>
  <si>
    <t>P638</t>
  </si>
  <si>
    <t>P087</t>
  </si>
  <si>
    <t>P543</t>
  </si>
  <si>
    <t>P432</t>
  </si>
  <si>
    <t xml:space="preserve">  Kurta Pro</t>
  </si>
  <si>
    <t>P066</t>
  </si>
  <si>
    <t>P716</t>
  </si>
  <si>
    <t>P206</t>
  </si>
  <si>
    <t>POWER BANK STD</t>
  </si>
  <si>
    <t>P045</t>
  </si>
  <si>
    <t>P081</t>
  </si>
  <si>
    <t>biscuits std</t>
  </si>
  <si>
    <t>₹2,004</t>
  </si>
  <si>
    <t>P114</t>
  </si>
  <si>
    <t>₹905</t>
  </si>
  <si>
    <t>P912</t>
  </si>
  <si>
    <t>P205</t>
  </si>
  <si>
    <t>P520</t>
  </si>
  <si>
    <t>P721</t>
  </si>
  <si>
    <t>school bag std</t>
  </si>
  <si>
    <t>P671</t>
  </si>
  <si>
    <t>P625</t>
  </si>
  <si>
    <t xml:space="preserve">Pressure Cooker Lite  </t>
  </si>
  <si>
    <t>₹2,453</t>
  </si>
  <si>
    <t>P744</t>
  </si>
  <si>
    <t>₹780</t>
  </si>
  <si>
    <t>P741</t>
  </si>
  <si>
    <t>P009</t>
  </si>
  <si>
    <t>P074</t>
  </si>
  <si>
    <t>P401</t>
  </si>
  <si>
    <t>P119</t>
  </si>
  <si>
    <t>P702</t>
  </si>
  <si>
    <t>₹1,925</t>
  </si>
  <si>
    <t>P207</t>
  </si>
  <si>
    <t>P868</t>
  </si>
  <si>
    <t>Usb Cable Lite</t>
  </si>
  <si>
    <t>Usb Cable Pro</t>
  </si>
  <si>
    <t>Usb Cable Std</t>
  </si>
  <si>
    <t>Sell_through%</t>
  </si>
  <si>
    <t>Movement_Class</t>
  </si>
  <si>
    <t>Stock_Value</t>
  </si>
  <si>
    <t>Stock_Flag</t>
  </si>
  <si>
    <t>Row Labels</t>
  </si>
  <si>
    <t>Check</t>
  </si>
  <si>
    <t>Fast</t>
  </si>
  <si>
    <t>Non-moving</t>
  </si>
  <si>
    <t>Slow</t>
  </si>
  <si>
    <t>Grand Total</t>
  </si>
  <si>
    <t>Count of Product_ID</t>
  </si>
  <si>
    <t>(blank)</t>
  </si>
  <si>
    <t>Column Labels</t>
  </si>
  <si>
    <t>Sum of Stock_Value</t>
  </si>
  <si>
    <t>Overstock</t>
  </si>
  <si>
    <t>Jan</t>
  </si>
  <si>
    <t>Feb</t>
  </si>
  <si>
    <t>Mar</t>
  </si>
  <si>
    <t>Apr</t>
  </si>
  <si>
    <t>May</t>
  </si>
  <si>
    <t>Jun</t>
  </si>
  <si>
    <t>Jul</t>
  </si>
  <si>
    <t>Aug</t>
  </si>
  <si>
    <t>Sep</t>
  </si>
  <si>
    <t>Dec</t>
  </si>
  <si>
    <t>2025</t>
  </si>
  <si>
    <t>2026</t>
  </si>
  <si>
    <t>OK</t>
  </si>
  <si>
    <t>Shortage Risk</t>
  </si>
  <si>
    <t xml:space="preserve"> Sell_through%</t>
  </si>
  <si>
    <t xml:space="preserve"> Opening_Stock</t>
  </si>
  <si>
    <t xml:space="preserve"> Closing_Stock</t>
  </si>
  <si>
    <t>Units Sold</t>
  </si>
  <si>
    <t xml:space="preserve"> Stock Value</t>
  </si>
  <si>
    <t>INVENTORY MANAGEMENT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</si>
</sst>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09]\ #,##0"/>
  </numFmts>
  <fonts count="5" x14ac:knownFonts="1">
    <font>
      <sz val="11"/>
      <color theme="1"/>
      <name val="Calibri"/>
      <family val="2"/>
      <scheme val="minor"/>
    </font>
    <font>
      <b/>
      <sz val="11"/>
      <color rgb="FFFFFFFF"/>
      <name val="Arial"/>
    </font>
    <font>
      <sz val="11"/>
      <color theme="1"/>
      <name val="Calibri"/>
      <family val="2"/>
      <scheme val="minor"/>
    </font>
    <font>
      <sz val="24"/>
      <color theme="1"/>
      <name val="Cambria"/>
      <family val="1"/>
      <scheme val="major"/>
    </font>
    <font>
      <sz val="24"/>
      <color theme="5" tint="-0.499984740745262"/>
      <name val="Cambria"/>
      <family val="1"/>
      <scheme val="major"/>
    </font>
  </fonts>
  <fills count="4">
    <fill>
      <patternFill patternType="none"/>
    </fill>
    <fill>
      <patternFill patternType="gray125"/>
    </fill>
    <fill>
      <patternFill patternType="solid">
        <fgColor rgb="FF1F3864"/>
      </patternFill>
    </fill>
    <fill>
      <patternFill patternType="solid">
        <fgColor theme="2" tint="-9.9978637043366805E-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2" fillId="0" borderId="0" applyFont="0" applyFill="0" applyBorder="0" applyAlignment="0" applyProtection="0"/>
  </cellStyleXfs>
  <cellXfs count="25">
    <xf numFmtId="0" fontId="0" fillId="0" borderId="0" xfId="0"/>
    <xf numFmtId="164" fontId="0" fillId="0" borderId="0" xfId="0" applyNumberFormat="1"/>
    <xf numFmtId="0" fontId="1" fillId="2" borderId="0" xfId="0" applyFont="1" applyFill="1" applyAlignment="1">
      <alignment horizontal="center"/>
    </xf>
    <xf numFmtId="14" fontId="0" fillId="0" borderId="0" xfId="0" applyNumberFormat="1"/>
    <xf numFmtId="9" fontId="0" fillId="0" borderId="0" xfId="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65" fontId="0" fillId="0" borderId="0" xfId="0" applyNumberFormat="1"/>
    <xf numFmtId="1" fontId="0" fillId="0" borderId="0" xfId="0" applyNumberFormat="1"/>
    <xf numFmtId="0" fontId="0" fillId="3" borderId="0" xfId="0" applyFill="1" applyAlignment="1">
      <alignment horizontal="center"/>
    </xf>
    <xf numFmtId="0" fontId="0" fillId="3" borderId="0" xfId="0" applyFill="1"/>
    <xf numFmtId="0" fontId="4" fillId="3" borderId="0" xfId="0" applyFont="1" applyFill="1" applyAlignment="1">
      <alignment horizontal="center"/>
    </xf>
    <xf numFmtId="0" fontId="3" fillId="3" borderId="0" xfId="0" applyFont="1" applyFill="1" applyAlignment="1">
      <alignment horizontal="center"/>
    </xf>
    <xf numFmtId="0" fontId="0" fillId="0" borderId="0" xfId="0" applyNumberFormat="1"/>
  </cellXfs>
  <cellStyles count="2">
    <cellStyle name="Normal" xfId="0" builtinId="0"/>
    <cellStyle name="Percent" xfId="1" builtinId="5"/>
  </cellStyles>
  <dxfs count="268">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14" formatCode="0.00%"/>
    </dxf>
    <dxf>
      <numFmt numFmtId="0" formatCode="General"/>
    </dxf>
    <dxf>
      <numFmt numFmtId="0" formatCode="General"/>
    </dxf>
    <dxf>
      <numFmt numFmtId="165" formatCode="[$₹-4009]\ #,##0"/>
    </dxf>
    <dxf>
      <numFmt numFmtId="1" formatCode="0"/>
    </dxf>
    <dxf>
      <numFmt numFmtId="166" formatCode="&quot;$&quot;#,##0"/>
    </dxf>
    <dxf>
      <numFmt numFmtId="165" formatCode="[$₹-4009]\ #,##0"/>
    </dxf>
    <dxf>
      <numFmt numFmtId="0" formatCode="General"/>
    </dxf>
    <dxf>
      <numFmt numFmtId="0" formatCode="General"/>
    </dxf>
    <dxf>
      <numFmt numFmtId="0" formatCode="General"/>
    </dxf>
    <dxf>
      <numFmt numFmtId="13" formatCode="0%"/>
    </dxf>
    <dxf>
      <numFmt numFmtId="0" formatCode="General"/>
    </dxf>
    <dxf>
      <numFmt numFmtId="19" formatCode="m/d/yyyy"/>
    </dxf>
    <dxf>
      <numFmt numFmtId="0" formatCode="General"/>
    </dxf>
    <dxf>
      <numFmt numFmtId="0" formatCode="General"/>
    </dxf>
    <dxf>
      <numFmt numFmtId="0" formatCode="General"/>
    </dxf>
    <dxf>
      <numFmt numFmtId="165" formatCode="[$₹-4009]\ #,##0"/>
    </dxf>
    <dxf>
      <numFmt numFmtId="166" formatCode="&quot;$&quot;#,##0"/>
    </dxf>
    <dxf>
      <numFmt numFmtId="1" formatCode="0"/>
    </dxf>
    <dxf>
      <numFmt numFmtId="165" formatCode="[$₹-4009]\ #,##0"/>
    </dxf>
    <dxf>
      <numFmt numFmtId="0" formatCode="General"/>
    </dxf>
    <dxf>
      <numFmt numFmtId="0" formatCode="General"/>
    </dxf>
    <dxf>
      <numFmt numFmtId="14"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[Inventory_Practice_1000 (Repaired).xlsx]movement summary!PivotTable2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Movement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tint val="58000"/>
            </a:schemeClr>
          </a:solidFill>
          <a:ln w="19050">
            <a:solidFill>
              <a:schemeClr val="lt1"/>
            </a:solidFill>
          </a:ln>
          <a:effectLst/>
        </c:spPr>
      </c:pivotFmt>
      <c:pivotFmt>
        <c:idx val="2"/>
        <c:spPr>
          <a:solidFill>
            <a:schemeClr val="accent2">
              <a:tint val="86000"/>
            </a:schemeClr>
          </a:solidFill>
          <a:ln w="19050">
            <a:solidFill>
              <a:schemeClr val="lt1"/>
            </a:solidFill>
          </a:ln>
          <a:effectLst/>
        </c:spPr>
      </c:pivotFmt>
      <c:pivotFmt>
        <c:idx val="3"/>
        <c:spPr>
          <a:solidFill>
            <a:schemeClr val="accent2">
              <a:shade val="86000"/>
            </a:schemeClr>
          </a:solidFill>
          <a:ln w="19050">
            <a:solidFill>
              <a:schemeClr val="lt1"/>
            </a:solidFill>
          </a:ln>
          <a:effectLst/>
        </c:spPr>
      </c:pivotFmt>
      <c:pivotFmt>
        <c:idx val="4"/>
        <c:spPr>
          <a:solidFill>
            <a:schemeClr val="accent2">
              <a:shade val="58000"/>
            </a:schemeClr>
          </a:solidFill>
          <a:ln w="19050">
            <a:solidFill>
              <a:schemeClr val="lt1"/>
            </a:solidFill>
          </a:ln>
          <a:effectLst/>
        </c:spPr>
      </c:pivotFmt>
    </c:pivotFmts>
    <c:plotArea>
      <c:layout/>
      <c:doughnutChart>
        <c:varyColors val="1"/>
        <c:ser>
          <c:idx val="0"/>
          <c:order val="0"/>
          <c:tx>
            <c:strRef>
              <c:f>'movement summary'!$B$3</c:f>
              <c:strCache>
                <c:ptCount val="1"/>
                <c:pt idx="0">
                  <c:v>Total</c:v>
                </c:pt>
              </c:strCache>
            </c:strRef>
          </c:tx>
          <c:dPt>
            <c:idx val="0"/>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1-D5FB-4A5F-B746-6DE549B42EEC}"/>
              </c:ext>
            </c:extLst>
          </c:dPt>
          <c:dPt>
            <c:idx val="1"/>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3-D5FB-4A5F-B746-6DE549B42EEC}"/>
              </c:ext>
            </c:extLst>
          </c:dPt>
          <c:dPt>
            <c:idx val="2"/>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5-D5FB-4A5F-B746-6DE549B42EEC}"/>
              </c:ext>
            </c:extLst>
          </c:dPt>
          <c:dPt>
            <c:idx val="3"/>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7-D5FB-4A5F-B746-6DE549B42E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'movement summary'!$A$4:$A$8</c:f>
              <c:strCache>
                <c:ptCount val="4"/>
                <c:pt idx="0">
                  <c:v>Check</c:v>
                </c:pt>
                <c:pt idx="1">
                  <c:v>Fast</c:v>
                </c:pt>
                <c:pt idx="2">
                  <c:v>Non-moving</c:v>
                </c:pt>
                <c:pt idx="3">
                  <c:v>Slow</c:v>
                </c:pt>
              </c:strCache>
            </c:strRef>
          </c:cat>
          <c:val>
            <c:numRef>
              <c:f>'movement summary'!$B$4:$B$8</c:f>
              <c:numCache>
                <c:formatCode>0.00%</c:formatCode>
                <c:ptCount val="4"/>
                <c:pt idx="0">
                  <c:v>5.2631578947368418E-2</c:v>
                </c:pt>
                <c:pt idx="1">
                  <c:v>0.27789473684210525</c:v>
                </c:pt>
                <c:pt idx="2">
                  <c:v>0.30736842105263157</c:v>
                </c:pt>
                <c:pt idx="3">
                  <c:v>0.36210526315789476</c:v>
                </c:pt>
              </c:numCache>
            </c:numRef>
          </c:val>
          <c:extLst>
            <c:ext xmlns:c16="http://schemas.microsoft.com/office/drawing/2014/chart" uri="{C3380CC4-5D6E-409C-BE32-E72D297353CC}">
              <c16:uniqueId val="{00000000-86F4-4FAC-8EEC-3545B6189F5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[Inventory_Practice_1000 (Repaired).xlsx]Category mix!PivotTable1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'Category mix'!$B$3:$B$4</c:f>
              <c:strCache>
                <c:ptCount val="1"/>
                <c:pt idx="0">
                  <c:v>Check</c:v>
                </c:pt>
              </c:strCache>
            </c:strRef>
          </c:tx>
          <c:spPr>
            <a:solidFill>
              <a:schemeClr val="accent2">
                <a:tint val="58000"/>
              </a:schemeClr>
            </a:solidFill>
            <a:ln>
              <a:noFill/>
            </a:ln>
            <a:effectLst/>
          </c:spPr>
          <c:invertIfNegative val="0"/>
          <c:cat>
            <c:strRef>
              <c:f>'Category mix'!$A$5:$A$11</c:f>
              <c:strCache>
                <c:ptCount val="6"/>
                <c:pt idx="0">
                  <c:v>Apparel</c:v>
                </c:pt>
                <c:pt idx="1">
                  <c:v>Electronics</c:v>
                </c:pt>
                <c:pt idx="2">
                  <c:v>Groceries</c:v>
                </c:pt>
                <c:pt idx="3">
                  <c:v>Home &amp; Kitchen</c:v>
                </c:pt>
                <c:pt idx="4">
                  <c:v>Stationery</c:v>
                </c:pt>
                <c:pt idx="5">
                  <c:v>(blank)</c:v>
                </c:pt>
              </c:strCache>
            </c:strRef>
          </c:cat>
          <c:val>
            <c:numRef>
              <c:f>'Category mix'!$B$5:$B$11</c:f>
              <c:numCache>
                <c:formatCode>General</c:formatCode>
                <c:ptCount val="6"/>
                <c:pt idx="0">
                  <c:v>9</c:v>
                </c:pt>
                <c:pt idx="1">
                  <c:v>6</c:v>
                </c:pt>
                <c:pt idx="2">
                  <c:v>11</c:v>
                </c:pt>
                <c:pt idx="3">
                  <c:v>10</c:v>
                </c:pt>
                <c:pt idx="4">
                  <c:v>13</c:v>
                </c:pt>
                <c:pt idx="5">
                  <c:v>1</c:v>
                </c:pt>
              </c:numCache>
            </c:numRef>
          </c:val>
          <c:extLst>
            <c:ext xmlns:c16="http://schemas.microsoft.com/office/drawing/2014/chart" uri="{C3380CC4-5D6E-409C-BE32-E72D297353CC}">
              <c16:uniqueId val="{00000000-A8E9-4D55-AEF1-F50E11DE2F42}"/>
            </c:ext>
          </c:extLst>
        </c:ser>
        <c:ser>
          <c:idx val="1"/>
          <c:order val="1"/>
          <c:tx>
            <c:strRef>
              <c:f>'Category mix'!$C$3:$C$4</c:f>
              <c:strCache>
                <c:ptCount val="1"/>
                <c:pt idx="0">
                  <c:v>Fast</c:v>
                </c:pt>
              </c:strCache>
            </c:strRef>
          </c:tx>
          <c:spPr>
            <a:solidFill>
              <a:schemeClr val="accent2">
                <a:tint val="86000"/>
              </a:schemeClr>
            </a:solidFill>
            <a:ln>
              <a:noFill/>
            </a:ln>
            <a:effectLst/>
          </c:spPr>
          <c:invertIfNegative val="0"/>
          <c:cat>
            <c:strRef>
              <c:f>'Category mix'!$A$5:$A$11</c:f>
              <c:strCache>
                <c:ptCount val="6"/>
                <c:pt idx="0">
                  <c:v>Apparel</c:v>
                </c:pt>
                <c:pt idx="1">
                  <c:v>Electronics</c:v>
                </c:pt>
                <c:pt idx="2">
                  <c:v>Groceries</c:v>
                </c:pt>
                <c:pt idx="3">
                  <c:v>Home &amp; Kitchen</c:v>
                </c:pt>
                <c:pt idx="4">
                  <c:v>Stationery</c:v>
                </c:pt>
                <c:pt idx="5">
                  <c:v>(blank)</c:v>
                </c:pt>
              </c:strCache>
            </c:strRef>
          </c:cat>
          <c:val>
            <c:numRef>
              <c:f>'Category mix'!$C$5:$C$11</c:f>
              <c:numCache>
                <c:formatCode>General</c:formatCode>
                <c:ptCount val="6"/>
                <c:pt idx="0">
                  <c:v>42</c:v>
                </c:pt>
                <c:pt idx="1">
                  <c:v>60</c:v>
                </c:pt>
                <c:pt idx="2">
                  <c:v>56</c:v>
                </c:pt>
                <c:pt idx="3">
                  <c:v>47</c:v>
                </c:pt>
                <c:pt idx="4">
                  <c:v>48</c:v>
                </c:pt>
                <c:pt idx="5">
                  <c:v>11</c:v>
                </c:pt>
              </c:numCache>
            </c:numRef>
          </c:val>
          <c:extLst>
            <c:ext xmlns:c16="http://schemas.microsoft.com/office/drawing/2014/chart" uri="{C3380CC4-5D6E-409C-BE32-E72D297353CC}">
              <c16:uniqueId val="{00000009-537A-48B7-B963-361009854217}"/>
            </c:ext>
          </c:extLst>
        </c:ser>
        <c:ser>
          <c:idx val="2"/>
          <c:order val="2"/>
          <c:tx>
            <c:strRef>
              <c:f>'Category mix'!$D$3:$D$4</c:f>
              <c:strCache>
                <c:ptCount val="1"/>
                <c:pt idx="0">
                  <c:v>Non-moving</c:v>
                </c:pt>
              </c:strCache>
            </c:strRef>
          </c:tx>
          <c:spPr>
            <a:solidFill>
              <a:schemeClr val="accent2">
                <a:shade val="86000"/>
              </a:schemeClr>
            </a:solidFill>
            <a:ln>
              <a:noFill/>
            </a:ln>
            <a:effectLst/>
          </c:spPr>
          <c:invertIfNegative val="0"/>
          <c:cat>
            <c:strRef>
              <c:f>'Category mix'!$A$5:$A$11</c:f>
              <c:strCache>
                <c:ptCount val="6"/>
                <c:pt idx="0">
                  <c:v>Apparel</c:v>
                </c:pt>
                <c:pt idx="1">
                  <c:v>Electronics</c:v>
                </c:pt>
                <c:pt idx="2">
                  <c:v>Groceries</c:v>
                </c:pt>
                <c:pt idx="3">
                  <c:v>Home &amp; Kitchen</c:v>
                </c:pt>
                <c:pt idx="4">
                  <c:v>Stationery</c:v>
                </c:pt>
                <c:pt idx="5">
                  <c:v>(blank)</c:v>
                </c:pt>
              </c:strCache>
            </c:strRef>
          </c:cat>
          <c:val>
            <c:numRef>
              <c:f>'Category mix'!$D$5:$D$11</c:f>
              <c:numCache>
                <c:formatCode>General</c:formatCode>
                <c:ptCount val="6"/>
                <c:pt idx="0">
                  <c:v>50</c:v>
                </c:pt>
                <c:pt idx="1">
                  <c:v>63</c:v>
                </c:pt>
                <c:pt idx="2">
                  <c:v>45</c:v>
                </c:pt>
                <c:pt idx="3">
                  <c:v>71</c:v>
                </c:pt>
                <c:pt idx="4">
                  <c:v>51</c:v>
                </c:pt>
                <c:pt idx="5">
                  <c:v>12</c:v>
                </c:pt>
              </c:numCache>
            </c:numRef>
          </c:val>
          <c:extLst>
            <c:ext xmlns:c16="http://schemas.microsoft.com/office/drawing/2014/chart" uri="{C3380CC4-5D6E-409C-BE32-E72D297353CC}">
              <c16:uniqueId val="{0000000A-537A-48B7-B963-361009854217}"/>
            </c:ext>
          </c:extLst>
        </c:ser>
        <c:ser>
          <c:idx val="3"/>
          <c:order val="3"/>
          <c:tx>
            <c:strRef>
              <c:f>'Category mix'!$E$3:$E$4</c:f>
              <c:strCache>
                <c:ptCount val="1"/>
                <c:pt idx="0">
                  <c:v>Slow</c:v>
                </c:pt>
              </c:strCache>
            </c:strRef>
          </c:tx>
          <c:spPr>
            <a:solidFill>
              <a:schemeClr val="accent2">
                <a:shade val="58000"/>
              </a:schemeClr>
            </a:solidFill>
            <a:ln>
              <a:noFill/>
            </a:ln>
            <a:effectLst/>
          </c:spPr>
          <c:invertIfNegative val="0"/>
          <c:cat>
            <c:strRef>
              <c:f>'Category mix'!$A$5:$A$11</c:f>
              <c:strCache>
                <c:ptCount val="6"/>
                <c:pt idx="0">
                  <c:v>Apparel</c:v>
                </c:pt>
                <c:pt idx="1">
                  <c:v>Electronics</c:v>
                </c:pt>
                <c:pt idx="2">
                  <c:v>Groceries</c:v>
                </c:pt>
                <c:pt idx="3">
                  <c:v>Home &amp; Kitchen</c:v>
                </c:pt>
                <c:pt idx="4">
                  <c:v>Stationery</c:v>
                </c:pt>
                <c:pt idx="5">
                  <c:v>(blank)</c:v>
                </c:pt>
              </c:strCache>
            </c:strRef>
          </c:cat>
          <c:val>
            <c:numRef>
              <c:f>'Category mix'!$E$5:$E$11</c:f>
              <c:numCache>
                <c:formatCode>General</c:formatCode>
                <c:ptCount val="6"/>
                <c:pt idx="0">
                  <c:v>64</c:v>
                </c:pt>
                <c:pt idx="1">
                  <c:v>79</c:v>
                </c:pt>
                <c:pt idx="2">
                  <c:v>61</c:v>
                </c:pt>
                <c:pt idx="3">
                  <c:v>69</c:v>
                </c:pt>
                <c:pt idx="4">
                  <c:v>57</c:v>
                </c:pt>
                <c:pt idx="5">
                  <c:v>14</c:v>
                </c:pt>
              </c:numCache>
            </c:numRef>
          </c:val>
          <c:extLst>
            <c:ext xmlns:c16="http://schemas.microsoft.com/office/drawing/2014/chart" uri="{C3380CC4-5D6E-409C-BE32-E72D297353CC}">
              <c16:uniqueId val="{0000000B-537A-48B7-B963-361009854217}"/>
            </c:ext>
          </c:extLst>
        </c:ser>
        <c:dLbls>
          <c:showLegendKey val="0"/>
          <c:showVal val="0"/>
          <c:showCatName val="0"/>
          <c:showSerName val="0"/>
          <c:showPercent val="0"/>
          <c:showBubbleSize val="0"/>
        </c:dLbls>
        <c:gapWidth val="150"/>
        <c:overlap val="100"/>
        <c:axId val="1623681520"/>
        <c:axId val="1623682000"/>
      </c:barChart>
      <c:catAx>
        <c:axId val="1623681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682000"/>
        <c:crosses val="autoZero"/>
        <c:auto val="1"/>
        <c:lblAlgn val="ctr"/>
        <c:lblOffset val="100"/>
        <c:noMultiLvlLbl val="0"/>
      </c:catAx>
      <c:valAx>
        <c:axId val="16236820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68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[Inventory_Practice_1000 (Repaired).xlsx]Top overstocked!PivotTable3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overstocked items</a:t>
            </a:r>
            <a:endParaRPr lang="en-US"/>
          </a:p>
        </c:rich>
      </c:tx>
      <c:layout>
        <c:manualLayout>
          <c:xMode val="edge"/>
          <c:yMode val="edge"/>
          <c:x val="0.42618044619422579"/>
          <c:y val="5.68056046663389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645181801803714"/>
          <c:y val="0.20863732197409751"/>
          <c:w val="0.33430654613664545"/>
          <c:h val="0.63546066873075691"/>
        </c:manualLayout>
      </c:layout>
      <c:bar3DChart>
        <c:barDir val="bar"/>
        <c:grouping val="clustered"/>
        <c:varyColors val="0"/>
        <c:ser>
          <c:idx val="0"/>
          <c:order val="0"/>
          <c:tx>
            <c:strRef>
              <c:f>'Top overstocked'!$C$3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'Top overstocked'!$A$4:$B$14</c:f>
              <c:multiLvlStrCache>
                <c:ptCount val="10"/>
                <c:lvl>
                  <c:pt idx="0">
                    <c:v>Sunflower Oil Pro</c:v>
                  </c:pt>
                  <c:pt idx="1">
                    <c:v>Socks Lite</c:v>
                  </c:pt>
                  <c:pt idx="2">
                    <c:v>School Bag Lite</c:v>
                  </c:pt>
                  <c:pt idx="3">
                    <c:v>Power Bank Pro</c:v>
                  </c:pt>
                  <c:pt idx="4">
                    <c:v>Biscuits Lite</c:v>
                  </c:pt>
                  <c:pt idx="5">
                    <c:v>Power Bank Std</c:v>
                  </c:pt>
                  <c:pt idx="6">
                    <c:v>Smart Watch Std</c:v>
                  </c:pt>
                  <c:pt idx="7">
                    <c:v>Running Shoes Lite</c:v>
                  </c:pt>
                  <c:pt idx="8">
                    <c:v>Gel Pens Lite</c:v>
                  </c:pt>
                  <c:pt idx="9">
                    <c:v>Usb Cable Lite</c:v>
                  </c:pt>
                </c:lvl>
                <c:lvl>
                  <c:pt idx="0">
                    <c:v>P850</c:v>
                  </c:pt>
                  <c:pt idx="1">
                    <c:v>P818</c:v>
                  </c:pt>
                  <c:pt idx="2">
                    <c:v>P789</c:v>
                  </c:pt>
                  <c:pt idx="3">
                    <c:v>P777</c:v>
                  </c:pt>
                  <c:pt idx="4">
                    <c:v>P681</c:v>
                  </c:pt>
                  <c:pt idx="5">
                    <c:v>P555</c:v>
                  </c:pt>
                  <c:pt idx="6">
                    <c:v>P457</c:v>
                  </c:pt>
                  <c:pt idx="7">
                    <c:v>P383</c:v>
                  </c:pt>
                  <c:pt idx="8">
                    <c:v>P128</c:v>
                  </c:pt>
                  <c:pt idx="9">
                    <c:v>P025</c:v>
                  </c:pt>
                </c:lvl>
              </c:multiLvlStrCache>
            </c:multiLvlStrRef>
          </c:cat>
          <c:val>
            <c:numRef>
              <c:f>'Top overstocked'!$C$4:$C$14</c:f>
              <c:numCache>
                <c:formatCode>General</c:formatCode>
                <c:ptCount val="10"/>
                <c:pt idx="0">
                  <c:v>1200657</c:v>
                </c:pt>
                <c:pt idx="1">
                  <c:v>1273282</c:v>
                </c:pt>
                <c:pt idx="2">
                  <c:v>1463168</c:v>
                </c:pt>
                <c:pt idx="3">
                  <c:v>1164432</c:v>
                </c:pt>
                <c:pt idx="4">
                  <c:v>1244880</c:v>
                </c:pt>
                <c:pt idx="5">
                  <c:v>1160705</c:v>
                </c:pt>
                <c:pt idx="6">
                  <c:v>1394328</c:v>
                </c:pt>
                <c:pt idx="7">
                  <c:v>1196136</c:v>
                </c:pt>
                <c:pt idx="8">
                  <c:v>1161496</c:v>
                </c:pt>
                <c:pt idx="9">
                  <c:v>1369425</c:v>
                </c:pt>
              </c:numCache>
            </c:numRef>
          </c:val>
          <c:extLst>
            <c:ext xmlns:c16="http://schemas.microsoft.com/office/drawing/2014/chart" uri="{C3380CC4-5D6E-409C-BE32-E72D297353CC}">
              <c16:uniqueId val="{00000000-7BEB-4FCB-85F6-4C1DED84EDFE}"/>
            </c:ext>
          </c:extLst>
        </c:ser>
        <c:dLbls>
          <c:showLegendKey val="0"/>
          <c:showVal val="1"/>
          <c:showCatName val="0"/>
          <c:showSerName val="0"/>
          <c:showPercent val="0"/>
          <c:showBubbleSize val="0"/>
        </c:dLbls>
        <c:gapWidth val="150"/>
        <c:shape val="box"/>
        <c:axId val="1623689200"/>
        <c:axId val="1623706000"/>
        <c:axId val="0"/>
      </c:bar3DChart>
      <c:catAx>
        <c:axId val="16236892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706000"/>
        <c:crosses val="autoZero"/>
        <c:auto val="1"/>
        <c:lblAlgn val="ctr"/>
        <c:lblOffset val="100"/>
        <c:noMultiLvlLbl val="0"/>
      </c:catAx>
      <c:valAx>
        <c:axId val="16237060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68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[Inventory_Practice_1000 (Repaired).xlsx]Last sale months!PivotTable1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Last sale months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'Last sale months'!$B$3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'Last sale months'!$A$4:$A$16</c:f>
              <c:multiLvlStrCache>
                <c:ptCount val="10"/>
                <c:lvl>
                  <c:pt idx="0">
                    <c:v>Dec</c:v>
                  </c:pt>
                  <c:pt idx="1">
                    <c:v>Jan</c:v>
                  </c:pt>
                  <c:pt idx="2">
                    <c:v>Feb</c:v>
                  </c:pt>
                  <c:pt idx="3">
                    <c:v>Mar</c:v>
                  </c:pt>
                  <c:pt idx="4">
                    <c:v>Apr</c:v>
                  </c:pt>
                  <c:pt idx="5">
                    <c:v>May</c:v>
                  </c:pt>
                  <c:pt idx="6">
                    <c:v>Jun</c:v>
                  </c:pt>
                  <c:pt idx="7">
                    <c:v>Jul</c:v>
                  </c:pt>
                  <c:pt idx="8">
                    <c:v>Aug</c:v>
                  </c:pt>
                  <c:pt idx="9">
                    <c:v>Sep</c:v>
                  </c:pt>
                </c:lvl>
                <c:lvl>
                  <c:pt idx="0">
                    <c:v>2025</c:v>
                  </c:pt>
                  <c:pt idx="1">
                    <c:v>2026</c:v>
                  </c:pt>
                </c:lvl>
              </c:multiLvlStrCache>
            </c:multiLvlStrRef>
          </c:cat>
          <c:val>
            <c:numRef>
              <c:f>'Last sale months'!$B$4:$B$16</c:f>
              <c:numCache>
                <c:formatCode>General</c:formatCode>
                <c:ptCount val="10"/>
                <c:pt idx="0">
                  <c:v>59</c:v>
                </c:pt>
                <c:pt idx="1">
                  <c:v>70</c:v>
                </c:pt>
                <c:pt idx="2">
                  <c:v>61</c:v>
                </c:pt>
                <c:pt idx="3">
                  <c:v>64</c:v>
                </c:pt>
                <c:pt idx="4">
                  <c:v>57</c:v>
                </c:pt>
                <c:pt idx="5">
                  <c:v>70</c:v>
                </c:pt>
                <c:pt idx="6">
                  <c:v>73</c:v>
                </c:pt>
                <c:pt idx="7">
                  <c:v>63</c:v>
                </c:pt>
                <c:pt idx="8">
                  <c:v>69</c:v>
                </c:pt>
                <c:pt idx="9">
                  <c:v>47</c:v>
                </c:pt>
              </c:numCache>
            </c:numRef>
          </c:val>
          <c:smooth val="0"/>
          <c:extLst>
            <c:ext xmlns:c16="http://schemas.microsoft.com/office/drawing/2014/chart" uri="{C3380CC4-5D6E-409C-BE32-E72D297353CC}">
              <c16:uniqueId val="{00000000-31E6-4BDB-8202-925E1DAEE21E}"/>
            </c:ext>
          </c:extLst>
        </c:ser>
        <c:dLbls>
          <c:dLblPos val="ctr"/>
          <c:showLegendKey val="0"/>
          <c:showVal val="1"/>
          <c:showCatName val="0"/>
          <c:showSerName val="0"/>
          <c:showPercent val="0"/>
          <c:showBubbleSize val="0"/>
        </c:dLbls>
        <c:marker val="1"/>
        <c:smooth val="0"/>
        <c:axId val="1623694960"/>
        <c:axId val="1623713680"/>
      </c:lineChart>
      <c:catAx>
        <c:axId val="16236949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3713680"/>
        <c:crosses val="autoZero"/>
        <c:auto val="1"/>
        <c:lblAlgn val="ctr"/>
        <c:lblOffset val="100"/>
        <c:noMultiLvlLbl val="0"/>
      </c:catAx>
      <c:valAx>
        <c:axId val="1623713680"/>
        <c:scaling>
          <c:orientation val="minMax"/>
        </c:scaling>
        <c:delete val="1"/>
        <c:axPos val="l"/>
        <c:numFmt formatCode="General" sourceLinked="1"/>
        <c:majorTickMark val="none"/>
        <c:minorTickMark val="none"/>
        <c:tickLblPos val="nextTo"/>
        <c:crossAx val="162369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[Inventory_Practice_1000 (Repaired).xlsx]Capital stuck!PivotTable3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Capital tied</a:t>
            </a:r>
            <a:r>
              <a:rPr lang="en-US" baseline="0"/>
              <a:t> 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'Capital stuck'!$B$3</c:f>
              <c:strCache>
                <c:ptCount val="1"/>
                <c:pt idx="0">
                  <c:v>Total</c:v>
                </c:pt>
              </c:strCache>
            </c:strRef>
          </c:tx>
          <c:spPr>
            <a:solidFill>
              <a:schemeClr val="accent2"/>
            </a:solidFill>
            <a:ln>
              <a:noFill/>
            </a:ln>
            <a:effectLst/>
            <a:sp3d/>
          </c:spPr>
          <c:invertIfNegative val="0"/>
          <c:cat>
            <c:strRef>
              <c:f>'Capital stuck'!$A$4:$A$8</c:f>
              <c:strCache>
                <c:ptCount val="4"/>
                <c:pt idx="0">
                  <c:v>Check</c:v>
                </c:pt>
                <c:pt idx="1">
                  <c:v>Fast</c:v>
                </c:pt>
                <c:pt idx="2">
                  <c:v>Non-moving</c:v>
                </c:pt>
                <c:pt idx="3">
                  <c:v>Slow</c:v>
                </c:pt>
              </c:strCache>
            </c:strRef>
          </c:cat>
          <c:val>
            <c:numRef>
              <c:f>'Capital stuck'!$B$4:$B$8</c:f>
              <c:numCache>
                <c:formatCode>[$₹-4009]\ #,##0</c:formatCode>
                <c:ptCount val="4"/>
                <c:pt idx="0">
                  <c:v>13272017</c:v>
                </c:pt>
                <c:pt idx="1">
                  <c:v>14663531</c:v>
                </c:pt>
                <c:pt idx="2">
                  <c:v>109464533</c:v>
                </c:pt>
                <c:pt idx="3">
                  <c:v>107799980</c:v>
                </c:pt>
              </c:numCache>
            </c:numRef>
          </c:val>
          <c:extLst>
            <c:ext xmlns:c16="http://schemas.microsoft.com/office/drawing/2014/chart" uri="{C3380CC4-5D6E-409C-BE32-E72D297353CC}">
              <c16:uniqueId val="{00000000-57A0-4978-9118-55254199752D}"/>
            </c:ext>
          </c:extLst>
        </c:ser>
        <c:dLbls>
          <c:showLegendKey val="0"/>
          <c:showVal val="0"/>
          <c:showCatName val="0"/>
          <c:showSerName val="0"/>
          <c:showPercent val="0"/>
          <c:showBubbleSize val="0"/>
        </c:dLbls>
        <c:gapWidth val="150"/>
        <c:shape val="box"/>
        <c:axId val="1623710800"/>
        <c:axId val="1623710320"/>
        <c:axId val="0"/>
      </c:bar3DChart>
      <c:catAx>
        <c:axId val="1623710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710320"/>
        <c:crosses val="autoZero"/>
        <c:auto val="1"/>
        <c:lblAlgn val="ctr"/>
        <c:lblOffset val="100"/>
        <c:noMultiLvlLbl val="0"/>
      </c:catAx>
      <c:valAx>
        <c:axId val="1623710320"/>
        <c:scaling>
          <c:orientation val="minMax"/>
        </c:scaling>
        <c:delete val="0"/>
        <c:axPos val="l"/>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7108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[Inventory_Practice_1000 (Repaired).xlsx]Stock Flags!PivotTable4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Stock flags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'Stock Flags'!$B$3</c:f>
              <c:strCache>
                <c:ptCount val="1"/>
                <c:pt idx="0">
                  <c:v>Total</c:v>
                </c:pt>
              </c:strCache>
            </c:strRef>
          </c:tx>
          <c:dPt>
            <c:idx val="0"/>
            <c:bubble3D val="0"/>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333-4650-BC74-80C25C1D4B7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333-4650-BC74-80C25C1D4B74}"/>
              </c:ext>
            </c:extLst>
          </c:dPt>
          <c:dPt>
            <c:idx val="2"/>
            <c:bubble3D val="0"/>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333-4650-BC74-80C25C1D4B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'Stock Flags'!$A$4:$A$7</c:f>
              <c:strCache>
                <c:ptCount val="3"/>
                <c:pt idx="0">
                  <c:v>OK</c:v>
                </c:pt>
                <c:pt idx="1">
                  <c:v>Overstock</c:v>
                </c:pt>
                <c:pt idx="2">
                  <c:v>Shortage Risk</c:v>
                </c:pt>
              </c:strCache>
            </c:strRef>
          </c:cat>
          <c:val>
            <c:numRef>
              <c:f>'Stock Flags'!$B$4:$B$7</c:f>
              <c:numCache>
                <c:formatCode>General</c:formatCode>
                <c:ptCount val="3"/>
                <c:pt idx="0">
                  <c:v>169</c:v>
                </c:pt>
                <c:pt idx="1">
                  <c:v>591</c:v>
                </c:pt>
                <c:pt idx="2">
                  <c:v>190</c:v>
                </c:pt>
              </c:numCache>
            </c:numRef>
          </c:val>
          <c:extLst>
            <c:ext xmlns:c16="http://schemas.microsoft.com/office/drawing/2014/chart" uri="{C3380CC4-5D6E-409C-BE32-E72D297353CC}">
              <c16:uniqueId val="{00000000-9E28-4F1E-AE25-811B01E0542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[Inventory_Practice_1000 (Repaired).xlsx]movement summary!PivotTable2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Movement salary</a:t>
            </a:r>
          </a:p>
        </c:rich>
      </c:tx>
      <c:layout>
        <c:manualLayout>
          <c:xMode val="edge"/>
          <c:yMode val="edge"/>
          <c:x val="0.3317349605135278"/>
          <c:y val="7.09973753280839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tint val="58000"/>
            </a:schemeClr>
          </a:solidFill>
          <a:ln w="19050">
            <a:solidFill>
              <a:schemeClr val="lt1"/>
            </a:solidFill>
          </a:ln>
          <a:effectLst/>
        </c:spPr>
      </c:pivotFmt>
      <c:pivotFmt>
        <c:idx val="3"/>
        <c:spPr>
          <a:solidFill>
            <a:schemeClr val="accent2">
              <a:tint val="86000"/>
            </a:schemeClr>
          </a:solidFill>
          <a:ln w="19050">
            <a:solidFill>
              <a:schemeClr val="lt1"/>
            </a:solidFill>
          </a:ln>
          <a:effectLst/>
        </c:spPr>
      </c:pivotFmt>
      <c:pivotFmt>
        <c:idx val="4"/>
        <c:spPr>
          <a:solidFill>
            <a:schemeClr val="accent2">
              <a:shade val="86000"/>
            </a:schemeClr>
          </a:solidFill>
          <a:ln w="19050">
            <a:solidFill>
              <a:schemeClr val="lt1"/>
            </a:solidFill>
          </a:ln>
          <a:effectLst/>
        </c:spPr>
      </c:pivotFmt>
      <c:pivotFmt>
        <c:idx val="5"/>
        <c:spPr>
          <a:solidFill>
            <a:schemeClr val="accent2">
              <a:shade val="58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tint val="58000"/>
            </a:schemeClr>
          </a:solidFill>
          <a:ln w="19050">
            <a:solidFill>
              <a:schemeClr val="lt1"/>
            </a:solidFill>
          </a:ln>
          <a:effectLst/>
        </c:spPr>
      </c:pivotFmt>
      <c:pivotFmt>
        <c:idx val="8"/>
        <c:spPr>
          <a:solidFill>
            <a:schemeClr val="accent2">
              <a:tint val="86000"/>
            </a:schemeClr>
          </a:solidFill>
          <a:ln w="19050">
            <a:solidFill>
              <a:schemeClr val="lt1"/>
            </a:solidFill>
          </a:ln>
          <a:effectLst/>
        </c:spPr>
      </c:pivotFmt>
      <c:pivotFmt>
        <c:idx val="9"/>
        <c:spPr>
          <a:solidFill>
            <a:schemeClr val="accent2">
              <a:shade val="86000"/>
            </a:schemeClr>
          </a:solidFill>
          <a:ln w="19050">
            <a:solidFill>
              <a:schemeClr val="lt1"/>
            </a:solidFill>
          </a:ln>
          <a:effectLst/>
        </c:spPr>
      </c:pivotFmt>
      <c:pivotFmt>
        <c:idx val="10"/>
        <c:spPr>
          <a:solidFill>
            <a:schemeClr val="accent2">
              <a:shade val="58000"/>
            </a:schemeClr>
          </a:solidFill>
          <a:ln w="19050">
            <a:solidFill>
              <a:schemeClr val="lt1"/>
            </a:solidFill>
          </a:ln>
          <a:effectLst/>
        </c:spPr>
      </c:pivotFmt>
    </c:pivotFmts>
    <c:plotArea>
      <c:layout>
        <c:manualLayout>
          <c:layoutTarget val="inner"/>
          <c:xMode val="edge"/>
          <c:yMode val="edge"/>
          <c:x val="0.15232030308849973"/>
          <c:y val="0.25920102378507032"/>
          <c:w val="0.4283601329213006"/>
          <c:h val="0.59997024828418188"/>
        </c:manualLayout>
      </c:layout>
      <c:doughnutChart>
        <c:varyColors val="1"/>
        <c:ser>
          <c:idx val="0"/>
          <c:order val="0"/>
          <c:tx>
            <c:strRef>
              <c:f>'movement summary'!$B$3</c:f>
              <c:strCache>
                <c:ptCount val="1"/>
                <c:pt idx="0">
                  <c:v>Total</c:v>
                </c:pt>
              </c:strCache>
            </c:strRef>
          </c:tx>
          <c:dPt>
            <c:idx val="0"/>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1-8356-4653-9F2D-1121DD49C022}"/>
              </c:ext>
            </c:extLst>
          </c:dPt>
          <c:dPt>
            <c:idx val="1"/>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3-8356-4653-9F2D-1121DD49C022}"/>
              </c:ext>
            </c:extLst>
          </c:dPt>
          <c:dPt>
            <c:idx val="2"/>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5-8356-4653-9F2D-1121DD49C022}"/>
              </c:ext>
            </c:extLst>
          </c:dPt>
          <c:dPt>
            <c:idx val="3"/>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7-8356-4653-9F2D-1121DD49C0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'movement summary'!$A$4:$A$8</c:f>
              <c:strCache>
                <c:ptCount val="4"/>
                <c:pt idx="0">
                  <c:v>Check</c:v>
                </c:pt>
                <c:pt idx="1">
                  <c:v>Fast</c:v>
                </c:pt>
                <c:pt idx="2">
                  <c:v>Non-moving</c:v>
                </c:pt>
                <c:pt idx="3">
                  <c:v>Slow</c:v>
                </c:pt>
              </c:strCache>
            </c:strRef>
          </c:cat>
          <c:val>
            <c:numRef>
              <c:f>'movement summary'!$B$4:$B$8</c:f>
              <c:numCache>
                <c:formatCode>0.00%</c:formatCode>
                <c:ptCount val="4"/>
                <c:pt idx="0">
                  <c:v>5.2631578947368418E-2</c:v>
                </c:pt>
                <c:pt idx="1">
                  <c:v>0.27789473684210525</c:v>
                </c:pt>
                <c:pt idx="2">
                  <c:v>0.30736842105263157</c:v>
                </c:pt>
                <c:pt idx="3">
                  <c:v>0.36210526315789476</c:v>
                </c:pt>
              </c:numCache>
            </c:numRef>
          </c:val>
          <c:extLst>
            <c:ext xmlns:c16="http://schemas.microsoft.com/office/drawing/2014/chart" uri="{C3380CC4-5D6E-409C-BE32-E72D297353CC}">
              <c16:uniqueId val="{00000008-8356-4653-9F2D-1121DD49C02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278640059127869"/>
          <c:y val="0.34948117898306197"/>
          <c:w val="0.28547671840354766"/>
          <c:h val="0.424585921325051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[Inventory_Practice_1000 (Repaired).xlsx]Category mix!PivotTable1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mix</a:t>
            </a:r>
          </a:p>
        </c:rich>
      </c:tx>
      <c:layout>
        <c:manualLayout>
          <c:xMode val="edge"/>
          <c:yMode val="edge"/>
          <c:x val="0.36878659398344438"/>
          <c:y val="3.93273617643432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'Category mix'!$B$3:$B$4</c:f>
              <c:strCache>
                <c:ptCount val="1"/>
                <c:pt idx="0">
                  <c:v>Check</c:v>
                </c:pt>
              </c:strCache>
            </c:strRef>
          </c:tx>
          <c:spPr>
            <a:solidFill>
              <a:schemeClr val="accent2">
                <a:tint val="58000"/>
              </a:schemeClr>
            </a:solidFill>
            <a:ln>
              <a:noFill/>
            </a:ln>
            <a:effectLst/>
          </c:spPr>
          <c:invertIfNegative val="0"/>
          <c:cat>
            <c:strRef>
              <c:f>'Category mix'!$A$5:$A$11</c:f>
              <c:strCache>
                <c:ptCount val="6"/>
                <c:pt idx="0">
                  <c:v>Apparel</c:v>
                </c:pt>
                <c:pt idx="1">
                  <c:v>Electronics</c:v>
                </c:pt>
                <c:pt idx="2">
                  <c:v>Groceries</c:v>
                </c:pt>
                <c:pt idx="3">
                  <c:v>Home &amp; Kitchen</c:v>
                </c:pt>
                <c:pt idx="4">
                  <c:v>Stationery</c:v>
                </c:pt>
                <c:pt idx="5">
                  <c:v>(blank)</c:v>
                </c:pt>
              </c:strCache>
            </c:strRef>
          </c:cat>
          <c:val>
            <c:numRef>
              <c:f>'Category mix'!$B$5:$B$11</c:f>
              <c:numCache>
                <c:formatCode>General</c:formatCode>
                <c:ptCount val="6"/>
                <c:pt idx="0">
                  <c:v>9</c:v>
                </c:pt>
                <c:pt idx="1">
                  <c:v>6</c:v>
                </c:pt>
                <c:pt idx="2">
                  <c:v>11</c:v>
                </c:pt>
                <c:pt idx="3">
                  <c:v>10</c:v>
                </c:pt>
                <c:pt idx="4">
                  <c:v>13</c:v>
                </c:pt>
                <c:pt idx="5">
                  <c:v>1</c:v>
                </c:pt>
              </c:numCache>
            </c:numRef>
          </c:val>
          <c:extLst>
            <c:ext xmlns:c16="http://schemas.microsoft.com/office/drawing/2014/chart" uri="{C3380CC4-5D6E-409C-BE32-E72D297353CC}">
              <c16:uniqueId val="{00000000-920F-42A8-B535-0DB4935ACDED}"/>
            </c:ext>
          </c:extLst>
        </c:ser>
        <c:ser>
          <c:idx val="1"/>
          <c:order val="1"/>
          <c:tx>
            <c:strRef>
              <c:f>'Category mix'!$C$3:$C$4</c:f>
              <c:strCache>
                <c:ptCount val="1"/>
                <c:pt idx="0">
                  <c:v>Fast</c:v>
                </c:pt>
              </c:strCache>
            </c:strRef>
          </c:tx>
          <c:spPr>
            <a:solidFill>
              <a:schemeClr val="accent2">
                <a:tint val="86000"/>
              </a:schemeClr>
            </a:solidFill>
            <a:ln>
              <a:noFill/>
            </a:ln>
            <a:effectLst/>
          </c:spPr>
          <c:invertIfNegative val="0"/>
          <c:cat>
            <c:strRef>
              <c:f>'Category mix'!$A$5:$A$11</c:f>
              <c:strCache>
                <c:ptCount val="6"/>
                <c:pt idx="0">
                  <c:v>Apparel</c:v>
                </c:pt>
                <c:pt idx="1">
                  <c:v>Electronics</c:v>
                </c:pt>
                <c:pt idx="2">
                  <c:v>Groceries</c:v>
                </c:pt>
                <c:pt idx="3">
                  <c:v>Home &amp; Kitchen</c:v>
                </c:pt>
                <c:pt idx="4">
                  <c:v>Stationery</c:v>
                </c:pt>
                <c:pt idx="5">
                  <c:v>(blank)</c:v>
                </c:pt>
              </c:strCache>
            </c:strRef>
          </c:cat>
          <c:val>
            <c:numRef>
              <c:f>'Category mix'!$C$5:$C$11</c:f>
              <c:numCache>
                <c:formatCode>General</c:formatCode>
                <c:ptCount val="6"/>
                <c:pt idx="0">
                  <c:v>42</c:v>
                </c:pt>
                <c:pt idx="1">
                  <c:v>60</c:v>
                </c:pt>
                <c:pt idx="2">
                  <c:v>56</c:v>
                </c:pt>
                <c:pt idx="3">
                  <c:v>47</c:v>
                </c:pt>
                <c:pt idx="4">
                  <c:v>48</c:v>
                </c:pt>
                <c:pt idx="5">
                  <c:v>11</c:v>
                </c:pt>
              </c:numCache>
            </c:numRef>
          </c:val>
          <c:extLst>
            <c:ext xmlns:c16="http://schemas.microsoft.com/office/drawing/2014/chart" uri="{C3380CC4-5D6E-409C-BE32-E72D297353CC}">
              <c16:uniqueId val="{0000000A-4448-41D6-B1FD-B2183F5A16FA}"/>
            </c:ext>
          </c:extLst>
        </c:ser>
        <c:ser>
          <c:idx val="2"/>
          <c:order val="2"/>
          <c:tx>
            <c:strRef>
              <c:f>'Category mix'!$D$3:$D$4</c:f>
              <c:strCache>
                <c:ptCount val="1"/>
                <c:pt idx="0">
                  <c:v>Non-moving</c:v>
                </c:pt>
              </c:strCache>
            </c:strRef>
          </c:tx>
          <c:spPr>
            <a:solidFill>
              <a:schemeClr val="accent2">
                <a:shade val="86000"/>
              </a:schemeClr>
            </a:solidFill>
            <a:ln>
              <a:noFill/>
            </a:ln>
            <a:effectLst/>
          </c:spPr>
          <c:invertIfNegative val="0"/>
          <c:cat>
            <c:strRef>
              <c:f>'Category mix'!$A$5:$A$11</c:f>
              <c:strCache>
                <c:ptCount val="6"/>
                <c:pt idx="0">
                  <c:v>Apparel</c:v>
                </c:pt>
                <c:pt idx="1">
                  <c:v>Electronics</c:v>
                </c:pt>
                <c:pt idx="2">
                  <c:v>Groceries</c:v>
                </c:pt>
                <c:pt idx="3">
                  <c:v>Home &amp; Kitchen</c:v>
                </c:pt>
                <c:pt idx="4">
                  <c:v>Stationery</c:v>
                </c:pt>
                <c:pt idx="5">
                  <c:v>(blank)</c:v>
                </c:pt>
              </c:strCache>
            </c:strRef>
          </c:cat>
          <c:val>
            <c:numRef>
              <c:f>'Category mix'!$D$5:$D$11</c:f>
              <c:numCache>
                <c:formatCode>General</c:formatCode>
                <c:ptCount val="6"/>
                <c:pt idx="0">
                  <c:v>50</c:v>
                </c:pt>
                <c:pt idx="1">
                  <c:v>63</c:v>
                </c:pt>
                <c:pt idx="2">
                  <c:v>45</c:v>
                </c:pt>
                <c:pt idx="3">
                  <c:v>71</c:v>
                </c:pt>
                <c:pt idx="4">
                  <c:v>51</c:v>
                </c:pt>
                <c:pt idx="5">
                  <c:v>12</c:v>
                </c:pt>
              </c:numCache>
            </c:numRef>
          </c:val>
          <c:extLst>
            <c:ext xmlns:c16="http://schemas.microsoft.com/office/drawing/2014/chart" uri="{C3380CC4-5D6E-409C-BE32-E72D297353CC}">
              <c16:uniqueId val="{0000000B-4448-41D6-B1FD-B2183F5A16FA}"/>
            </c:ext>
          </c:extLst>
        </c:ser>
        <c:ser>
          <c:idx val="3"/>
          <c:order val="3"/>
          <c:tx>
            <c:strRef>
              <c:f>'Category mix'!$E$3:$E$4</c:f>
              <c:strCache>
                <c:ptCount val="1"/>
                <c:pt idx="0">
                  <c:v>Slow</c:v>
                </c:pt>
              </c:strCache>
            </c:strRef>
          </c:tx>
          <c:spPr>
            <a:solidFill>
              <a:schemeClr val="accent2">
                <a:shade val="58000"/>
              </a:schemeClr>
            </a:solidFill>
            <a:ln>
              <a:noFill/>
            </a:ln>
            <a:effectLst/>
          </c:spPr>
          <c:invertIfNegative val="0"/>
          <c:cat>
            <c:strRef>
              <c:f>'Category mix'!$A$5:$A$11</c:f>
              <c:strCache>
                <c:ptCount val="6"/>
                <c:pt idx="0">
                  <c:v>Apparel</c:v>
                </c:pt>
                <c:pt idx="1">
                  <c:v>Electronics</c:v>
                </c:pt>
                <c:pt idx="2">
                  <c:v>Groceries</c:v>
                </c:pt>
                <c:pt idx="3">
                  <c:v>Home &amp; Kitchen</c:v>
                </c:pt>
                <c:pt idx="4">
                  <c:v>Stationery</c:v>
                </c:pt>
                <c:pt idx="5">
                  <c:v>(blank)</c:v>
                </c:pt>
              </c:strCache>
            </c:strRef>
          </c:cat>
          <c:val>
            <c:numRef>
              <c:f>'Category mix'!$E$5:$E$11</c:f>
              <c:numCache>
                <c:formatCode>General</c:formatCode>
                <c:ptCount val="6"/>
                <c:pt idx="0">
                  <c:v>64</c:v>
                </c:pt>
                <c:pt idx="1">
                  <c:v>79</c:v>
                </c:pt>
                <c:pt idx="2">
                  <c:v>61</c:v>
                </c:pt>
                <c:pt idx="3">
                  <c:v>69</c:v>
                </c:pt>
                <c:pt idx="4">
                  <c:v>57</c:v>
                </c:pt>
                <c:pt idx="5">
                  <c:v>14</c:v>
                </c:pt>
              </c:numCache>
            </c:numRef>
          </c:val>
          <c:extLst>
            <c:ext xmlns:c16="http://schemas.microsoft.com/office/drawing/2014/chart" uri="{C3380CC4-5D6E-409C-BE32-E72D297353CC}">
              <c16:uniqueId val="{0000000C-4448-41D6-B1FD-B2183F5A16FA}"/>
            </c:ext>
          </c:extLst>
        </c:ser>
        <c:dLbls>
          <c:showLegendKey val="0"/>
          <c:showVal val="0"/>
          <c:showCatName val="0"/>
          <c:showSerName val="0"/>
          <c:showPercent val="0"/>
          <c:showBubbleSize val="0"/>
        </c:dLbls>
        <c:gapWidth val="150"/>
        <c:overlap val="100"/>
        <c:axId val="1623681520"/>
        <c:axId val="1623682000"/>
      </c:barChart>
      <c:catAx>
        <c:axId val="1623681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682000"/>
        <c:crosses val="autoZero"/>
        <c:auto val="1"/>
        <c:lblAlgn val="ctr"/>
        <c:lblOffset val="100"/>
        <c:noMultiLvlLbl val="0"/>
      </c:catAx>
      <c:valAx>
        <c:axId val="16236820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68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[Inventory_Practice_1000 (Repaired).xlsx]Top overstocked!PivotTable3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overstocked items</a:t>
            </a:r>
            <a:endParaRPr lang="en-US"/>
          </a:p>
        </c:rich>
      </c:tx>
      <c:layout>
        <c:manualLayout>
          <c:xMode val="edge"/>
          <c:yMode val="edge"/>
          <c:x val="0.30363135903967886"/>
          <c:y val="4.15618398309967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645181801803714"/>
          <c:y val="0.20863732197409751"/>
          <c:w val="0.33430654613664545"/>
          <c:h val="0.63546066873075691"/>
        </c:manualLayout>
      </c:layout>
      <c:bar3DChart>
        <c:barDir val="bar"/>
        <c:grouping val="clustered"/>
        <c:varyColors val="0"/>
        <c:ser>
          <c:idx val="0"/>
          <c:order val="0"/>
          <c:tx>
            <c:strRef>
              <c:f>'Top overstocked'!$C$3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'Top overstocked'!$A$4:$B$14</c:f>
              <c:multiLvlStrCache>
                <c:ptCount val="10"/>
                <c:lvl>
                  <c:pt idx="0">
                    <c:v>Sunflower Oil Pro</c:v>
                  </c:pt>
                  <c:pt idx="1">
                    <c:v>Socks Lite</c:v>
                  </c:pt>
                  <c:pt idx="2">
                    <c:v>School Bag Lite</c:v>
                  </c:pt>
                  <c:pt idx="3">
                    <c:v>Power Bank Pro</c:v>
                  </c:pt>
                  <c:pt idx="4">
                    <c:v>Biscuits Lite</c:v>
                  </c:pt>
                  <c:pt idx="5">
                    <c:v>Power Bank Std</c:v>
                  </c:pt>
                  <c:pt idx="6">
                    <c:v>Smart Watch Std</c:v>
                  </c:pt>
                  <c:pt idx="7">
                    <c:v>Running Shoes Lite</c:v>
                  </c:pt>
                  <c:pt idx="8">
                    <c:v>Gel Pens Lite</c:v>
                  </c:pt>
                  <c:pt idx="9">
                    <c:v>Usb Cable Lite</c:v>
                  </c:pt>
                </c:lvl>
                <c:lvl>
                  <c:pt idx="0">
                    <c:v>P850</c:v>
                  </c:pt>
                  <c:pt idx="1">
                    <c:v>P818</c:v>
                  </c:pt>
                  <c:pt idx="2">
                    <c:v>P789</c:v>
                  </c:pt>
                  <c:pt idx="3">
                    <c:v>P777</c:v>
                  </c:pt>
                  <c:pt idx="4">
                    <c:v>P681</c:v>
                  </c:pt>
                  <c:pt idx="5">
                    <c:v>P555</c:v>
                  </c:pt>
                  <c:pt idx="6">
                    <c:v>P457</c:v>
                  </c:pt>
                  <c:pt idx="7">
                    <c:v>P383</c:v>
                  </c:pt>
                  <c:pt idx="8">
                    <c:v>P128</c:v>
                  </c:pt>
                  <c:pt idx="9">
                    <c:v>P025</c:v>
                  </c:pt>
                </c:lvl>
              </c:multiLvlStrCache>
            </c:multiLvlStrRef>
          </c:cat>
          <c:val>
            <c:numRef>
              <c:f>'Top overstocked'!$C$4:$C$14</c:f>
              <c:numCache>
                <c:formatCode>General</c:formatCode>
                <c:ptCount val="10"/>
                <c:pt idx="0">
                  <c:v>1200657</c:v>
                </c:pt>
                <c:pt idx="1">
                  <c:v>1273282</c:v>
                </c:pt>
                <c:pt idx="2">
                  <c:v>1463168</c:v>
                </c:pt>
                <c:pt idx="3">
                  <c:v>1164432</c:v>
                </c:pt>
                <c:pt idx="4">
                  <c:v>1244880</c:v>
                </c:pt>
                <c:pt idx="5">
                  <c:v>1160705</c:v>
                </c:pt>
                <c:pt idx="6">
                  <c:v>1394328</c:v>
                </c:pt>
                <c:pt idx="7">
                  <c:v>1196136</c:v>
                </c:pt>
                <c:pt idx="8">
                  <c:v>1161496</c:v>
                </c:pt>
                <c:pt idx="9">
                  <c:v>1369425</c:v>
                </c:pt>
              </c:numCache>
            </c:numRef>
          </c:val>
          <c:extLst>
            <c:ext xmlns:c16="http://schemas.microsoft.com/office/drawing/2014/chart" uri="{C3380CC4-5D6E-409C-BE32-E72D297353CC}">
              <c16:uniqueId val="{00000000-F297-43A8-BE1C-16663D278EB3}"/>
            </c:ext>
          </c:extLst>
        </c:ser>
        <c:dLbls>
          <c:showLegendKey val="0"/>
          <c:showVal val="1"/>
          <c:showCatName val="0"/>
          <c:showSerName val="0"/>
          <c:showPercent val="0"/>
          <c:showBubbleSize val="0"/>
        </c:dLbls>
        <c:gapWidth val="150"/>
        <c:shape val="box"/>
        <c:axId val="1623689200"/>
        <c:axId val="1623706000"/>
        <c:axId val="0"/>
      </c:bar3DChart>
      <c:catAx>
        <c:axId val="16236892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706000"/>
        <c:crosses val="autoZero"/>
        <c:auto val="1"/>
        <c:lblAlgn val="ctr"/>
        <c:lblOffset val="100"/>
        <c:noMultiLvlLbl val="0"/>
      </c:catAx>
      <c:valAx>
        <c:axId val="16237060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68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[Inventory_Practice_1000 (Repaired).xlsx]Last sale months!PivotTable1</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Last sale months</a:t>
            </a:r>
          </a:p>
        </c:rich>
      </c:tx>
      <c:layout>
        <c:manualLayout>
          <c:xMode val="edge"/>
          <c:yMode val="edge"/>
          <c:x val="0.31870007572263881"/>
          <c:y val="4.98446868453370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'Last sale months'!$B$3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'Last sale months'!$A$4:$A$16</c:f>
              <c:multiLvlStrCache>
                <c:ptCount val="10"/>
                <c:lvl>
                  <c:pt idx="0">
                    <c:v>Dec</c:v>
                  </c:pt>
                  <c:pt idx="1">
                    <c:v>Jan</c:v>
                  </c:pt>
                  <c:pt idx="2">
                    <c:v>Feb</c:v>
                  </c:pt>
                  <c:pt idx="3">
                    <c:v>Mar</c:v>
                  </c:pt>
                  <c:pt idx="4">
                    <c:v>Apr</c:v>
                  </c:pt>
                  <c:pt idx="5">
                    <c:v>May</c:v>
                  </c:pt>
                  <c:pt idx="6">
                    <c:v>Jun</c:v>
                  </c:pt>
                  <c:pt idx="7">
                    <c:v>Jul</c:v>
                  </c:pt>
                  <c:pt idx="8">
                    <c:v>Aug</c:v>
                  </c:pt>
                  <c:pt idx="9">
                    <c:v>Sep</c:v>
                  </c:pt>
                </c:lvl>
                <c:lvl>
                  <c:pt idx="0">
                    <c:v>2025</c:v>
                  </c:pt>
                  <c:pt idx="1">
                    <c:v>2026</c:v>
                  </c:pt>
                </c:lvl>
              </c:multiLvlStrCache>
            </c:multiLvlStrRef>
          </c:cat>
          <c:val>
            <c:numRef>
              <c:f>'Last sale months'!$B$4:$B$16</c:f>
              <c:numCache>
                <c:formatCode>General</c:formatCode>
                <c:ptCount val="10"/>
                <c:pt idx="0">
                  <c:v>59</c:v>
                </c:pt>
                <c:pt idx="1">
                  <c:v>70</c:v>
                </c:pt>
                <c:pt idx="2">
                  <c:v>61</c:v>
                </c:pt>
                <c:pt idx="3">
                  <c:v>64</c:v>
                </c:pt>
                <c:pt idx="4">
                  <c:v>57</c:v>
                </c:pt>
                <c:pt idx="5">
                  <c:v>70</c:v>
                </c:pt>
                <c:pt idx="6">
                  <c:v>73</c:v>
                </c:pt>
                <c:pt idx="7">
                  <c:v>63</c:v>
                </c:pt>
                <c:pt idx="8">
                  <c:v>69</c:v>
                </c:pt>
                <c:pt idx="9">
                  <c:v>47</c:v>
                </c:pt>
              </c:numCache>
            </c:numRef>
          </c:val>
          <c:smooth val="0"/>
          <c:extLst>
            <c:ext xmlns:c16="http://schemas.microsoft.com/office/drawing/2014/chart" uri="{C3380CC4-5D6E-409C-BE32-E72D297353CC}">
              <c16:uniqueId val="{00000000-F6FF-42A8-81D3-C34E5CC0B76E}"/>
            </c:ext>
          </c:extLst>
        </c:ser>
        <c:dLbls>
          <c:dLblPos val="ctr"/>
          <c:showLegendKey val="0"/>
          <c:showVal val="1"/>
          <c:showCatName val="0"/>
          <c:showSerName val="0"/>
          <c:showPercent val="0"/>
          <c:showBubbleSize val="0"/>
        </c:dLbls>
        <c:marker val="1"/>
        <c:smooth val="0"/>
        <c:axId val="1623694960"/>
        <c:axId val="1623713680"/>
      </c:lineChart>
      <c:catAx>
        <c:axId val="16236949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3713680"/>
        <c:crosses val="autoZero"/>
        <c:auto val="1"/>
        <c:lblAlgn val="ctr"/>
        <c:lblOffset val="100"/>
        <c:noMultiLvlLbl val="0"/>
      </c:catAx>
      <c:valAx>
        <c:axId val="1623713680"/>
        <c:scaling>
          <c:orientation val="minMax"/>
        </c:scaling>
        <c:delete val="1"/>
        <c:axPos val="l"/>
        <c:numFmt formatCode="General" sourceLinked="1"/>
        <c:majorTickMark val="none"/>
        <c:minorTickMark val="none"/>
        <c:tickLblPos val="nextTo"/>
        <c:crossAx val="162369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[Inventory_Practice_1000 (Repaired).xlsx]Capital stuck!PivotTable3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Capital tied</a:t>
            </a:r>
            <a:r>
              <a:rPr lang="en-US" baseline="0"/>
              <a:t> up</a:t>
            </a:r>
          </a:p>
        </c:rich>
      </c:tx>
      <c:layout>
        <c:manualLayout>
          <c:xMode val="edge"/>
          <c:yMode val="edge"/>
          <c:x val="0.35616246919516742"/>
          <c:y val="4.32195975503062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'Capital stuck'!$B$3</c:f>
              <c:strCache>
                <c:ptCount val="1"/>
                <c:pt idx="0">
                  <c:v>Total</c:v>
                </c:pt>
              </c:strCache>
            </c:strRef>
          </c:tx>
          <c:spPr>
            <a:solidFill>
              <a:schemeClr val="accent2"/>
            </a:solidFill>
            <a:ln>
              <a:noFill/>
            </a:ln>
            <a:effectLst/>
            <a:sp3d/>
          </c:spPr>
          <c:invertIfNegative val="0"/>
          <c:cat>
            <c:strRef>
              <c:f>'Capital stuck'!$A$4:$A$8</c:f>
              <c:strCache>
                <c:ptCount val="4"/>
                <c:pt idx="0">
                  <c:v>Check</c:v>
                </c:pt>
                <c:pt idx="1">
                  <c:v>Fast</c:v>
                </c:pt>
                <c:pt idx="2">
                  <c:v>Non-moving</c:v>
                </c:pt>
                <c:pt idx="3">
                  <c:v>Slow</c:v>
                </c:pt>
              </c:strCache>
            </c:strRef>
          </c:cat>
          <c:val>
            <c:numRef>
              <c:f>'Capital stuck'!$B$4:$B$8</c:f>
              <c:numCache>
                <c:formatCode>[$₹-4009]\ #,##0</c:formatCode>
                <c:ptCount val="4"/>
                <c:pt idx="0">
                  <c:v>13272017</c:v>
                </c:pt>
                <c:pt idx="1">
                  <c:v>14663531</c:v>
                </c:pt>
                <c:pt idx="2">
                  <c:v>109464533</c:v>
                </c:pt>
                <c:pt idx="3">
                  <c:v>107799980</c:v>
                </c:pt>
              </c:numCache>
            </c:numRef>
          </c:val>
          <c:extLst>
            <c:ext xmlns:c16="http://schemas.microsoft.com/office/drawing/2014/chart" uri="{C3380CC4-5D6E-409C-BE32-E72D297353CC}">
              <c16:uniqueId val="{00000000-03DB-4FEF-9359-3E76DD5A8ED3}"/>
            </c:ext>
          </c:extLst>
        </c:ser>
        <c:dLbls>
          <c:showLegendKey val="0"/>
          <c:showVal val="0"/>
          <c:showCatName val="0"/>
          <c:showSerName val="0"/>
          <c:showPercent val="0"/>
          <c:showBubbleSize val="0"/>
        </c:dLbls>
        <c:gapWidth val="150"/>
        <c:shape val="box"/>
        <c:axId val="1623710800"/>
        <c:axId val="1623710320"/>
        <c:axId val="0"/>
      </c:bar3DChart>
      <c:catAx>
        <c:axId val="1623710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710320"/>
        <c:crosses val="autoZero"/>
        <c:auto val="1"/>
        <c:lblAlgn val="ctr"/>
        <c:lblOffset val="100"/>
        <c:noMultiLvlLbl val="0"/>
      </c:catAx>
      <c:valAx>
        <c:axId val="1623710320"/>
        <c:scaling>
          <c:orientation val="minMax"/>
        </c:scaling>
        <c:delete val="0"/>
        <c:axPos val="l"/>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7108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[Inventory_Practice_1000 (Repaired).xlsx]Stock Flags!PivotTable4</c:name>
    <c:fmtId val="1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Stock flags</a:t>
            </a:r>
          </a:p>
        </c:rich>
      </c:tx>
      <c:layout>
        <c:manualLayout>
          <c:xMode val="edge"/>
          <c:yMode val="edge"/>
          <c:x val="0.35990164965120802"/>
          <c:y val="5.0935039370078747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896719659092042"/>
          <c:y val="0.19272227690288712"/>
          <c:w val="0.43366341327105973"/>
          <c:h val="0.71283423556430447"/>
        </c:manualLayout>
      </c:layout>
      <c:doughnutChart>
        <c:varyColors val="1"/>
        <c:ser>
          <c:idx val="0"/>
          <c:order val="0"/>
          <c:tx>
            <c:strRef>
              <c:f>'Stock Flags'!$B$3</c:f>
              <c:strCache>
                <c:ptCount val="1"/>
                <c:pt idx="0">
                  <c:v>Total</c:v>
                </c:pt>
              </c:strCache>
            </c:strRef>
          </c:tx>
          <c:dPt>
            <c:idx val="0"/>
            <c:bubble3D val="0"/>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120-46DD-A8F4-41A08BB7B88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120-46DD-A8F4-41A08BB7B88F}"/>
              </c:ext>
            </c:extLst>
          </c:dPt>
          <c:dPt>
            <c:idx val="2"/>
            <c:bubble3D val="0"/>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120-46DD-A8F4-41A08BB7B88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'Stock Flags'!$A$4:$A$7</c:f>
              <c:strCache>
                <c:ptCount val="3"/>
                <c:pt idx="0">
                  <c:v>OK</c:v>
                </c:pt>
                <c:pt idx="1">
                  <c:v>Overstock</c:v>
                </c:pt>
                <c:pt idx="2">
                  <c:v>Shortage Risk</c:v>
                </c:pt>
              </c:strCache>
            </c:strRef>
          </c:cat>
          <c:val>
            <c:numRef>
              <c:f>'Stock Flags'!$B$4:$B$7</c:f>
              <c:numCache>
                <c:formatCode>General</c:formatCode>
                <c:ptCount val="3"/>
                <c:pt idx="0">
                  <c:v>169</c:v>
                </c:pt>
                <c:pt idx="1">
                  <c:v>591</c:v>
                </c:pt>
                <c:pt idx="2">
                  <c:v>190</c:v>
                </c:pt>
              </c:numCache>
            </c:numRef>
          </c:val>
          <c:extLst>
            <c:ext xmlns:c16="http://schemas.microsoft.com/office/drawing/2014/chart" uri="{C3380CC4-5D6E-409C-BE32-E72D297353CC}">
              <c16:uniqueId val="{00000006-4120-46DD-A8F4-41A08BB7B88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9970909054619124"/>
          <c:y val="0.32998605643044621"/>
          <c:w val="0.21157101084797861"/>
          <c:h val="0.3393483431758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4</xdr:col>
      <xdr:colOff>182880</xdr:colOff>
      <xdr:row>3</xdr:row>
      <xdr:rowOff>99060</xdr:rowOff>
    </xdr:from>
    <xdr:to>
      <xdr:col>7</xdr:col>
      <xdr:colOff>182880</xdr:colOff>
      <xdr:row>17</xdr:row>
      <xdr:rowOff>5715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B7338134-9069-8D54-04C5-3C5842F483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21280" y="647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365760</xdr:colOff>
      <xdr:row>7</xdr:row>
      <xdr:rowOff>0</xdr:rowOff>
    </xdr:from>
    <xdr:to>
      <xdr:col>10</xdr:col>
      <xdr:colOff>365760</xdr:colOff>
      <xdr:row>20</xdr:row>
      <xdr:rowOff>89535</xdr:rowOff>
    </xdr:to>
    <mc:AlternateContent xmlns:mc="http://schemas.openxmlformats.org/markup-compatibility/2006" xmlns:a14="http://schemas.microsoft.com/office/drawing/2010/main">
      <mc:Choice Requires="a14">
        <xdr:graphicFrame macro="">
          <xdr:nvGraphicFramePr>
            <xdr:cNvPr id="3" name="Warehouse">
              <a:extLst>
                <a:ext uri="{FF2B5EF4-FFF2-40B4-BE49-F238E27FC236}">
                  <a16:creationId xmlns:a16="http://schemas.microsoft.com/office/drawing/2014/main" id="{175E3079-DF68-9D6D-7B02-4548509BB799}"/>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4632960" y="1280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487680</xdr:colOff>
      <xdr:row>2</xdr:row>
      <xdr:rowOff>137160</xdr:rowOff>
    </xdr:from>
    <xdr:to>
      <xdr:col>13</xdr:col>
      <xdr:colOff>487680</xdr:colOff>
      <xdr:row>16</xdr:row>
      <xdr:rowOff>43815</xdr:rowOff>
    </xdr:to>
    <mc:AlternateContent xmlns:mc="http://schemas.openxmlformats.org/markup-compatibility/2006" xmlns:a14="http://schemas.microsoft.com/office/drawing/2010/main">
      <mc:Choice Requires="a14">
        <xdr:graphicFrame macro="">
          <xdr:nvGraphicFramePr>
            <xdr:cNvPr id="5" name="Movement_Class">
              <a:extLst>
                <a:ext uri="{FF2B5EF4-FFF2-40B4-BE49-F238E27FC236}">
                  <a16:creationId xmlns:a16="http://schemas.microsoft.com/office/drawing/2014/main" id="{3B211130-2A5A-B53F-3A94-0C2A9816F95A}"/>
                </a:ext>
              </a:extLst>
            </xdr:cNvPr>
            <xdr:cNvGraphicFramePr/>
          </xdr:nvGraphicFramePr>
          <xdr:xfrm>
            <a:off x="0" y="0"/>
            <a:ext cx="0" cy="0"/>
          </xdr:xfrm>
          <a:graphic>
            <a:graphicData uri="http://schemas.microsoft.com/office/drawing/2010/slicer">
              <sle:slicer xmlns:sle="http://schemas.microsoft.com/office/drawing/2010/slicer" name="Movement_Class"/>
            </a:graphicData>
          </a:graphic>
        </xdr:graphicFrame>
      </mc:Choice>
      <mc:Fallback xmlns="">
        <xdr:sp macro="" textlink="">
          <xdr:nvSpPr>
            <xdr:cNvPr id="0" name=""/>
            <xdr:cNvSpPr>
              <a:spLocks noTextEdit="1"/>
            </xdr:cNvSpPr>
          </xdr:nvSpPr>
          <xdr:spPr>
            <a:xfrm>
              <a:off x="6583680" y="502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xdr:colOff>
      <xdr:row>17</xdr:row>
      <xdr:rowOff>0</xdr:rowOff>
    </xdr:from>
    <xdr:to>
      <xdr:col>16</xdr:col>
      <xdr:colOff>320040</xdr:colOff>
      <xdr:row>24</xdr:row>
      <xdr:rowOff>91440</xdr:rowOff>
    </xdr:to>
    <mc:AlternateContent xmlns:mc="http://schemas.openxmlformats.org/markup-compatibility/2006" xmlns:tsle="http://schemas.microsoft.com/office/drawing/2012/timeslicer">
      <mc:Choice Requires="tsle">
        <xdr:graphicFrame macro="">
          <xdr:nvGraphicFramePr>
            <xdr:cNvPr id="4" name="Last_Sale_Date">
              <a:extLst>
                <a:ext uri="{FF2B5EF4-FFF2-40B4-BE49-F238E27FC236}">
                  <a16:creationId xmlns:a16="http://schemas.microsoft.com/office/drawing/2014/main" id="{3F3690E8-E8B7-2731-3316-042E7404A34D}"/>
                </a:ext>
              </a:extLst>
            </xdr:cNvPr>
            <xdr:cNvGraphicFramePr/>
          </xdr:nvGraphicFramePr>
          <xdr:xfrm>
            <a:off x="0" y="0"/>
            <a:ext cx="0" cy="0"/>
          </xdr:xfrm>
          <a:graphic>
            <a:graphicData uri="http://schemas.microsoft.com/office/drawing/2012/timeslicer">
              <tsle:timeslicer name="Last_Sale_Date"/>
            </a:graphicData>
          </a:graphic>
        </xdr:graphicFrame>
      </mc:Choice>
      <mc:Fallback xmlns="">
        <xdr:sp macro="" textlink="">
          <xdr:nvSpPr>
            <xdr:cNvPr id="0" name=""/>
            <xdr:cNvSpPr>
              <a:spLocks noTextEdit="1"/>
            </xdr:cNvSpPr>
          </xdr:nvSpPr>
          <xdr:spPr>
            <a:xfrm>
              <a:off x="6736080" y="310896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548640</xdr:colOff>
      <xdr:row>2</xdr:row>
      <xdr:rowOff>26670</xdr:rowOff>
    </xdr:from>
    <xdr:to>
      <xdr:col>11</xdr:col>
      <xdr:colOff>243840</xdr:colOff>
      <xdr:row>17</xdr:row>
      <xdr:rowOff>26670</xdr:rowOff>
    </xdr:to>
    <xdr:graphicFrame macro="">
      <xdr:nvGraphicFramePr>
        <xdr:cNvPr id="3" name="Chart 2">
          <a:extLst>
            <a:ext uri="{FF2B5EF4-FFF2-40B4-BE49-F238E27FC236}">
              <a16:creationId xmlns:a16="http://schemas.microsoft.com/office/drawing/2014/main" id="{D8D8DE33-E88B-CE5E-C1DB-2343264FD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312420</xdr:colOff>
      <xdr:row>4</xdr:row>
      <xdr:rowOff>129540</xdr:rowOff>
    </xdr:from>
    <xdr:to>
      <xdr:col>14</xdr:col>
      <xdr:colOff>45720</xdr:colOff>
      <xdr:row>24</xdr:row>
      <xdr:rowOff>167640</xdr:rowOff>
    </xdr:to>
    <xdr:graphicFrame macro="">
      <xdr:nvGraphicFramePr>
        <xdr:cNvPr id="2" name="Chart 1">
          <a:extLst>
            <a:ext uri="{FF2B5EF4-FFF2-40B4-BE49-F238E27FC236}">
              <a16:creationId xmlns:a16="http://schemas.microsoft.com/office/drawing/2014/main" id="{9D8267A6-EFA3-11FD-D4C4-383A06930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152400</xdr:colOff>
      <xdr:row>4</xdr:row>
      <xdr:rowOff>114300</xdr:rowOff>
    </xdr:from>
    <xdr:to>
      <xdr:col>12</xdr:col>
      <xdr:colOff>327660</xdr:colOff>
      <xdr:row>17</xdr:row>
      <xdr:rowOff>60960</xdr:rowOff>
    </xdr:to>
    <xdr:graphicFrame macro="">
      <xdr:nvGraphicFramePr>
        <xdr:cNvPr id="2" name="Chart 1">
          <a:extLst>
            <a:ext uri="{FF2B5EF4-FFF2-40B4-BE49-F238E27FC236}">
              <a16:creationId xmlns:a16="http://schemas.microsoft.com/office/drawing/2014/main" id="{63B614C8-1DC1-252B-BC71-B1AAD7CE5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198120</xdr:colOff>
      <xdr:row>2</xdr:row>
      <xdr:rowOff>121920</xdr:rowOff>
    </xdr:from>
    <xdr:to>
      <xdr:col>11</xdr:col>
      <xdr:colOff>205740</xdr:colOff>
      <xdr:row>20</xdr:row>
      <xdr:rowOff>34290</xdr:rowOff>
    </xdr:to>
    <xdr:graphicFrame macro="">
      <xdr:nvGraphicFramePr>
        <xdr:cNvPr id="2" name="Chart 1">
          <a:extLst>
            <a:ext uri="{FF2B5EF4-FFF2-40B4-BE49-F238E27FC236}">
              <a16:creationId xmlns:a16="http://schemas.microsoft.com/office/drawing/2014/main" id="{E4002F7E-D26E-4383-6CD2-106093891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358140</xdr:colOff>
      <xdr:row>1</xdr:row>
      <xdr:rowOff>41910</xdr:rowOff>
    </xdr:from>
    <xdr:to>
      <xdr:col>9</xdr:col>
      <xdr:colOff>129540</xdr:colOff>
      <xdr:row>12</xdr:row>
      <xdr:rowOff>175260</xdr:rowOff>
    </xdr:to>
    <xdr:graphicFrame macro="">
      <xdr:nvGraphicFramePr>
        <xdr:cNvPr id="2" name="Chart 1">
          <a:extLst>
            <a:ext uri="{FF2B5EF4-FFF2-40B4-BE49-F238E27FC236}">
              <a16:creationId xmlns:a16="http://schemas.microsoft.com/office/drawing/2014/main" id="{28E7459F-C17C-F98C-C3DC-19E360BBF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396240</xdr:colOff>
      <xdr:row>6</xdr:row>
      <xdr:rowOff>41910</xdr:rowOff>
    </xdr:from>
    <xdr:to>
      <xdr:col>11</xdr:col>
      <xdr:colOff>91440</xdr:colOff>
      <xdr:row>21</xdr:row>
      <xdr:rowOff>41910</xdr:rowOff>
    </xdr:to>
    <xdr:graphicFrame macro="">
      <xdr:nvGraphicFramePr>
        <xdr:cNvPr id="2" name="Chart 1">
          <a:extLst>
            <a:ext uri="{FF2B5EF4-FFF2-40B4-BE49-F238E27FC236}">
              <a16:creationId xmlns:a16="http://schemas.microsoft.com/office/drawing/2014/main" id="{7D9FC18B-E491-AD7E-1941-C6AD30C2A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20</xdr:col>
      <xdr:colOff>121920</xdr:colOff>
      <xdr:row>24</xdr:row>
      <xdr:rowOff>53341</xdr:rowOff>
    </xdr:from>
    <xdr:to>
      <xdr:col>23</xdr:col>
      <xdr:colOff>121920</xdr:colOff>
      <xdr:row>33</xdr:row>
      <xdr:rowOff>106680</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B350759C-7CB8-4277-B8F0-326A7E085C9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313920" y="4442461"/>
              <a:ext cx="1828800" cy="1699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121920</xdr:colOff>
      <xdr:row>15</xdr:row>
      <xdr:rowOff>144781</xdr:rowOff>
    </xdr:from>
    <xdr:to>
      <xdr:col>23</xdr:col>
      <xdr:colOff>121920</xdr:colOff>
      <xdr:row>23</xdr:row>
      <xdr:rowOff>121920</xdr:rowOff>
    </xdr:to>
    <mc:AlternateContent xmlns:mc="http://schemas.openxmlformats.org/markup-compatibility/2006">
      <mc:Choice xmlns:a14="http://schemas.microsoft.com/office/drawing/2010/main" Requires="a14">
        <xdr:graphicFrame macro="">
          <xdr:nvGraphicFramePr>
            <xdr:cNvPr id="7" name="Warehouse 1">
              <a:extLst>
                <a:ext uri="{FF2B5EF4-FFF2-40B4-BE49-F238E27FC236}">
                  <a16:creationId xmlns:a16="http://schemas.microsoft.com/office/drawing/2014/main" id="{AE1AF229-2128-4C7E-B49C-35D883B29160}"/>
                </a:ext>
              </a:extLst>
            </xdr:cNvPr>
            <xdr:cNvGraphicFramePr/>
          </xdr:nvGraphicFramePr>
          <xdr:xfrm>
            <a:off x="0" y="0"/>
            <a:ext cx="0" cy="0"/>
          </xdr:xfrm>
          <a:graphic>
            <a:graphicData uri="http://schemas.microsoft.com/office/drawing/2010/slicer">
              <sle:slicer xmlns:sle="http://schemas.microsoft.com/office/drawing/2010/slicer" name="Warehouse 1"/>
            </a:graphicData>
          </a:graphic>
        </xdr:graphicFrame>
      </mc:Choice>
      <mc:Fallback>
        <xdr:sp macro="" textlink="">
          <xdr:nvSpPr>
            <xdr:cNvPr id="0" name=""/>
            <xdr:cNvSpPr>
              <a:spLocks noTextEdit="1"/>
            </xdr:cNvSpPr>
          </xdr:nvSpPr>
          <xdr:spPr>
            <a:xfrm>
              <a:off x="12313920" y="2887981"/>
              <a:ext cx="1828800" cy="1440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121920</xdr:colOff>
      <xdr:row>7</xdr:row>
      <xdr:rowOff>60961</xdr:rowOff>
    </xdr:from>
    <xdr:to>
      <xdr:col>23</xdr:col>
      <xdr:colOff>121920</xdr:colOff>
      <xdr:row>15</xdr:row>
      <xdr:rowOff>22860</xdr:rowOff>
    </xdr:to>
    <mc:AlternateContent xmlns:mc="http://schemas.openxmlformats.org/markup-compatibility/2006">
      <mc:Choice xmlns:a14="http://schemas.microsoft.com/office/drawing/2010/main" Requires="a14">
        <xdr:graphicFrame macro="">
          <xdr:nvGraphicFramePr>
            <xdr:cNvPr id="8" name="Movement_Class 1">
              <a:extLst>
                <a:ext uri="{FF2B5EF4-FFF2-40B4-BE49-F238E27FC236}">
                  <a16:creationId xmlns:a16="http://schemas.microsoft.com/office/drawing/2014/main" id="{D3C9D7B2-6577-4D67-82D6-C0B677B9CE76}"/>
                </a:ext>
              </a:extLst>
            </xdr:cNvPr>
            <xdr:cNvGraphicFramePr/>
          </xdr:nvGraphicFramePr>
          <xdr:xfrm>
            <a:off x="0" y="0"/>
            <a:ext cx="0" cy="0"/>
          </xdr:xfrm>
          <a:graphic>
            <a:graphicData uri="http://schemas.microsoft.com/office/drawing/2010/slicer">
              <sle:slicer xmlns:sle="http://schemas.microsoft.com/office/drawing/2010/slicer" name="Movement_Class 1"/>
            </a:graphicData>
          </a:graphic>
        </xdr:graphicFrame>
      </mc:Choice>
      <mc:Fallback>
        <xdr:sp macro="" textlink="">
          <xdr:nvSpPr>
            <xdr:cNvPr id="0" name=""/>
            <xdr:cNvSpPr>
              <a:spLocks noTextEdit="1"/>
            </xdr:cNvSpPr>
          </xdr:nvSpPr>
          <xdr:spPr>
            <a:xfrm>
              <a:off x="12313920" y="1341121"/>
              <a:ext cx="1828800" cy="1424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411480</xdr:colOff>
      <xdr:row>2</xdr:row>
      <xdr:rowOff>99060</xdr:rowOff>
    </xdr:from>
    <xdr:to>
      <xdr:col>5</xdr:col>
      <xdr:colOff>563880</xdr:colOff>
      <xdr:row>6</xdr:row>
      <xdr:rowOff>30480</xdr:rowOff>
    </xdr:to>
    <xdr:sp macro="" textlink="Cards!A4:B4">
      <xdr:nvSpPr>
        <xdr:cNvPr id="9" name="Rectangle: Rounded Corners 8">
          <a:extLst>
            <a:ext uri="{FF2B5EF4-FFF2-40B4-BE49-F238E27FC236}">
              <a16:creationId xmlns:a16="http://schemas.microsoft.com/office/drawing/2014/main" id="{D7C7463E-7147-D265-4262-1E217DA5A758}"/>
            </a:ext>
          </a:extLst>
        </xdr:cNvPr>
        <xdr:cNvSpPr/>
      </xdr:nvSpPr>
      <xdr:spPr>
        <a:xfrm>
          <a:off x="1630680" y="464820"/>
          <a:ext cx="1981200" cy="6629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chemeClr val="bg1"/>
              </a:solidFill>
              <a:latin typeface="Calibri"/>
              <a:ea typeface="Calibri"/>
              <a:cs typeface="Calibri"/>
            </a:rPr>
            <a:t>Sell</a:t>
          </a:r>
          <a:r>
            <a:rPr lang="en-US" sz="1600" b="0" i="0" u="none" strike="noStrike" baseline="0">
              <a:solidFill>
                <a:schemeClr val="bg1"/>
              </a:solidFill>
              <a:latin typeface="Calibri"/>
              <a:ea typeface="Calibri"/>
              <a:cs typeface="Calibri"/>
            </a:rPr>
            <a:t> through %</a:t>
          </a:r>
        </a:p>
        <a:p>
          <a:pPr algn="ctr"/>
          <a:r>
            <a:rPr lang="en-US" sz="1600" b="0" i="0" u="none" strike="noStrike" baseline="0">
              <a:solidFill>
                <a:schemeClr val="bg1"/>
              </a:solidFill>
              <a:latin typeface="Calibri"/>
              <a:ea typeface="Calibri"/>
              <a:cs typeface="Calibri"/>
            </a:rPr>
            <a:t> </a:t>
          </a:r>
          <a:fld id="{6F1D0A15-3765-4628-BBA7-9DD9BEEFFF59}" type="TxLink">
            <a:rPr lang="en-US" sz="1400" b="0" i="0" u="none" strike="noStrike">
              <a:solidFill>
                <a:schemeClr val="bg1"/>
              </a:solidFill>
              <a:latin typeface="Calibri"/>
              <a:ea typeface="Calibri"/>
              <a:cs typeface="Calibri"/>
            </a:rPr>
            <a:pPr algn="ctr"/>
            <a:t>33.28%</a:t>
          </a:fld>
          <a:endParaRPr lang="en-US" sz="1400">
            <a:solidFill>
              <a:schemeClr val="bg1"/>
            </a:solidFill>
          </a:endParaRPr>
        </a:p>
      </xdr:txBody>
    </xdr:sp>
    <xdr:clientData/>
  </xdr:twoCellAnchor>
  <xdr:twoCellAnchor>
    <xdr:from>
      <xdr:col>6</xdr:col>
      <xdr:colOff>121920</xdr:colOff>
      <xdr:row>2</xdr:row>
      <xdr:rowOff>114300</xdr:rowOff>
    </xdr:from>
    <xdr:to>
      <xdr:col>9</xdr:col>
      <xdr:colOff>175260</xdr:colOff>
      <xdr:row>6</xdr:row>
      <xdr:rowOff>45720</xdr:rowOff>
    </xdr:to>
    <xdr:sp macro="" textlink="Cards!B4:C4">
      <xdr:nvSpPr>
        <xdr:cNvPr id="10" name="Rectangle: Rounded Corners 9">
          <a:extLst>
            <a:ext uri="{FF2B5EF4-FFF2-40B4-BE49-F238E27FC236}">
              <a16:creationId xmlns:a16="http://schemas.microsoft.com/office/drawing/2014/main" id="{2C20089A-9522-44F9-95D2-370E7DD1793C}"/>
            </a:ext>
          </a:extLst>
        </xdr:cNvPr>
        <xdr:cNvSpPr/>
      </xdr:nvSpPr>
      <xdr:spPr>
        <a:xfrm>
          <a:off x="3779520" y="480060"/>
          <a:ext cx="1882140" cy="6629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chemeClr val="bg1"/>
              </a:solidFill>
              <a:latin typeface="Calibri"/>
              <a:ea typeface="Calibri"/>
              <a:cs typeface="Calibri"/>
            </a:rPr>
            <a:t>Opening</a:t>
          </a:r>
          <a:r>
            <a:rPr lang="en-US" sz="1600" b="0" i="0" u="none" strike="noStrike" baseline="0">
              <a:solidFill>
                <a:schemeClr val="bg1"/>
              </a:solidFill>
              <a:latin typeface="Calibri"/>
              <a:ea typeface="Calibri"/>
              <a:cs typeface="Calibri"/>
            </a:rPr>
            <a:t> Stock</a:t>
          </a:r>
          <a:endParaRPr lang="en-US" sz="1600" b="0" i="0" u="none" strike="noStrike">
            <a:solidFill>
              <a:schemeClr val="bg1"/>
            </a:solidFill>
            <a:latin typeface="Calibri"/>
            <a:ea typeface="Calibri"/>
            <a:cs typeface="Calibri"/>
          </a:endParaRPr>
        </a:p>
        <a:p>
          <a:pPr algn="ctr"/>
          <a:fld id="{860164D1-EC23-4C11-B459-935BE05B16E5}" type="TxLink">
            <a:rPr lang="en-US" sz="1400" b="0" i="0" u="none" strike="noStrike">
              <a:solidFill>
                <a:schemeClr val="bg1"/>
              </a:solidFill>
              <a:latin typeface="Calibri"/>
              <a:ea typeface="Calibri"/>
              <a:cs typeface="Calibri"/>
            </a:rPr>
            <a:pPr algn="ctr"/>
            <a:t>250376</a:t>
          </a:fld>
          <a:endParaRPr lang="en-US" sz="1400">
            <a:solidFill>
              <a:schemeClr val="bg1"/>
            </a:solidFill>
          </a:endParaRPr>
        </a:p>
      </xdr:txBody>
    </xdr:sp>
    <xdr:clientData/>
  </xdr:twoCellAnchor>
  <xdr:twoCellAnchor>
    <xdr:from>
      <xdr:col>9</xdr:col>
      <xdr:colOff>335280</xdr:colOff>
      <xdr:row>2</xdr:row>
      <xdr:rowOff>114300</xdr:rowOff>
    </xdr:from>
    <xdr:to>
      <xdr:col>12</xdr:col>
      <xdr:colOff>358140</xdr:colOff>
      <xdr:row>6</xdr:row>
      <xdr:rowOff>45720</xdr:rowOff>
    </xdr:to>
    <xdr:sp macro="" textlink="Cards!C4:D4">
      <xdr:nvSpPr>
        <xdr:cNvPr id="14" name="Rectangle: Rounded Corners 13">
          <a:extLst>
            <a:ext uri="{FF2B5EF4-FFF2-40B4-BE49-F238E27FC236}">
              <a16:creationId xmlns:a16="http://schemas.microsoft.com/office/drawing/2014/main" id="{6584DE54-4B65-19F8-53B2-3F90F673C05E}"/>
            </a:ext>
          </a:extLst>
        </xdr:cNvPr>
        <xdr:cNvSpPr/>
      </xdr:nvSpPr>
      <xdr:spPr>
        <a:xfrm>
          <a:off x="5821680" y="480060"/>
          <a:ext cx="1851660" cy="6629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chemeClr val="bg1"/>
              </a:solidFill>
              <a:latin typeface="Calibri"/>
              <a:ea typeface="Calibri"/>
              <a:cs typeface="Calibri"/>
            </a:rPr>
            <a:t>Closing Stock</a:t>
          </a:r>
        </a:p>
        <a:p>
          <a:pPr algn="ctr"/>
          <a:fld id="{543EB987-583C-4436-9948-DAD337C66CF0}" type="TxLink">
            <a:rPr lang="en-US" sz="1400" b="0" i="0" u="none" strike="noStrike">
              <a:solidFill>
                <a:schemeClr val="bg1"/>
              </a:solidFill>
              <a:latin typeface="Calibri"/>
              <a:ea typeface="Calibri"/>
              <a:cs typeface="Calibri"/>
            </a:rPr>
            <a:pPr algn="ctr"/>
            <a:t>171074</a:t>
          </a:fld>
          <a:endParaRPr lang="en-US" sz="1400">
            <a:solidFill>
              <a:schemeClr val="bg1"/>
            </a:solidFill>
          </a:endParaRPr>
        </a:p>
      </xdr:txBody>
    </xdr:sp>
    <xdr:clientData/>
  </xdr:twoCellAnchor>
  <xdr:twoCellAnchor>
    <xdr:from>
      <xdr:col>12</xdr:col>
      <xdr:colOff>510540</xdr:colOff>
      <xdr:row>2</xdr:row>
      <xdr:rowOff>106680</xdr:rowOff>
    </xdr:from>
    <xdr:to>
      <xdr:col>15</xdr:col>
      <xdr:colOff>441960</xdr:colOff>
      <xdr:row>6</xdr:row>
      <xdr:rowOff>38100</xdr:rowOff>
    </xdr:to>
    <xdr:sp macro="" textlink="Cards!D4:E4">
      <xdr:nvSpPr>
        <xdr:cNvPr id="15" name="Rectangle: Rounded Corners 14">
          <a:extLst>
            <a:ext uri="{FF2B5EF4-FFF2-40B4-BE49-F238E27FC236}">
              <a16:creationId xmlns:a16="http://schemas.microsoft.com/office/drawing/2014/main" id="{65E589C5-884E-3C10-C351-1038EEF74CC4}"/>
            </a:ext>
          </a:extLst>
        </xdr:cNvPr>
        <xdr:cNvSpPr/>
      </xdr:nvSpPr>
      <xdr:spPr>
        <a:xfrm>
          <a:off x="7825740" y="472440"/>
          <a:ext cx="1760220" cy="6629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chemeClr val="bg1"/>
              </a:solidFill>
              <a:latin typeface="Calibri"/>
              <a:ea typeface="Calibri"/>
              <a:cs typeface="Calibri"/>
            </a:rPr>
            <a:t>Units Sold</a:t>
          </a:r>
        </a:p>
        <a:p>
          <a:pPr algn="ctr"/>
          <a:fld id="{C1CE93D0-AB69-4E08-9265-2CB3B905602C}" type="TxLink">
            <a:rPr lang="en-US" sz="1400" b="0" i="0" u="none" strike="noStrike">
              <a:solidFill>
                <a:schemeClr val="bg1"/>
              </a:solidFill>
              <a:latin typeface="Calibri"/>
              <a:ea typeface="Calibri"/>
              <a:cs typeface="Calibri"/>
            </a:rPr>
            <a:pPr algn="ctr"/>
            <a:t>84018</a:t>
          </a:fld>
          <a:endParaRPr lang="en-US" sz="1400">
            <a:solidFill>
              <a:schemeClr val="bg1"/>
            </a:solidFill>
          </a:endParaRPr>
        </a:p>
      </xdr:txBody>
    </xdr:sp>
    <xdr:clientData/>
  </xdr:twoCellAnchor>
  <xdr:twoCellAnchor>
    <xdr:from>
      <xdr:col>15</xdr:col>
      <xdr:colOff>594360</xdr:colOff>
      <xdr:row>2</xdr:row>
      <xdr:rowOff>106680</xdr:rowOff>
    </xdr:from>
    <xdr:to>
      <xdr:col>19</xdr:col>
      <xdr:colOff>0</xdr:colOff>
      <xdr:row>6</xdr:row>
      <xdr:rowOff>38100</xdr:rowOff>
    </xdr:to>
    <xdr:sp macro="" textlink="Cards!E4:F4">
      <xdr:nvSpPr>
        <xdr:cNvPr id="16" name="Rectangle: Rounded Corners 15">
          <a:extLst>
            <a:ext uri="{FF2B5EF4-FFF2-40B4-BE49-F238E27FC236}">
              <a16:creationId xmlns:a16="http://schemas.microsoft.com/office/drawing/2014/main" id="{388A1DB3-EC11-1204-8732-B615AD2EFD17}"/>
            </a:ext>
          </a:extLst>
        </xdr:cNvPr>
        <xdr:cNvSpPr/>
      </xdr:nvSpPr>
      <xdr:spPr>
        <a:xfrm>
          <a:off x="9738360" y="472440"/>
          <a:ext cx="1844040" cy="6629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chemeClr val="bg1"/>
              </a:solidFill>
              <a:latin typeface="Calibri"/>
              <a:ea typeface="Calibri"/>
              <a:cs typeface="Calibri"/>
            </a:rPr>
            <a:t>Stock value</a:t>
          </a:r>
        </a:p>
        <a:p>
          <a:pPr algn="ctr"/>
          <a:fld id="{31DB7CA2-5ABB-4CB2-8040-419D9D8E0F67}" type="TxLink">
            <a:rPr lang="en-US" sz="1400" b="0" i="0" u="none" strike="noStrike">
              <a:solidFill>
                <a:schemeClr val="bg1"/>
              </a:solidFill>
              <a:latin typeface="Calibri"/>
              <a:ea typeface="Calibri"/>
              <a:cs typeface="Calibri"/>
            </a:rPr>
            <a:pPr algn="ctr"/>
            <a:t>₹ 245,200,061</a:t>
          </a:fld>
          <a:endParaRPr lang="en-US" sz="1400">
            <a:solidFill>
              <a:schemeClr val="bg1"/>
            </a:solidFill>
          </a:endParaRPr>
        </a:p>
      </xdr:txBody>
    </xdr:sp>
    <xdr:clientData/>
  </xdr:twoCellAnchor>
  <xdr:twoCellAnchor>
    <xdr:from>
      <xdr:col>0</xdr:col>
      <xdr:colOff>213360</xdr:colOff>
      <xdr:row>6</xdr:row>
      <xdr:rowOff>167640</xdr:rowOff>
    </xdr:from>
    <xdr:to>
      <xdr:col>5</xdr:col>
      <xdr:colOff>601980</xdr:colOff>
      <xdr:row>20</xdr:row>
      <xdr:rowOff>60960</xdr:rowOff>
    </xdr:to>
    <xdr:graphicFrame macro="">
      <xdr:nvGraphicFramePr>
        <xdr:cNvPr id="17" name="Chart 16">
          <a:extLst>
            <a:ext uri="{FF2B5EF4-FFF2-40B4-BE49-F238E27FC236}">
              <a16:creationId xmlns:a16="http://schemas.microsoft.com/office/drawing/2014/main" id="{076F8E49-106C-4BD6-A7AE-29336E211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106680</xdr:colOff>
      <xdr:row>7</xdr:row>
      <xdr:rowOff>0</xdr:rowOff>
    </xdr:from>
    <xdr:to>
      <xdr:col>13</xdr:col>
      <xdr:colOff>99060</xdr:colOff>
      <xdr:row>20</xdr:row>
      <xdr:rowOff>83820</xdr:rowOff>
    </xdr:to>
    <xdr:graphicFrame macro="">
      <xdr:nvGraphicFramePr>
        <xdr:cNvPr id="18" name="Chart 17">
          <a:extLst>
            <a:ext uri="{FF2B5EF4-FFF2-40B4-BE49-F238E27FC236}">
              <a16:creationId xmlns:a16="http://schemas.microsoft.com/office/drawing/2014/main" id="{AB20391F-1FB2-4BDD-AF87-E1B0758C1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220980</xdr:colOff>
      <xdr:row>20</xdr:row>
      <xdr:rowOff>167640</xdr:rowOff>
    </xdr:from>
    <xdr:to>
      <xdr:col>7</xdr:col>
      <xdr:colOff>99060</xdr:colOff>
      <xdr:row>34</xdr:row>
      <xdr:rowOff>106680</xdr:rowOff>
    </xdr:to>
    <xdr:graphicFrame macro="">
      <xdr:nvGraphicFramePr>
        <xdr:cNvPr id="19" name="Chart 18">
          <a:extLst>
            <a:ext uri="{FF2B5EF4-FFF2-40B4-BE49-F238E27FC236}">
              <a16:creationId xmlns:a16="http://schemas.microsoft.com/office/drawing/2014/main" id="{9EABE926-6BD1-4550-A428-155B3C1C4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160020</xdr:colOff>
      <xdr:row>21</xdr:row>
      <xdr:rowOff>7620</xdr:rowOff>
    </xdr:from>
    <xdr:to>
      <xdr:col>13</xdr:col>
      <xdr:colOff>91440</xdr:colOff>
      <xdr:row>34</xdr:row>
      <xdr:rowOff>137160</xdr:rowOff>
    </xdr:to>
    <xdr:graphicFrame macro="">
      <xdr:nvGraphicFramePr>
        <xdr:cNvPr id="20" name="Chart 19">
          <a:extLst>
            <a:ext uri="{FF2B5EF4-FFF2-40B4-BE49-F238E27FC236}">
              <a16:creationId xmlns:a16="http://schemas.microsoft.com/office/drawing/2014/main" id="{AEE1C3C3-3FD3-4712-8FC5-D245A2E4E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205740</xdr:colOff>
      <xdr:row>7</xdr:row>
      <xdr:rowOff>0</xdr:rowOff>
    </xdr:from>
    <xdr:to>
      <xdr:col>19</xdr:col>
      <xdr:colOff>541020</xdr:colOff>
      <xdr:row>20</xdr:row>
      <xdr:rowOff>83820</xdr:rowOff>
    </xdr:to>
    <xdr:graphicFrame macro="">
      <xdr:nvGraphicFramePr>
        <xdr:cNvPr id="21" name="Chart 20">
          <a:extLst>
            <a:ext uri="{FF2B5EF4-FFF2-40B4-BE49-F238E27FC236}">
              <a16:creationId xmlns:a16="http://schemas.microsoft.com/office/drawing/2014/main" id="{4E44237A-452C-496B-8451-1269F2C7E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190500</xdr:colOff>
      <xdr:row>21</xdr:row>
      <xdr:rowOff>15240</xdr:rowOff>
    </xdr:from>
    <xdr:to>
      <xdr:col>19</xdr:col>
      <xdr:colOff>541020</xdr:colOff>
      <xdr:row>34</xdr:row>
      <xdr:rowOff>152400</xdr:rowOff>
    </xdr:to>
    <xdr:graphicFrame macro="">
      <xdr:nvGraphicFramePr>
        <xdr:cNvPr id="22" name="Chart 21">
          <a:extLst>
            <a:ext uri="{FF2B5EF4-FFF2-40B4-BE49-F238E27FC236}">
              <a16:creationId xmlns:a16="http://schemas.microsoft.com/office/drawing/2014/main" id="{DCC804E4-8A54-4A78-B33A-45AABDB1D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ni" refreshedDate="46316.729957291667" createdVersion="8" refreshedVersion="8" minRefreshableVersion="3" recordCount="950" xr:uid="{129E4DA4-8E1B-4E09-A168-2B34069565DF}">
  <cacheSource type="worksheet">
    <worksheetSource name="Raw_Data"/>
  </cacheSource>
  <cacheFields count="17">
    <cacheField name="Product_ID" numFmtId="0">
      <sharedItems count="950">
        <s v="P545"/>
        <s v="P516"/>
        <s v="P194"/>
        <s v="P012"/>
        <s v="P280"/>
        <s v="P654"/>
        <s v="P644"/>
        <s v="P764"/>
        <s v="P199"/>
        <s v="P722"/>
        <s v="P237"/>
        <s v="P501"/>
        <s v="P568"/>
        <s v="P412"/>
        <s v="P874"/>
        <s v="P907"/>
        <s v="P061"/>
        <s v="P354"/>
        <s v="P930"/>
        <s v="P337"/>
        <s v="P818"/>
        <s v="P284"/>
        <s v="P949"/>
        <s v="P596"/>
        <s v="P738"/>
        <s v="P948"/>
        <s v="P004"/>
        <s v="P757"/>
        <s v="P574"/>
        <s v="P945"/>
        <s v="P753"/>
        <s v="P289"/>
        <s v="P160"/>
        <s v="P612"/>
        <s v="P348"/>
        <s v="P848"/>
        <s v="P502"/>
        <s v="P332"/>
        <s v="P820"/>
        <s v="P362"/>
        <s v="P471"/>
        <s v="P425"/>
        <s v="P865"/>
        <s v="P683"/>
        <s v="P910"/>
        <s v="P073"/>
        <s v="P814"/>
        <s v="P059"/>
        <s v="P630"/>
        <s v="P317"/>
        <s v="P024"/>
        <s v="P795"/>
        <s v="P287"/>
        <s v="P213"/>
        <s v="P760"/>
        <s v="P834"/>
        <s v="P853"/>
        <s v="P531"/>
        <s v="P566"/>
        <s v="P890"/>
        <s v="P034"/>
        <s v="P448"/>
        <s v="P556"/>
        <s v="P665"/>
        <s v="P804"/>
        <s v="P209"/>
        <s v="P648"/>
        <s v="P132"/>
        <s v="P527"/>
        <s v="P842"/>
        <s v="P445"/>
        <s v="P815"/>
        <s v="P594"/>
        <s v="P439"/>
        <s v="P623"/>
        <s v="P062"/>
        <s v="P029"/>
        <s v="P446"/>
        <s v="P863"/>
        <s v="P259"/>
        <s v="P167"/>
        <s v="P831"/>
        <s v="P551"/>
        <s v="P592"/>
        <s v="P542"/>
        <s v="P393"/>
        <s v="P554"/>
        <s v="P013"/>
        <s v="P711"/>
        <s v="P939"/>
        <s v="P801"/>
        <s v="P196"/>
        <s v="P313"/>
        <s v="P589"/>
        <s v="P134"/>
        <s v="P122"/>
        <s v="P903"/>
        <s v="P578"/>
        <s v="P177"/>
        <s v="P442"/>
        <s v="P107"/>
        <s v="P538"/>
        <s v="P202"/>
        <s v="P699"/>
        <s v="P371"/>
        <s v="P601"/>
        <s v="P405"/>
        <s v="P208"/>
        <s v="P149"/>
        <s v="P367"/>
        <s v="P310"/>
        <s v="P514"/>
        <s v="P386"/>
        <s v="P427"/>
        <s v="P357"/>
        <s v="P036"/>
        <s v="P615"/>
        <s v="P421"/>
        <s v="P558"/>
        <s v="P361"/>
        <s v="P353"/>
        <s v="P639"/>
        <s v="P350"/>
        <s v="P300"/>
        <s v="P270"/>
        <s v="P726"/>
        <s v="P060"/>
        <s v="P424"/>
        <s v="P251"/>
        <s v="P486"/>
        <s v="P541"/>
        <s v="P676"/>
        <s v="P718"/>
        <s v="P204"/>
        <s v="P440"/>
        <s v="P708"/>
        <s v="P870"/>
        <s v="P098"/>
        <s v="P929"/>
        <s v="P396"/>
        <s v="P579"/>
        <s v="P247"/>
        <s v="P636"/>
        <s v="P473"/>
        <s v="P620"/>
        <s v="P235"/>
        <s v="P717"/>
        <s v="P565"/>
        <s v="P797"/>
        <s v="P437"/>
        <s v="P581"/>
        <s v="P483"/>
        <s v="P105"/>
        <s v="P864"/>
        <s v="P560"/>
        <s v="P127"/>
        <s v="P832"/>
        <s v="P513"/>
        <s v="P600"/>
        <s v="P058"/>
        <s v="P806"/>
        <s v="P534"/>
        <s v="P754"/>
        <s v="P344"/>
        <s v="P932"/>
        <s v="P787"/>
        <s v="P268"/>
        <s v="P506"/>
        <s v="P301"/>
        <s v="P231"/>
        <s v="P724"/>
        <s v="P696"/>
        <s v="P603"/>
        <s v="P794"/>
        <s v="P139"/>
        <s v="P950"/>
        <s v="P940"/>
        <s v="P525"/>
        <s v="P768"/>
        <s v="P694"/>
        <s v="P366"/>
        <s v="P880"/>
        <s v="P229"/>
        <s v="P470"/>
        <s v="P245"/>
        <s v="P621"/>
        <s v="P276"/>
        <s v="P667"/>
        <s v="P118"/>
        <s v="P248"/>
        <s v="P323"/>
        <s v="P459"/>
        <s v="P490"/>
        <s v="P861"/>
        <s v="P380"/>
        <s v="P897"/>
        <s v="P810"/>
        <s v="P166"/>
        <s v="P041"/>
        <s v="P146"/>
        <s v="P830"/>
        <s v="P322"/>
        <s v="P875"/>
        <s v="P476"/>
        <s v="P840"/>
        <s v="P666"/>
        <s v="P200"/>
        <s v="P197"/>
        <s v="P778"/>
        <s v="P072"/>
        <s v="P163"/>
        <s v="P154"/>
        <s v="P687"/>
        <s v="P495"/>
        <s v="P885"/>
        <s v="P733"/>
        <s v="P782"/>
        <s v="P335"/>
        <s v="P038"/>
        <s v="P685"/>
        <s v="P457"/>
        <s v="P152"/>
        <s v="P294"/>
        <s v="P085"/>
        <s v="P878"/>
        <s v="P669"/>
        <s v="P624"/>
        <s v="P628"/>
        <s v="P124"/>
        <s v="P749"/>
        <s v="P906"/>
        <s v="P356"/>
        <s v="P109"/>
        <s v="P400"/>
        <s v="P298"/>
        <s v="P342"/>
        <s v="P595"/>
        <s v="P719"/>
        <s v="P407"/>
        <s v="P576"/>
        <s v="P735"/>
        <s v="P915"/>
        <s v="P736"/>
        <s v="P417"/>
        <s v="P602"/>
        <s v="P296"/>
        <s v="P468"/>
        <s v="P689"/>
        <s v="P179"/>
        <s v="P499"/>
        <s v="P937"/>
        <s v="P649"/>
        <s v="P946"/>
        <s v="P282"/>
        <s v="P790"/>
        <s v="P140"/>
        <s v="P852"/>
        <s v="P416"/>
        <s v="P008"/>
        <s v="P900"/>
        <s v="P613"/>
        <s v="P826"/>
        <s v="P662"/>
        <s v="P355"/>
        <s v="P359"/>
        <s v="P510"/>
        <s v="P452"/>
        <s v="P435"/>
        <s v="P847"/>
        <s v="P792"/>
        <s v="P180"/>
        <s v="P823"/>
        <s v="P043"/>
        <s v="P533"/>
        <s v="P480"/>
        <s v="P330"/>
        <s v="P783"/>
        <s v="P463"/>
        <s v="P135"/>
        <s v="P053"/>
        <s v="P260"/>
        <s v="P345"/>
        <s v="P748"/>
        <s v="P464"/>
        <s v="P130"/>
        <s v="P420"/>
        <s v="P214"/>
        <s v="P487"/>
        <s v="P597"/>
        <s v="P858"/>
        <s v="P385"/>
        <s v="P478"/>
        <s v="P563"/>
        <s v="P637"/>
        <s v="P511"/>
        <s v="P905"/>
        <s v="P133"/>
        <s v="P943"/>
        <s v="P785"/>
        <s v="P682"/>
        <s v="P067"/>
        <s v="P150"/>
        <s v="P369"/>
        <s v="P866"/>
        <s v="P522"/>
        <s v="P144"/>
        <s v="P704"/>
        <s v="P262"/>
        <s v="P631"/>
        <s v="P185"/>
        <s v="P328"/>
        <s v="P936"/>
        <s v="P164"/>
        <s v="P809"/>
        <s v="P046"/>
        <s v="P526"/>
        <s v="P121"/>
        <s v="P697"/>
        <s v="P090"/>
        <s v="P766"/>
        <s v="P108"/>
        <s v="P157"/>
        <s v="P493"/>
        <s v="P267"/>
        <s v="P727"/>
        <s v="P668"/>
        <s v="P250"/>
        <s v="P647"/>
        <s v="P725"/>
        <s v="P593"/>
        <s v="P297"/>
        <s v="P141"/>
        <s v="P391"/>
        <s v="P627"/>
        <s v="P395"/>
        <s v="P426"/>
        <s v="P867"/>
        <s v="P151"/>
        <s v="P515"/>
        <s v="P100"/>
        <s v="P303"/>
        <s v="P807"/>
        <s v="P710"/>
        <s v="P125"/>
        <s v="P605"/>
        <s v="P349"/>
        <s v="P142"/>
        <s v="P845"/>
        <s v="P022"/>
        <s v="P479"/>
        <s v="P428"/>
        <s v="P050"/>
        <s v="P547"/>
        <s v="P813"/>
        <s v="P389"/>
        <s v="P609"/>
        <s v="P051"/>
        <s v="P324"/>
        <s v="P518"/>
        <s v="P327"/>
        <s v="P798"/>
        <s v="P914"/>
        <s v="P575"/>
        <s v="P747"/>
        <s v="P434"/>
        <s v="P756"/>
        <s v="P027"/>
        <s v="P729"/>
        <s v="P254"/>
        <s v="P028"/>
        <s v="P803"/>
        <s v="P555"/>
        <s v="P591"/>
        <s v="P469"/>
        <s v="P273"/>
        <s v="P465"/>
        <s v="P241"/>
        <s v="P311"/>
        <s v="P054"/>
        <s v="P347"/>
        <s v="P824"/>
        <s v="P444"/>
        <s v="P888"/>
        <s v="P387"/>
        <s v="P947"/>
        <s v="P286"/>
        <s v="P339"/>
        <s v="P856"/>
        <s v="P233"/>
        <s v="P156"/>
        <s v="P279"/>
        <s v="P562"/>
        <s v="P698"/>
        <s v="P909"/>
        <s v="P883"/>
        <s v="P799"/>
        <s v="P307"/>
        <s v="P274"/>
        <s v="P455"/>
        <s v="P063"/>
        <s v="P855"/>
        <s v="P640"/>
        <s v="P503"/>
        <s v="P453"/>
        <s v="P635"/>
        <s v="P580"/>
        <s v="P829"/>
        <s v="P112"/>
        <s v="P873"/>
        <s v="P877"/>
        <s v="P889"/>
        <s v="P788"/>
        <s v="P734"/>
        <s v="P835"/>
        <s v="P611"/>
        <s v="P934"/>
        <s v="P433"/>
        <s v="P841"/>
        <s v="P941"/>
        <s v="P198"/>
        <s v="P688"/>
        <s v="P069"/>
        <s v="P546"/>
        <s v="P496"/>
        <s v="P653"/>
        <s v="P537"/>
        <s v="P418"/>
        <s v="P410"/>
        <s v="P188"/>
        <s v="P397"/>
        <s v="P489"/>
        <s v="P893"/>
        <s v="P422"/>
        <s v="P331"/>
        <s v="P343"/>
        <s v="P116"/>
        <s v="P557"/>
        <s v="P364"/>
        <s v="P314"/>
        <s v="P481"/>
        <s v="P482"/>
        <s v="P441"/>
        <s v="P195"/>
        <s v="P902"/>
        <s v="P896"/>
        <s v="P684"/>
        <s v="P225"/>
        <s v="P743"/>
        <s v="P052"/>
        <s v="P243"/>
        <s v="P076"/>
        <s v="P220"/>
        <s v="P223"/>
        <s v="P318"/>
        <s v="P569"/>
        <s v="P817"/>
        <s v="P360"/>
        <s v="P320"/>
        <s v="P777"/>
        <s v="P370"/>
        <s v="P651"/>
        <s v="P859"/>
        <s v="P005"/>
        <s v="P283"/>
        <s v="P007"/>
        <s v="P739"/>
        <s v="P129"/>
        <s v="P249"/>
        <s v="P306"/>
        <s v="P449"/>
        <s v="P016"/>
        <s v="P505"/>
        <s v="P293"/>
        <s v="P663"/>
        <s v="P680"/>
        <s v="P094"/>
        <s v="P319"/>
        <s v="P304"/>
        <s v="P922"/>
        <s v="P614"/>
        <s v="P057"/>
        <s v="P384"/>
        <s v="P916"/>
        <s v="P358"/>
        <s v="P616"/>
        <s v="P035"/>
        <s v="P553"/>
        <s v="P171"/>
        <s v="P467"/>
        <s v="P714"/>
        <s v="P876"/>
        <s v="P187"/>
        <s v="P011"/>
        <s v="P086"/>
        <s v="P659"/>
        <s v="P629"/>
        <s v="P326"/>
        <s v="P786"/>
        <s v="P773"/>
        <s v="P190"/>
        <s v="P117"/>
        <s v="P881"/>
        <s v="P808"/>
        <s v="P693"/>
        <s v="P049"/>
        <s v="P895"/>
        <s v="P126"/>
        <s v="P047"/>
        <s v="P257"/>
        <s v="P588"/>
        <s v="P732"/>
        <s v="P681"/>
        <s v="P017"/>
        <s v="P643"/>
        <s v="P406"/>
        <s v="P690"/>
        <s v="P048"/>
        <s v="P158"/>
        <s v="P675"/>
        <s v="P938"/>
        <s v="P564"/>
        <s v="P383"/>
        <s v="P219"/>
        <s v="P844"/>
        <s v="P789"/>
        <s v="P091"/>
        <s v="P584"/>
        <s v="P805"/>
        <s v="P055"/>
        <s v="P674"/>
        <s v="P458"/>
        <s v="P894"/>
        <s v="P128"/>
        <s v="P110"/>
        <s v="P485"/>
        <s v="P044"/>
        <s v="P423"/>
        <s v="P652"/>
        <s v="P715"/>
        <s v="P772"/>
        <s v="P658"/>
        <s v="P849"/>
        <s v="P928"/>
        <s v="P891"/>
        <s v="P632"/>
        <s v="P290"/>
        <s v="P825"/>
        <s v="P316"/>
        <s v="P582"/>
        <s v="P099"/>
        <s v="P227"/>
        <s v="P451"/>
        <s v="P382"/>
        <s v="P776"/>
        <s v="P462"/>
        <s v="P904"/>
        <s v="P278"/>
        <s v="P587"/>
        <s v="P944"/>
        <s v="P484"/>
        <s v="P443"/>
        <s v="P504"/>
        <s v="P583"/>
        <s v="P655"/>
        <s v="P833"/>
        <s v="P577"/>
        <s v="P642"/>
        <s v="P908"/>
        <s v="P657"/>
        <s v="P765"/>
        <s v="P189"/>
        <s v="P918"/>
        <s v="P491"/>
        <s v="P899"/>
        <s v="P123"/>
        <s v="P010"/>
        <s v="P712"/>
        <s v="P165"/>
        <s v="P102"/>
        <s v="P352"/>
        <s v="P374"/>
        <s v="P572"/>
        <s v="P561"/>
        <s v="P846"/>
        <s v="P695"/>
        <s v="P240"/>
        <s v="P931"/>
        <s v="P077"/>
        <s v="P224"/>
        <s v="P670"/>
        <s v="P519"/>
        <s v="P645"/>
        <s v="P461"/>
        <s v="P312"/>
        <s v="P019"/>
        <s v="P192"/>
        <s v="P414"/>
        <s v="P215"/>
        <s v="P767"/>
        <s v="P281"/>
        <s v="P500"/>
        <s v="P329"/>
        <s v="P001"/>
        <s v="P573"/>
        <s v="P784"/>
        <s v="P664"/>
        <s v="P340"/>
        <s v="P183"/>
        <s v="P494"/>
        <s v="P097"/>
        <s v="P056"/>
        <s v="P351"/>
        <s v="P040"/>
        <s v="P523"/>
        <s v="P892"/>
        <s v="P819"/>
        <s v="P305"/>
        <s v="P216"/>
        <s v="P299"/>
        <s v="P372"/>
        <s v="P539"/>
        <s v="P750"/>
        <s v="P238"/>
        <s v="P377"/>
        <s v="P089"/>
        <s v="P796"/>
        <s v="P530"/>
        <s v="P178"/>
        <s v="P269"/>
        <s v="P039"/>
        <s v="P153"/>
        <s v="P080"/>
        <s v="P430"/>
        <s v="P242"/>
        <s v="P913"/>
        <s v="P346"/>
        <s v="P175"/>
        <s v="P850"/>
        <s v="P507"/>
        <s v="P740"/>
        <s v="P025"/>
        <s v="P162"/>
        <s v="P927"/>
        <s v="P925"/>
        <s v="P120"/>
        <s v="P263"/>
        <s v="P571"/>
        <s v="P169"/>
        <s v="P082"/>
        <s v="P812"/>
        <s v="P791"/>
        <s v="P222"/>
        <s v="P887"/>
        <s v="P751"/>
        <s v="P763"/>
        <s v="P775"/>
        <s v="P084"/>
        <s v="P093"/>
        <s v="P302"/>
        <s v="P020"/>
        <s v="P559"/>
        <s v="P186"/>
        <s v="P228"/>
        <s v="P210"/>
        <s v="P334"/>
        <s v="P608"/>
        <s v="P528"/>
        <s v="P232"/>
        <s v="P509"/>
        <s v="P429"/>
        <s v="P315"/>
        <s v="P618"/>
        <s v="P552"/>
        <s v="P731"/>
        <s v="P239"/>
        <s v="P138"/>
        <s v="P026"/>
        <s v="P884"/>
        <s v="P341"/>
        <s v="P308"/>
        <s v="P159"/>
        <s v="P524"/>
        <s v="P472"/>
        <s v="P018"/>
        <s v="P068"/>
        <s v="P761"/>
        <s v="P737"/>
        <s v="P113"/>
        <s v="P857"/>
        <s v="P619"/>
        <s v="P517"/>
        <s v="P919"/>
        <s v="P103"/>
        <s v="P742"/>
        <s v="P488"/>
        <s v="P474"/>
        <s v="P811"/>
        <s v="P843"/>
        <s v="P292"/>
        <s v="P264"/>
        <s v="P252"/>
        <s v="P606"/>
        <s v="P672"/>
        <s v="P793"/>
        <s v="P774"/>
        <s v="P002"/>
        <s v="P550"/>
        <s v="P376"/>
        <s v="P933"/>
        <s v="P755"/>
        <s v="P368"/>
        <s v="P403"/>
        <s v="P679"/>
        <s v="P003"/>
        <s v="P096"/>
        <s v="P536"/>
        <s v="P497"/>
        <s v="P821"/>
        <s v="P886"/>
        <s v="P285"/>
        <s v="P212"/>
        <s v="P411"/>
        <s v="P646"/>
        <s v="P174"/>
        <s v="P288"/>
        <s v="P758"/>
        <s v="P143"/>
        <s v="P413"/>
        <s v="P193"/>
        <s v="P402"/>
        <s v="P230"/>
        <s v="P837"/>
        <s v="P759"/>
        <s v="P218"/>
        <s v="P598"/>
        <s v="P762"/>
        <s v="P155"/>
        <s v="P431"/>
        <s v="P404"/>
        <s v="P182"/>
        <s v="P336"/>
        <s v="P822"/>
        <s v="P075"/>
        <s v="P415"/>
        <s v="P436"/>
        <s v="P626"/>
        <s v="P641"/>
        <s v="P234"/>
        <s v="P021"/>
        <s v="P923"/>
        <s v="P770"/>
        <s v="P879"/>
        <s v="P610"/>
        <s v="P590"/>
        <s v="P031"/>
        <s v="P291"/>
        <s v="P253"/>
        <s v="P070"/>
        <s v="P088"/>
        <s v="P115"/>
        <s v="P549"/>
        <s v="P092"/>
        <s v="P466"/>
        <s v="P862"/>
        <s v="P709"/>
        <s v="P168"/>
        <s v="P408"/>
        <s v="P617"/>
        <s v="P321"/>
        <s v="P917"/>
        <s v="P586"/>
        <s v="P078"/>
        <s v="P705"/>
        <s v="P567"/>
        <s v="P532"/>
        <s v="P599"/>
        <s v="P691"/>
        <s v="P258"/>
        <s v="P256"/>
        <s v="P728"/>
        <s v="P911"/>
        <s v="P706"/>
        <s v="P498"/>
        <s v="P131"/>
        <s v="P101"/>
        <s v="P172"/>
        <s v="P935"/>
        <s v="P703"/>
        <s v="P872"/>
        <s v="P454"/>
        <s v="P656"/>
        <s v="P201"/>
        <s v="P203"/>
        <s v="P713"/>
        <s v="P828"/>
        <s v="P661"/>
        <s v="P781"/>
        <s v="P456"/>
        <s v="P634"/>
        <s v="P137"/>
        <s v="P521"/>
        <s v="P660"/>
        <s v="P570"/>
        <s v="P379"/>
        <s v="P707"/>
        <s v="P271"/>
        <s v="P607"/>
        <s v="P064"/>
        <s v="P394"/>
        <s v="P071"/>
        <s v="P535"/>
        <s v="P272"/>
        <s v="P544"/>
        <s v="P779"/>
        <s v="P161"/>
        <s v="P871"/>
        <s v="P170"/>
        <s v="P037"/>
        <s v="P244"/>
        <s v="P083"/>
        <s v="P261"/>
        <s v="P373"/>
        <s v="P023"/>
        <s v="P338"/>
        <s v="P309"/>
        <s v="P752"/>
        <s v="P508"/>
        <s v="P221"/>
        <s v="P014"/>
        <s v="P673"/>
        <s v="P585"/>
        <s v="P512"/>
        <s v="P277"/>
        <s v="P548"/>
        <s v="P839"/>
        <s v="P720"/>
        <s v="P477"/>
        <s v="P226"/>
        <s v="P633"/>
        <s v="P217"/>
        <s v="P030"/>
        <s v="P860"/>
        <s v="P701"/>
        <s v="P723"/>
        <s v="P838"/>
        <s v="P181"/>
        <s v="P746"/>
        <s v="P460"/>
        <s v="P678"/>
        <s v="P438"/>
        <s v="P475"/>
        <s v="P265"/>
        <s v="P065"/>
        <s v="P921"/>
        <s v="P942"/>
        <s v="P851"/>
        <s v="P920"/>
        <s v="P176"/>
        <s v="P399"/>
        <s v="P173"/>
        <s v="P333"/>
        <s v="P033"/>
        <s v="P032"/>
        <s v="P745"/>
        <s v="P236"/>
        <s v="P375"/>
        <s v="P398"/>
        <s v="P409"/>
        <s v="P700"/>
        <s v="P686"/>
        <s v="P419"/>
        <s v="P390"/>
        <s v="P388"/>
        <s v="P816"/>
        <s v="P266"/>
        <s v="P015"/>
        <s v="P095"/>
        <s v="P529"/>
        <s v="P392"/>
        <s v="P854"/>
        <s v="P730"/>
        <s v="P802"/>
        <s v="P926"/>
        <s v="P924"/>
        <s v="P079"/>
        <s v="P604"/>
        <s v="P184"/>
        <s v="P450"/>
        <s v="P381"/>
        <s v="P836"/>
        <s v="P492"/>
        <s v="P780"/>
        <s v="P191"/>
        <s v="P622"/>
        <s v="P365"/>
        <s v="P869"/>
        <s v="P136"/>
        <s v="P246"/>
        <s v="P882"/>
        <s v="P275"/>
        <s v="P148"/>
        <s v="P106"/>
        <s v="P295"/>
        <s v="P325"/>
        <s v="P771"/>
        <s v="P800"/>
        <s v="P540"/>
        <s v="P692"/>
        <s v="P677"/>
        <s v="P111"/>
        <s v="P901"/>
        <s v="P769"/>
        <s v="P827"/>
        <s v="P006"/>
        <s v="P145"/>
        <s v="P104"/>
        <s v="P211"/>
        <s v="P898"/>
        <s v="P447"/>
        <s v="P042"/>
        <s v="P363"/>
        <s v="P650"/>
        <s v="P378"/>
        <s v="P255"/>
        <s v="P147"/>
        <s v="P638"/>
        <s v="P087"/>
        <s v="P543"/>
        <s v="P432"/>
        <s v="P066"/>
        <s v="P716"/>
        <s v="P206"/>
        <s v="P045"/>
        <s v="P081"/>
        <s v="P114"/>
        <s v="P912"/>
        <s v="P205"/>
        <s v="P520"/>
        <s v="P721"/>
        <s v="P671"/>
        <s v="P625"/>
        <s v="P744"/>
        <s v="P741"/>
        <s v="P009"/>
        <s v="P074"/>
        <s v="P401"/>
        <s v="P119"/>
        <s v="P702"/>
        <s v="P207"/>
        <s v="P868"/>
      </sharedItems>
    </cacheField>
    <cacheField name="Product_Name" numFmtId="0">
      <sharedItems count="75">
        <s v="Basmati Rice Pro"/>
        <s v="Biscuits Std"/>
        <s v="Bluetooth Speaker Pro"/>
        <s v="Cotton T-Shirt Lite"/>
        <s v="Bluetooth Speaker Std"/>
        <s v="Colour Pencils Lite"/>
        <s v="Denim Jeans Pro"/>
        <s v="Usb Cable Lite"/>
        <s v="Dinner Set Pro"/>
        <s v="Cotton T-Shirt Std"/>
        <s v="Water Bottle Pro"/>
        <s v="Mixer Grinder Std"/>
        <s v="Colour Pencils Pro"/>
        <s v="Bluetooth Speaker Lite"/>
        <s v="Power Bank Std"/>
        <s v="Mixer Grinder Pro"/>
        <s v="Dinner Set Std"/>
        <s v="Colour Pencils Std"/>
        <s v="Socks Lite"/>
        <s v="Pressure Cooker Pro"/>
        <s v="Kurta Lite"/>
        <s v="Toor Dal Lite"/>
        <s v="Earbuds Pro"/>
        <s v="Usb Cable Pro"/>
        <s v="Pressure Cooker Lite"/>
        <s v="Sunflower Oil Lite"/>
        <s v="School Bag Pro"/>
        <s v="Tea Powder Lite"/>
        <s v="Sunflower Oil Std"/>
        <s v="Earbuds Std"/>
        <s v="Socks Std"/>
        <s v="Smart Watch Pro"/>
        <s v="Earbuds Lite"/>
        <s v="Bedsheet Pro"/>
        <s v="School Bag Std"/>
        <s v="Running Shoes Lite"/>
        <s v="Notebook Std"/>
        <s v="Bedsheet Std"/>
        <s v="Pressure Cooker Std"/>
        <s v="Denim Jeans Lite"/>
        <s v="Running Shoes Pro"/>
        <s v="School Bag Lite"/>
        <s v="Biscuits Lite"/>
        <s v="Dinner Set Lite"/>
        <s v="Toor Dal Pro"/>
        <s v="Notebook Lite"/>
        <s v="Marker Set Pro"/>
        <s v="Basmati Rice Std"/>
        <s v="Toor Dal Std"/>
        <s v="Bedsheet Lite"/>
        <s v="Usb Cable Std"/>
        <s v="Water Bottle Lite"/>
        <s v="Gel Pens Lite"/>
        <s v="Kurta Std"/>
        <s v="Cotton T-Shirt Pro"/>
        <s v="Smart Watch Lite"/>
        <s v="Power Bank Pro"/>
        <s v="Mixer Grinder Lite"/>
        <s v="Smart Watch Std"/>
        <s v="Tea Powder Std"/>
        <s v="Running Shoes Std"/>
        <s v="Notebook Pro"/>
        <s v="Water Bottle Std"/>
        <s v="Socks Pro"/>
        <s v="Gel Pens Pro"/>
        <s v="Basmati Rice Lite"/>
        <s v="Marker Set Std"/>
        <s v="Power Bank Lite"/>
        <s v="Sunflower Oil Pro"/>
        <s v="Marker Set Lite"/>
        <s v="Tea Powder Pro"/>
        <s v="Biscuits Pro"/>
        <s v="Gel Pens Std"/>
        <s v="Kurta Pro"/>
        <s v="Denim Jeans Std"/>
      </sharedItems>
    </cacheField>
    <cacheField name="Category" numFmtId="0">
      <sharedItems containsBlank="1" count="6">
        <s v="Groceries"/>
        <s v="Electronics"/>
        <s v="Apparel"/>
        <s v="Stationery"/>
        <s v="Home &amp; Kitchen"/>
        <m/>
      </sharedItems>
    </cacheField>
    <cacheField name="Warehouse" numFmtId="0">
      <sharedItems count="4">
        <s v="Coimbatore"/>
        <s v="Madurai"/>
        <s v="Chennai"/>
        <s v="Pondicherry"/>
      </sharedItems>
    </cacheField>
    <cacheField name="Last_Sale_Date" numFmtId="14">
      <sharedItems containsNonDate="0" containsDate="1" containsString="0" containsBlank="1" minDate="2025-12-05T00:00:00" maxDate="2026-09-30T00:00:00" count="259">
        <d v="2025-12-14T00:00:00"/>
        <d v="2026-06-25T00:00:00"/>
        <d v="2026-01-08T00:00:00"/>
        <d v="2026-03-07T00:00:00"/>
        <d v="2026-02-13T00:00:00"/>
        <d v="2026-07-07T00:00:00"/>
        <d v="2026-07-18T00:00:00"/>
        <d v="2026-04-15T00:00:00"/>
        <d v="2026-07-14T00:00:00"/>
        <d v="2025-12-11T00:00:00"/>
        <d v="2026-07-11T00:00:00"/>
        <m/>
        <d v="2026-05-03T00:00:00"/>
        <d v="2026-06-08T00:00:00"/>
        <d v="2026-05-12T00:00:00"/>
        <d v="2026-05-08T00:00:00"/>
        <d v="2026-03-04T00:00:00"/>
        <d v="2026-01-09T00:00:00"/>
        <d v="2026-05-13T00:00:00"/>
        <d v="2026-09-22T00:00:00"/>
        <d v="2026-05-21T00:00:00"/>
        <d v="2026-01-06T00:00:00"/>
        <d v="2026-04-08T00:00:00"/>
        <d v="2026-03-01T00:00:00"/>
        <d v="2026-01-23T00:00:00"/>
        <d v="2026-06-19T00:00:00"/>
        <d v="2026-06-11T00:00:00"/>
        <d v="2026-04-03T00:00:00"/>
        <d v="2026-04-05T00:00:00"/>
        <d v="2026-06-06T00:00:00"/>
        <d v="2026-07-08T00:00:00"/>
        <d v="2025-12-05T00:00:00"/>
        <d v="2026-09-13T00:00:00"/>
        <d v="2026-03-15T00:00:00"/>
        <d v="2026-07-31T00:00:00"/>
        <d v="2026-07-13T00:00:00"/>
        <d v="2026-01-28T00:00:00"/>
        <d v="2026-03-19T00:00:00"/>
        <d v="2026-03-31T00:00:00"/>
        <d v="2026-01-05T00:00:00"/>
        <d v="2026-02-22T00:00:00"/>
        <d v="2026-02-10T00:00:00"/>
        <d v="2026-05-30T00:00:00"/>
        <d v="2026-01-29T00:00:00"/>
        <d v="2026-01-04T00:00:00"/>
        <d v="2026-07-30T00:00:00"/>
        <d v="2026-02-25T00:00:00"/>
        <d v="2026-09-16T00:00:00"/>
        <d v="2026-07-20T00:00:00"/>
        <d v="2026-04-14T00:00:00"/>
        <d v="2026-08-02T00:00:00"/>
        <d v="2026-05-01T00:00:00"/>
        <d v="2026-04-22T00:00:00"/>
        <d v="2026-04-30T00:00:00"/>
        <d v="2026-07-21T00:00:00"/>
        <d v="2025-12-22T00:00:00"/>
        <d v="2026-08-10T00:00:00"/>
        <d v="2026-01-11T00:00:00"/>
        <d v="2025-12-07T00:00:00"/>
        <d v="2025-12-13T00:00:00"/>
        <d v="2026-09-18T00:00:00"/>
        <d v="2026-06-12T00:00:00"/>
        <d v="2026-05-26T00:00:00"/>
        <d v="2025-12-24T00:00:00"/>
        <d v="2026-08-16T00:00:00"/>
        <d v="2026-06-13T00:00:00"/>
        <d v="2026-04-23T00:00:00"/>
        <d v="2026-04-07T00:00:00"/>
        <d v="2026-03-30T00:00:00"/>
        <d v="2026-02-14T00:00:00"/>
        <d v="2026-05-23T00:00:00"/>
        <d v="2026-02-01T00:00:00"/>
        <d v="2026-09-03T00:00:00"/>
        <d v="2026-05-05T00:00:00"/>
        <d v="2026-06-20T00:00:00"/>
        <d v="2026-06-15T00:00:00"/>
        <d v="2026-09-10T00:00:00"/>
        <d v="2026-09-21T00:00:00"/>
        <d v="2026-04-29T00:00:00"/>
        <d v="2026-03-22T00:00:00"/>
        <d v="2026-04-24T00:00:00"/>
        <d v="2026-08-11T00:00:00"/>
        <d v="2026-05-19T00:00:00"/>
        <d v="2026-03-08T00:00:00"/>
        <d v="2026-05-07T00:00:00"/>
        <d v="2026-06-09T00:00:00"/>
        <d v="2026-06-07T00:00:00"/>
        <d v="2026-05-11T00:00:00"/>
        <d v="2026-09-23T00:00:00"/>
        <d v="2026-07-25T00:00:00"/>
        <d v="2026-01-13T00:00:00"/>
        <d v="2026-02-06T00:00:00"/>
        <d v="2026-09-05T00:00:00"/>
        <d v="2026-05-24T00:00:00"/>
        <d v="2026-06-21T00:00:00"/>
        <d v="2026-06-04T00:00:00"/>
        <d v="2026-06-28T00:00:00"/>
        <d v="2026-06-22T00:00:00"/>
        <d v="2025-12-27T00:00:00"/>
        <d v="2026-08-04T00:00:00"/>
        <d v="2026-08-24T00:00:00"/>
        <d v="2026-07-04T00:00:00"/>
        <d v="2026-09-07T00:00:00"/>
        <d v="2026-07-24T00:00:00"/>
        <d v="2026-09-09T00:00:00"/>
        <d v="2026-04-26T00:00:00"/>
        <d v="2026-06-03T00:00:00"/>
        <d v="2026-01-25T00:00:00"/>
        <d v="2026-02-03T00:00:00"/>
        <d v="2026-05-25T00:00:00"/>
        <d v="2025-12-12T00:00:00"/>
        <d v="2026-02-15T00:00:00"/>
        <d v="2026-07-17T00:00:00"/>
        <d v="2026-01-30T00:00:00"/>
        <d v="2026-08-30T00:00:00"/>
        <d v="2026-04-09T00:00:00"/>
        <d v="2026-05-31T00:00:00"/>
        <d v="2026-01-26T00:00:00"/>
        <d v="2026-03-24T00:00:00"/>
        <d v="2026-08-28T00:00:00"/>
        <d v="2026-02-05T00:00:00"/>
        <d v="2026-08-15T00:00:00"/>
        <d v="2026-08-09T00:00:00"/>
        <d v="2026-03-11T00:00:00"/>
        <d v="2026-08-20T00:00:00"/>
        <d v="2026-07-27T00:00:00"/>
        <d v="2026-02-26T00:00:00"/>
        <d v="2026-09-24T00:00:00"/>
        <d v="2026-03-18T00:00:00"/>
        <d v="2026-03-14T00:00:00"/>
        <d v="2026-07-03T00:00:00"/>
        <d v="2026-05-09T00:00:00"/>
        <d v="2026-07-12T00:00:00"/>
        <d v="2026-09-14T00:00:00"/>
        <d v="2026-08-03T00:00:00"/>
        <d v="2026-03-17T00:00:00"/>
        <d v="2026-04-04T00:00:00"/>
        <d v="2026-02-23T00:00:00"/>
        <d v="2026-06-17T00:00:00"/>
        <d v="2025-12-18T00:00:00"/>
        <d v="2026-06-27T00:00:00"/>
        <d v="2026-07-09T00:00:00"/>
        <d v="2025-12-21T00:00:00"/>
        <d v="2026-02-24T00:00:00"/>
        <d v="2025-12-17T00:00:00"/>
        <d v="2026-05-06T00:00:00"/>
        <d v="2026-09-04T00:00:00"/>
        <d v="2026-01-19T00:00:00"/>
        <d v="2026-05-18T00:00:00"/>
        <d v="2025-12-10T00:00:00"/>
        <d v="2025-12-29T00:00:00"/>
        <d v="2026-08-14T00:00:00"/>
        <d v="2026-06-01T00:00:00"/>
        <d v="2026-02-07T00:00:00"/>
        <d v="2026-01-15T00:00:00"/>
        <d v="2026-09-02T00:00:00"/>
        <d v="2026-04-17T00:00:00"/>
        <d v="2025-12-09T00:00:00"/>
        <d v="2026-07-02T00:00:00"/>
        <d v="2026-08-19T00:00:00"/>
        <d v="2026-08-23T00:00:00"/>
        <d v="2026-08-27T00:00:00"/>
        <d v="2026-03-25T00:00:00"/>
        <d v="2026-03-23T00:00:00"/>
        <d v="2026-02-27T00:00:00"/>
        <d v="2026-08-18T00:00:00"/>
        <d v="2026-02-17T00:00:00"/>
        <d v="2026-01-10T00:00:00"/>
        <d v="2026-05-14T00:00:00"/>
        <d v="2026-09-01T00:00:00"/>
        <d v="2026-01-14T00:00:00"/>
        <d v="2026-03-09T00:00:00"/>
        <d v="2026-03-02T00:00:00"/>
        <d v="2026-02-12T00:00:00"/>
        <d v="2026-01-20T00:00:00"/>
        <d v="2026-08-06T00:00:00"/>
        <d v="2025-12-19T00:00:00"/>
        <d v="2026-01-17T00:00:00"/>
        <d v="2026-01-12T00:00:00"/>
        <d v="2025-12-26T00:00:00"/>
        <d v="2025-12-08T00:00:00"/>
        <d v="2026-03-28T00:00:00"/>
        <d v="2025-12-30T00:00:00"/>
        <d v="2026-09-25T00:00:00"/>
        <d v="2026-08-29T00:00:00"/>
        <d v="2026-07-05T00:00:00"/>
        <d v="2026-06-30T00:00:00"/>
        <d v="2026-07-06T00:00:00"/>
        <d v="2026-03-29T00:00:00"/>
        <d v="2026-09-29T00:00:00"/>
        <d v="2026-04-02T00:00:00"/>
        <d v="2026-03-27T00:00:00"/>
        <d v="2026-02-11T00:00:00"/>
        <d v="2026-08-31T00:00:00"/>
        <d v="2026-09-20T00:00:00"/>
        <d v="2025-12-31T00:00:00"/>
        <d v="2026-04-01T00:00:00"/>
        <d v="2026-04-21T00:00:00"/>
        <d v="2026-09-19T00:00:00"/>
        <d v="2026-01-03T00:00:00"/>
        <d v="2026-05-28T00:00:00"/>
        <d v="2026-06-24T00:00:00"/>
        <d v="2026-08-08T00:00:00"/>
        <d v="2026-06-10T00:00:00"/>
        <d v="2026-01-02T00:00:00"/>
        <d v="2025-12-23T00:00:00"/>
        <d v="2026-05-15T00:00:00"/>
        <d v="2026-08-07T00:00:00"/>
        <d v="2026-02-09T00:00:00"/>
        <d v="2026-09-28T00:00:00"/>
        <d v="2026-09-06T00:00:00"/>
        <d v="2026-03-20T00:00:00"/>
        <d v="2026-09-08T00:00:00"/>
        <d v="2026-08-12T00:00:00"/>
        <d v="2025-12-20T00:00:00"/>
        <d v="2026-05-22T00:00:00"/>
        <d v="2026-05-27T00:00:00"/>
        <d v="2026-05-10T00:00:00"/>
        <d v="2026-04-12T00:00:00"/>
        <d v="2026-07-19T00:00:00"/>
        <d v="2026-07-22T00:00:00"/>
        <d v="2026-02-04T00:00:00"/>
        <d v="2026-09-17T00:00:00"/>
        <d v="2026-01-31T00:00:00"/>
        <d v="2026-03-05T00:00:00"/>
        <d v="2026-04-11T00:00:00"/>
        <d v="2026-01-24T00:00:00"/>
        <d v="2026-05-04T00:00:00"/>
        <d v="2026-06-16T00:00:00"/>
        <d v="2026-04-25T00:00:00"/>
        <d v="2026-08-25T00:00:00"/>
        <d v="2026-07-01T00:00:00"/>
        <d v="2026-06-26T00:00:00"/>
        <d v="2026-06-23T00:00:00"/>
        <d v="2026-05-17T00:00:00"/>
        <d v="2026-03-26T00:00:00"/>
        <d v="2026-03-12T00:00:00"/>
        <d v="2026-04-06T00:00:00"/>
        <d v="2026-05-02T00:00:00"/>
        <d v="2026-08-21T00:00:00"/>
        <d v="2026-01-21T00:00:00"/>
        <d v="2025-12-16T00:00:00"/>
        <d v="2026-09-26T00:00:00"/>
        <d v="2026-06-02T00:00:00"/>
        <d v="2026-05-20T00:00:00"/>
        <d v="2026-03-03T00:00:00"/>
        <d v="2026-02-28T00:00:00"/>
        <d v="2026-02-02T00:00:00"/>
        <d v="2026-06-14T00:00:00"/>
        <d v="2026-02-08T00:00:00"/>
        <d v="2026-04-10T00:00:00"/>
        <d v="2025-12-25T00:00:00"/>
        <d v="2026-02-16T00:00:00"/>
        <d v="2026-04-13T00:00:00"/>
        <d v="2026-08-05T00:00:00"/>
        <d v="2026-02-21T00:00:00"/>
        <d v="2026-07-28T00:00:00"/>
        <d v="2026-05-16T00:00:00"/>
        <d v="2026-01-07T00:00:00"/>
      </sharedItems>
      <fieldGroup par="16"/>
    </cacheField>
    <cacheField name="Opening_Stock" numFmtId="0">
      <sharedItems containsString="0" containsBlank="1" containsNumber="1" containsInteger="1" minValue="50" maxValue="499"/>
    </cacheField>
    <cacheField name="Units_Sold" numFmtId="0">
      <sharedItems containsString="0" containsBlank="1" containsNumber="1" containsInteger="1" minValue="0" maxValue="486"/>
    </cacheField>
    <cacheField name="Closing_Stock" numFmtId="0">
      <sharedItems containsString="0" containsBlank="1" containsNumber="1" containsInteger="1" minValue="1" maxValue="499"/>
    </cacheField>
    <cacheField name="Unit_Cost" numFmtId="0">
      <sharedItems containsString="0" containsBlank="1" containsNumber="1" containsInteger="1" minValue="50" maxValue="2998"/>
    </cacheField>
    <cacheField name="Stock_Status" numFmtId="0">
      <sharedItems containsBlank="1" count="3">
        <s v="In Stock"/>
        <s v="Low Stock"/>
        <m/>
      </sharedItems>
    </cacheField>
    <cacheField name="Sell_through%" numFmtId="9">
      <sharedItems containsMixedTypes="1" containsNumber="1" minValue="0" maxValue="1"/>
    </cacheField>
    <cacheField name="Movement_Class" numFmtId="0">
      <sharedItems count="4">
        <s v="Slow"/>
        <s v="Fast"/>
        <s v="Non-moving"/>
        <s v="Check"/>
      </sharedItems>
    </cacheField>
    <cacheField name="Stock_Value" numFmtId="0">
      <sharedItems containsMixedTypes="1" containsNumber="1" containsInteger="1" minValue="222" maxValue="1463168" count="884">
        <n v="323544"/>
        <n v="28668"/>
        <n v="15375"/>
        <n v="137264"/>
        <n v="77616"/>
        <n v="27778"/>
        <n v="23950"/>
        <s v=""/>
        <n v="50328"/>
        <n v="164124"/>
        <n v="224645"/>
        <n v="453744"/>
        <n v="275209"/>
        <n v="2178"/>
        <n v="261375"/>
        <n v="50808"/>
        <n v="716850"/>
        <n v="837789"/>
        <n v="11820"/>
        <n v="385956"/>
        <n v="1273282"/>
        <n v="125787"/>
        <n v="120006"/>
        <n v="109892"/>
        <n v="164065"/>
        <n v="270746"/>
        <n v="191136"/>
        <n v="236691"/>
        <n v="1053398"/>
        <n v="361708"/>
        <n v="1952"/>
        <n v="1694"/>
        <n v="153072"/>
        <n v="859840"/>
        <n v="350960"/>
        <n v="40788"/>
        <n v="502516"/>
        <n v="32100"/>
        <n v="170815"/>
        <n v="477152"/>
        <n v="366814"/>
        <n v="249282"/>
        <n v="342372"/>
        <n v="5133"/>
        <n v="104940"/>
        <n v="112172"/>
        <n v="383572"/>
        <n v="163924"/>
        <n v="355530"/>
        <n v="136703"/>
        <n v="7365"/>
        <n v="469755"/>
        <n v="552636"/>
        <n v="703326"/>
        <n v="156445"/>
        <n v="171915"/>
        <n v="33344"/>
        <n v="35000"/>
        <n v="199962"/>
        <n v="659892"/>
        <n v="362467"/>
        <n v="59187"/>
        <n v="13210"/>
        <n v="30212"/>
        <n v="58401"/>
        <n v="216678"/>
        <n v="16575"/>
        <n v="347800"/>
        <n v="475650"/>
        <n v="6279"/>
        <n v="56610"/>
        <n v="884934"/>
        <n v="43902"/>
        <n v="10344"/>
        <n v="85952"/>
        <n v="822916"/>
        <n v="6306"/>
        <n v="640633"/>
        <n v="20240"/>
        <n v="327624"/>
        <n v="19460"/>
        <n v="20208"/>
        <n v="348516"/>
        <n v="452710"/>
        <n v="102357"/>
        <n v="142272"/>
        <n v="359250"/>
        <n v="537930"/>
        <n v="533377"/>
        <n v="68907"/>
        <n v="224407"/>
        <n v="318780"/>
        <n v="36785"/>
        <n v="247172"/>
        <n v="90688"/>
        <n v="438386"/>
        <n v="210144"/>
        <n v="112340"/>
        <n v="343910"/>
        <n v="31510"/>
        <n v="124140"/>
        <n v="133728"/>
        <n v="145748"/>
        <n v="860832"/>
        <n v="18576"/>
        <n v="205056"/>
        <n v="248413"/>
        <n v="487008"/>
        <n v="44190"/>
        <n v="468510"/>
        <n v="13110"/>
        <n v="247005"/>
        <n v="303104"/>
        <n v="184338"/>
        <n v="467194"/>
        <n v="23718"/>
        <n v="781781"/>
        <n v="108290"/>
        <n v="340976"/>
        <n v="19560"/>
        <n v="404448"/>
        <n v="132422"/>
        <n v="874592"/>
        <n v="58590"/>
        <n v="28420"/>
        <n v="268257"/>
        <n v="423444"/>
        <n v="210384"/>
        <n v="334734"/>
        <n v="418119"/>
        <n v="9900"/>
        <n v="390089"/>
        <n v="947520"/>
        <n v="858945"/>
        <n v="30814"/>
        <n v="1103490"/>
        <n v="148932"/>
        <n v="394850"/>
        <n v="3213"/>
        <n v="4294"/>
        <n v="152946"/>
        <n v="225965"/>
        <n v="212646"/>
        <n v="289050"/>
        <n v="4849"/>
        <n v="822730"/>
        <n v="36666"/>
        <n v="175474"/>
        <n v="280684"/>
        <n v="500500"/>
        <n v="62445"/>
        <n v="221578"/>
        <n v="48635"/>
        <n v="1140456"/>
        <n v="893256"/>
        <n v="136136"/>
        <n v="644870"/>
        <n v="11680"/>
        <n v="423612"/>
        <n v="123984"/>
        <n v="9584"/>
        <n v="671088"/>
        <n v="467686"/>
        <n v="888528"/>
        <n v="140616"/>
        <n v="570720"/>
        <n v="263408"/>
        <n v="111384"/>
        <n v="194064"/>
        <n v="58056"/>
        <n v="861560"/>
        <n v="860698"/>
        <n v="4560"/>
        <n v="24420"/>
        <n v="287206"/>
        <n v="9625"/>
        <n v="436421"/>
        <n v="271500"/>
        <n v="141456"/>
        <n v="18544"/>
        <n v="633983"/>
        <n v="685368"/>
        <n v="237489"/>
        <n v="91465"/>
        <n v="378420"/>
        <n v="134420"/>
        <n v="652068"/>
        <n v="560768"/>
        <n v="344520"/>
        <n v="10735"/>
        <n v="216828"/>
        <n v="10890"/>
        <n v="82026"/>
        <n v="241224"/>
        <n v="278967"/>
        <n v="126308"/>
        <n v="546678"/>
        <n v="476088"/>
        <n v="89426"/>
        <n v="412148"/>
        <n v="401592"/>
        <n v="707161"/>
        <n v="40752"/>
        <n v="273369"/>
        <n v="844712"/>
        <n v="3605"/>
        <n v="2793"/>
        <n v="35112"/>
        <n v="27584"/>
        <n v="554054"/>
        <n v="18130"/>
        <n v="170783"/>
        <n v="34830"/>
        <n v="1394328"/>
        <n v="487039"/>
        <n v="157560"/>
        <n v="70180"/>
        <n v="573775"/>
        <n v="97546"/>
        <n v="82908"/>
        <n v="571872"/>
        <n v="3315"/>
        <n v="604360"/>
        <n v="863873"/>
        <n v="921352"/>
        <n v="394"/>
        <n v="352108"/>
        <n v="193880"/>
        <n v="186948"/>
        <n v="410320"/>
        <n v="615195"/>
        <n v="165869"/>
        <n v="171758"/>
        <n v="48336"/>
        <n v="6139"/>
        <n v="31600"/>
        <n v="647400"/>
        <n v="205390"/>
        <n v="25376"/>
        <n v="796796"/>
        <n v="225816"/>
        <n v="1022822"/>
        <n v="166208"/>
        <n v="7608"/>
        <n v="77748"/>
        <n v="101116"/>
        <n v="122880"/>
        <n v="128736"/>
        <n v="45650"/>
        <n v="276360"/>
        <n v="12028"/>
        <n v="155940"/>
        <n v="580678"/>
        <n v="311657"/>
        <n v="52217"/>
        <n v="412296"/>
        <n v="72640"/>
        <n v="15745"/>
        <n v="301280"/>
        <n v="257616"/>
        <n v="55176"/>
        <n v="32550"/>
        <n v="236720"/>
        <n v="76014"/>
        <n v="5568"/>
        <n v="48410"/>
        <n v="218957"/>
        <n v="870129"/>
        <n v="1267175"/>
        <n v="137215"/>
        <n v="386087"/>
        <n v="5056"/>
        <n v="62350"/>
        <n v="157584"/>
        <n v="150150"/>
        <n v="281790"/>
        <n v="281700"/>
        <n v="10557"/>
        <n v="509515"/>
        <n v="701675"/>
        <n v="9366"/>
        <n v="5776"/>
        <n v="143657"/>
        <n v="6035"/>
        <n v="11964"/>
        <n v="485355"/>
        <n v="98343"/>
        <n v="68058"/>
        <n v="478268"/>
        <n v="27048"/>
        <n v="861"/>
        <n v="161112"/>
        <n v="500528"/>
        <n v="159354"/>
        <n v="490974"/>
        <n v="76632"/>
        <n v="409104"/>
        <n v="22248"/>
        <n v="9918"/>
        <n v="123192"/>
        <n v="957941"/>
        <n v="7372"/>
        <n v="1025988"/>
        <n v="57330"/>
        <n v="229646"/>
        <n v="65952"/>
        <n v="643140"/>
        <n v="675546"/>
        <n v="509080"/>
        <n v="381"/>
        <n v="339326"/>
        <n v="661227"/>
        <n v="991341"/>
        <n v="497250"/>
        <n v="263625"/>
        <n v="263192"/>
        <n v="169012"/>
        <n v="274659"/>
        <n v="106880"/>
        <n v="34308"/>
        <n v="190074"/>
        <n v="618640"/>
        <n v="81180"/>
        <n v="167688"/>
        <n v="100455"/>
        <n v="783432"/>
        <n v="89428"/>
        <n v="32240"/>
        <n v="238469"/>
        <n v="24740"/>
        <n v="111320"/>
        <n v="103800"/>
        <n v="572880"/>
        <n v="259166"/>
        <n v="128912"/>
        <n v="757924"/>
        <n v="2856"/>
        <n v="280112"/>
        <n v="728160"/>
        <n v="470004"/>
        <n v="45126"/>
        <n v="45140"/>
        <n v="209770"/>
        <n v="155030"/>
        <n v="470691"/>
        <n v="211729"/>
        <n v="138516"/>
        <n v="46620"/>
        <n v="21924"/>
        <n v="998280"/>
        <n v="17460"/>
        <n v="97344"/>
        <n v="181478"/>
        <n v="349574"/>
        <n v="665550"/>
        <n v="1160705"/>
        <n v="350035"/>
        <n v="438616"/>
        <n v="5162"/>
        <n v="1013727"/>
        <n v="56764"/>
        <n v="60233"/>
        <n v="138880"/>
        <n v="80304"/>
        <n v="192816"/>
        <n v="17100"/>
        <n v="734454"/>
        <n v="63501"/>
        <n v="362167"/>
        <n v="1911"/>
        <n v="225108"/>
        <n v="977441"/>
        <n v="697440"/>
        <n v="556479"/>
        <n v="181476"/>
        <n v="39123"/>
        <n v="124848"/>
        <n v="232686"/>
        <n v="117436"/>
        <n v="13460"/>
        <n v="148512"/>
        <n v="157320"/>
        <n v="266396"/>
        <n v="496672"/>
        <n v="246308"/>
        <n v="173502"/>
        <n v="218284"/>
        <n v="544236"/>
        <n v="34204"/>
        <n v="746618"/>
        <n v="87705"/>
        <n v="687090"/>
        <n v="299265"/>
        <n v="44836"/>
        <n v="406926"/>
        <n v="270567"/>
        <n v="444480"/>
        <n v="185136"/>
        <n v="169290"/>
        <n v="10100"/>
        <n v="136300"/>
        <n v="10675"/>
        <n v="230503"/>
        <n v="316608"/>
        <n v="670700"/>
        <n v="633392"/>
        <n v="499447"/>
        <n v="369150"/>
        <n v="265221"/>
        <n v="57616"/>
        <n v="215246"/>
        <n v="42504"/>
        <n v="370540"/>
        <n v="13524"/>
        <n v="4256"/>
        <n v="58520"/>
        <n v="932466"/>
        <n v="63024"/>
        <n v="201476"/>
        <n v="146118"/>
        <n v="131584"/>
        <n v="37044"/>
        <n v="65604"/>
        <n v="283251"/>
        <n v="88776"/>
        <n v="213744"/>
        <n v="748496"/>
        <n v="511632"/>
        <n v="92640"/>
        <n v="209294"/>
        <n v="280982"/>
        <n v="247954"/>
        <n v="444828"/>
        <n v="982300"/>
        <n v="1164432"/>
        <n v="91390"/>
        <n v="835183"/>
        <n v="243104"/>
        <n v="213614"/>
        <n v="282166"/>
        <n v="688025"/>
        <n v="262900"/>
        <n v="361032"/>
        <n v="836160"/>
        <n v="4521"/>
        <n v="186020"/>
        <n v="28990"/>
        <n v="74893"/>
        <n v="329670"/>
        <n v="16005"/>
        <n v="694765"/>
        <n v="10023"/>
        <n v="940912"/>
        <n v="273481"/>
        <n v="282870"/>
        <n v="55272"/>
        <n v="8479"/>
        <n v="34164"/>
        <n v="31382"/>
        <n v="916"/>
        <n v="59565"/>
        <n v="929331"/>
        <n v="26588"/>
        <n v="36218"/>
        <n v="46585"/>
        <n v="49977"/>
        <n v="371424"/>
        <n v="468160"/>
        <n v="147086"/>
        <n v="14877"/>
        <n v="4050"/>
        <n v="119355"/>
        <n v="56662"/>
        <n v="117234"/>
        <n v="301720"/>
        <n v="304150"/>
        <n v="1057973"/>
        <n v="12495"/>
        <n v="78490"/>
        <n v="1047222"/>
        <n v="349805"/>
        <n v="1244880"/>
        <n v="665001"/>
        <n v="319788"/>
        <n v="17334"/>
        <n v="177010"/>
        <n v="262836"/>
        <n v="544401"/>
        <n v="5396"/>
        <n v="337824"/>
        <n v="1196136"/>
        <n v="156294"/>
        <n v="1463168"/>
        <n v="84755"/>
        <n v="123624"/>
        <n v="773180"/>
        <n v="53227"/>
        <n v="122785"/>
        <n v="242972"/>
        <n v="1161496"/>
        <n v="289536"/>
        <n v="58245"/>
        <n v="129000"/>
        <n v="337272"/>
        <n v="19187"/>
        <n v="531804"/>
        <n v="28182"/>
        <n v="134250"/>
        <n v="316440"/>
        <n v="143290"/>
        <n v="26380"/>
        <n v="7605"/>
        <n v="244724"/>
        <n v="44064"/>
        <n v="101847"/>
        <n v="294507"/>
        <n v="41145"/>
        <n v="79074"/>
        <n v="50303"/>
        <n v="717574"/>
        <n v="1028503"/>
        <n v="105609"/>
        <n v="719928"/>
        <n v="6450"/>
        <n v="417750"/>
        <n v="26520"/>
        <n v="312602"/>
        <n v="5676"/>
        <n v="222"/>
        <n v="667375"/>
        <n v="758112"/>
        <n v="16101"/>
        <n v="25610"/>
        <n v="124443"/>
        <n v="343152"/>
        <n v="271440"/>
        <n v="137067"/>
        <n v="89612"/>
        <n v="45942"/>
        <n v="962082"/>
        <n v="289400"/>
        <n v="266365"/>
        <n v="98348"/>
        <n v="124075"/>
        <n v="29748"/>
        <n v="95480"/>
        <n v="55626"/>
        <n v="213256"/>
        <n v="40768"/>
        <n v="10816"/>
        <n v="75520"/>
        <n v="34884"/>
        <n v="114000"/>
        <n v="24790"/>
        <n v="42599"/>
        <n v="332648"/>
        <n v="51264"/>
        <n v="517704"/>
        <n v="268870"/>
        <n v="895932"/>
        <n v="185808"/>
        <n v="100542"/>
        <n v="1930"/>
        <n v="2592"/>
        <n v="899650"/>
        <n v="250797"/>
        <n v="115440"/>
        <n v="16992"/>
        <n v="308449"/>
        <n v="89102"/>
        <n v="437892"/>
        <n v="855140"/>
        <n v="89744"/>
        <n v="603820"/>
        <n v="747114"/>
        <n v="323059"/>
        <n v="754783"/>
        <n v="339200"/>
        <n v="33704"/>
        <n v="119900"/>
        <n v="53368"/>
        <n v="295089"/>
        <n v="659328"/>
        <n v="142940"/>
        <n v="805074"/>
        <n v="159844"/>
        <n v="148792"/>
        <n v="345990"/>
        <n v="829296"/>
        <n v="10614"/>
        <n v="298095"/>
        <n v="219240"/>
        <n v="28860"/>
        <n v="831369"/>
        <n v="388885"/>
        <n v="165205"/>
        <n v="613056"/>
        <n v="6420"/>
        <n v="1200657"/>
        <n v="40592"/>
        <n v="2850"/>
        <n v="1369425"/>
        <n v="177933"/>
        <n v="434970"/>
        <n v="145576"/>
        <n v="53225"/>
        <n v="879480"/>
        <n v="4632"/>
        <n v="125385"/>
        <n v="201214"/>
        <n v="477396"/>
        <n v="156465"/>
        <n v="85664"/>
        <n v="174117"/>
        <n v="202272"/>
        <n v="837501"/>
        <n v="91930"/>
        <n v="293131"/>
        <n v="64350"/>
        <n v="274560"/>
        <n v="128412"/>
        <n v="23184"/>
        <n v="212889"/>
        <n v="12814"/>
        <n v="48351"/>
        <n v="450840"/>
        <n v="507899"/>
        <n v="177704"/>
        <n v="689968"/>
        <n v="55560"/>
        <n v="959416"/>
        <n v="174240"/>
        <n v="437262"/>
        <n v="209025"/>
        <n v="66250"/>
        <n v="273424"/>
        <n v="237680"/>
        <n v="456927"/>
        <n v="372276"/>
        <n v="149472"/>
        <n v="496516"/>
        <n v="54758"/>
        <n v="38160"/>
        <n v="185232"/>
        <n v="117342"/>
        <n v="875320"/>
        <n v="8160"/>
        <n v="288600"/>
        <n v="12154"/>
        <n v="485970"/>
        <n v="20713"/>
        <n v="288906"/>
        <n v="334141"/>
        <n v="488372"/>
        <n v="5750"/>
        <n v="771741"/>
        <n v="151575"/>
        <n v="26432"/>
        <n v="412116"/>
        <n v="54560"/>
        <n v="58740"/>
        <n v="17226"/>
        <n v="122512"/>
        <n v="118332"/>
        <n v="112266"/>
        <n v="639408"/>
        <n v="236138"/>
        <n v="57624"/>
        <n v="17596"/>
        <n v="446796"/>
        <n v="518130"/>
        <n v="412482"/>
        <n v="347004"/>
        <n v="7400"/>
        <n v="65382"/>
        <n v="84641"/>
        <n v="184779"/>
        <n v="807898"/>
        <n v="289926"/>
        <n v="192125"/>
        <n v="323000"/>
        <n v="40508"/>
        <n v="18072"/>
        <n v="329680"/>
        <n v="11124"/>
        <n v="37275"/>
        <n v="298116"/>
        <n v="500395"/>
        <n v="214659"/>
        <n v="190377"/>
        <n v="1038624"/>
        <n v="3445"/>
        <n v="12474"/>
        <n v="61544"/>
        <n v="692048"/>
        <n v="388284"/>
        <n v="123420"/>
        <n v="48316"/>
        <n v="225806"/>
        <n v="56924"/>
        <n v="45360"/>
        <n v="257166"/>
        <n v="93250"/>
        <n v="1442"/>
        <n v="5453"/>
        <n v="659526"/>
        <n v="190820"/>
        <n v="827190"/>
        <n v="36180"/>
        <n v="52844"/>
        <n v="370250"/>
        <n v="896653"/>
        <n v="115420"/>
        <n v="189540"/>
        <n v="936306"/>
        <n v="230332"/>
        <n v="849276"/>
        <n v="362142"/>
        <n v="653564"/>
        <n v="83096"/>
        <n v="346615"/>
        <n v="47481"/>
        <n v="140343"/>
        <n v="127665"/>
        <n v="515185"/>
        <n v="208143"/>
        <n v="129492"/>
        <n v="4080"/>
        <n v="6579"/>
        <n v="89244"/>
        <n v="305222"/>
        <n v="434588"/>
        <n v="162000"/>
        <n v="7448"/>
        <n v="18480"/>
        <n v="107168"/>
        <n v="255840"/>
        <n v="181764"/>
        <n v="30704"/>
        <n v="6315"/>
        <n v="201912"/>
        <n v="567086"/>
        <n v="21810"/>
        <n v="334236"/>
        <n v="120776"/>
        <n v="116424"/>
        <n v="74655"/>
        <n v="204592"/>
        <n v="67239"/>
        <n v="608730"/>
        <n v="43552"/>
        <n v="81152"/>
        <n v="28167"/>
        <n v="71400"/>
        <n v="164456"/>
        <n v="55096"/>
        <n v="181350"/>
        <n v="328026"/>
        <n v="283764"/>
        <n v="123900"/>
        <n v="9760"/>
        <n v="92907"/>
        <n v="284087"/>
        <n v="12220"/>
        <n v="415530"/>
        <n v="18612"/>
        <n v="912835"/>
        <n v="370152"/>
        <n v="20898"/>
        <n v="17136"/>
        <n v="225120"/>
        <n v="8732"/>
        <n v="7765"/>
        <n v="308374"/>
        <n v="18702"/>
        <n v="14577"/>
        <n v="19092"/>
        <n v="63754"/>
        <n v="15480"/>
        <n v="448938"/>
        <n v="343940"/>
        <n v="135564"/>
        <n v="275188"/>
        <n v="991270"/>
        <n v="493988"/>
        <n v="1062912"/>
        <n v="56400"/>
        <n v="1023"/>
        <n v="78204"/>
        <n v="534068"/>
        <n v="95080"/>
        <n v="115344"/>
        <n v="21420"/>
        <n v="305730"/>
        <n v="648585"/>
        <n v="208532"/>
        <n v="299115"/>
        <n v="183000"/>
        <n v="93840"/>
        <n v="38595"/>
        <n v="273672"/>
        <n v="215138"/>
        <n v="241300"/>
        <n v="695360"/>
        <n v="38850"/>
        <n v="158205"/>
        <n v="95326"/>
        <n v="179088"/>
        <n v="12963"/>
        <n v="33930"/>
        <n v="64790"/>
        <n v="153201"/>
        <n v="751872"/>
        <n v="319657"/>
        <n v="705962"/>
        <n v="2864"/>
        <n v="136920"/>
        <n v="471396"/>
        <n v="24081"/>
        <n v="526645"/>
        <n v="206125"/>
        <n v="91968"/>
        <n v="425000"/>
        <n v="445723"/>
        <n v="220372"/>
        <n v="33672"/>
        <n v="192644"/>
        <n v="95922"/>
        <n v="66060"/>
        <n v="123006"/>
        <n v="43989"/>
        <n v="846532"/>
        <n v="975544"/>
        <n v="526500"/>
        <n v="997332"/>
        <n v="83695"/>
        <n v="18883"/>
        <n v="470196"/>
        <n v="92394"/>
        <n v="214405"/>
        <n v="958474"/>
        <n v="441048"/>
        <n v="61722"/>
        <n v="229558"/>
        <n v="130018"/>
        <n v="3348"/>
        <n v="397440"/>
        <n v="7809"/>
        <n v="203567"/>
        <n v="18681"/>
        <n v="16860"/>
        <n v="833094"/>
        <n v="574308"/>
        <n v="687016"/>
        <n v="117683"/>
        <n v="194628"/>
        <n v="141021"/>
        <n v="144352"/>
        <n v="404328"/>
        <n v="548311"/>
        <n v="28386"/>
        <n v="344720"/>
        <n v="97682"/>
        <n v="87256"/>
        <n v="360272"/>
        <n v="712530"/>
        <n v="412110"/>
        <n v="39480"/>
        <n v="401139"/>
        <n v="272544"/>
        <n v="905"/>
        <n v="437100"/>
        <n v="11610"/>
        <n v="777168"/>
        <n v="86072"/>
        <n v="493697"/>
        <n v="397386"/>
        <n v="234780"/>
        <n v="993705"/>
        <n v="15675"/>
        <n v="89559"/>
        <n v="22518"/>
        <n v="36624"/>
        <n v="806650"/>
      </sharedItems>
    </cacheField>
    <cacheField name="Stock_Flag" numFmtId="0">
      <sharedItems count="3">
        <s v="Overstock"/>
        <s v="Shortage Risk"/>
        <s v="OK"/>
      </sharedItems>
    </cacheField>
    <cacheField name="Months (Last_Sale_Date)" numFmtId="0" databaseField="0">
      <fieldGroup base="4">
        <rangePr groupBy="months" startDate="2025-12-05T00:00:00" endDate="2026-09-30T00:00:00"/>
        <groupItems count="14">
          <s v="&lt;12/5/2025"/>
          <s v="Jan"/>
          <s v="Feb"/>
          <s v="Mar"/>
          <s v="Apr"/>
          <s v="May"/>
          <s v="Jun"/>
          <s v="Jul"/>
          <s v="Aug"/>
          <s v="Sep"/>
          <s v="Oct"/>
          <s v="Nov"/>
          <s v="Dec"/>
          <s v="&gt;9/30/2026"/>
        </groupItems>
      </fieldGroup>
    </cacheField>
    <cacheField name="Quarters (Last_Sale_Date)" numFmtId="0" databaseField="0">
      <fieldGroup base="4">
        <rangePr groupBy="quarters" startDate="2025-12-05T00:00:00" endDate="2026-09-30T00:00:00"/>
        <groupItems count="6">
          <s v="&lt;12/5/2025"/>
          <s v="Qtr1"/>
          <s v="Qtr2"/>
          <s v="Qtr3"/>
          <s v="Qtr4"/>
          <s v="&gt;9/30/2026"/>
        </groupItems>
      </fieldGroup>
    </cacheField>
    <cacheField name="Years (Last_Sale_Date)" numFmtId="0" databaseField="0">
      <fieldGroup base="4">
        <rangePr groupBy="years" startDate="2025-12-05T00:00:00" endDate="2026-09-30T00:00:00"/>
        <groupItems count="4">
          <s v="&lt;12/5/2025"/>
          <s v="2025"/>
          <s v="2026"/>
          <s v="&gt;9/30/2026"/>
        </groupItems>
      </fieldGroup>
    </cacheField>
  </cacheFields>
  <extLst>
    <ext xmlns:x14="http://schemas.microsoft.com/office/spreadsheetml/2009/9/main" uri="{725AE2AE-9491-48be-B2B4-4EB974FC3084}">
      <x14:pivotCacheDefinition pivotCacheId="159466477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0">
  <r>
    <x v="0"/>
    <x v="0"/>
    <x v="0"/>
    <x v="0"/>
    <x v="0"/>
    <n v="204"/>
    <n v="48"/>
    <n v="156"/>
    <n v="2074"/>
    <x v="0"/>
    <n v="0.23529411764705882"/>
    <x v="0"/>
    <x v="0"/>
    <x v="0"/>
  </r>
  <r>
    <x v="1"/>
    <x v="1"/>
    <x v="0"/>
    <x v="0"/>
    <x v="1"/>
    <n v="341"/>
    <n v="329"/>
    <n v="12"/>
    <n v="2389"/>
    <x v="1"/>
    <n v="0.96480938416422291"/>
    <x v="1"/>
    <x v="1"/>
    <x v="1"/>
  </r>
  <r>
    <x v="2"/>
    <x v="2"/>
    <x v="1"/>
    <x v="1"/>
    <x v="2"/>
    <n v="70"/>
    <n v="55"/>
    <n v="15"/>
    <n v="1025"/>
    <x v="1"/>
    <n v="0.7857142857142857"/>
    <x v="1"/>
    <x v="2"/>
    <x v="1"/>
  </r>
  <r>
    <x v="3"/>
    <x v="3"/>
    <x v="2"/>
    <x v="2"/>
    <x v="3"/>
    <n v="486"/>
    <n v="394"/>
    <n v="92"/>
    <n v="1492"/>
    <x v="0"/>
    <n v="0.81069958847736623"/>
    <x v="1"/>
    <x v="3"/>
    <x v="2"/>
  </r>
  <r>
    <x v="4"/>
    <x v="4"/>
    <x v="1"/>
    <x v="1"/>
    <x v="4"/>
    <n v="206"/>
    <n v="52"/>
    <n v="154"/>
    <n v="504"/>
    <x v="0"/>
    <n v="0.25242718446601942"/>
    <x v="0"/>
    <x v="4"/>
    <x v="0"/>
  </r>
  <r>
    <x v="5"/>
    <x v="5"/>
    <x v="3"/>
    <x v="3"/>
    <x v="5"/>
    <n v="250"/>
    <n v="212"/>
    <n v="38"/>
    <n v="731"/>
    <x v="1"/>
    <n v="0.84799999999999998"/>
    <x v="1"/>
    <x v="5"/>
    <x v="1"/>
  </r>
  <r>
    <x v="6"/>
    <x v="6"/>
    <x v="2"/>
    <x v="2"/>
    <x v="6"/>
    <n v="66"/>
    <n v="16"/>
    <n v="50"/>
    <n v="479"/>
    <x v="1"/>
    <n v="0.24242424242424243"/>
    <x v="0"/>
    <x v="6"/>
    <x v="2"/>
  </r>
  <r>
    <x v="7"/>
    <x v="7"/>
    <x v="1"/>
    <x v="0"/>
    <x v="7"/>
    <n v="291"/>
    <n v="287"/>
    <m/>
    <n v="317"/>
    <x v="1"/>
    <n v="0.9862542955326461"/>
    <x v="1"/>
    <x v="7"/>
    <x v="1"/>
  </r>
  <r>
    <x v="8"/>
    <x v="8"/>
    <x v="4"/>
    <x v="0"/>
    <x v="8"/>
    <n v="280"/>
    <n v="256"/>
    <n v="24"/>
    <n v="2097"/>
    <x v="1"/>
    <n v="0.91428571428571426"/>
    <x v="1"/>
    <x v="8"/>
    <x v="1"/>
  </r>
  <r>
    <x v="9"/>
    <x v="9"/>
    <x v="2"/>
    <x v="0"/>
    <x v="9"/>
    <n v="410"/>
    <n v="316"/>
    <n v="94"/>
    <n v="1746"/>
    <x v="0"/>
    <n v="0.77073170731707319"/>
    <x v="1"/>
    <x v="9"/>
    <x v="2"/>
  </r>
  <r>
    <x v="10"/>
    <x v="10"/>
    <x v="4"/>
    <x v="1"/>
    <x v="10"/>
    <n v="235"/>
    <n v="56"/>
    <n v="179"/>
    <n v="1255"/>
    <x v="0"/>
    <n v="0.23829787234042554"/>
    <x v="0"/>
    <x v="10"/>
    <x v="0"/>
  </r>
  <r>
    <x v="11"/>
    <x v="11"/>
    <x v="4"/>
    <x v="2"/>
    <x v="11"/>
    <n v="411"/>
    <n v="0"/>
    <n v="411"/>
    <n v="1104"/>
    <x v="0"/>
    <n v="0"/>
    <x v="2"/>
    <x v="11"/>
    <x v="0"/>
  </r>
  <r>
    <x v="12"/>
    <x v="12"/>
    <x v="3"/>
    <x v="2"/>
    <x v="12"/>
    <n v="187"/>
    <n v="60"/>
    <n v="127"/>
    <n v="2167"/>
    <x v="0"/>
    <n v="0.32085561497326204"/>
    <x v="0"/>
    <x v="12"/>
    <x v="0"/>
  </r>
  <r>
    <x v="13"/>
    <x v="6"/>
    <x v="2"/>
    <x v="1"/>
    <x v="13"/>
    <n v="69"/>
    <n v="58"/>
    <n v="11"/>
    <n v="198"/>
    <x v="1"/>
    <n v="0.84057971014492749"/>
    <x v="1"/>
    <x v="13"/>
    <x v="1"/>
  </r>
  <r>
    <x v="14"/>
    <x v="13"/>
    <x v="1"/>
    <x v="0"/>
    <x v="11"/>
    <n v="375"/>
    <n v="0"/>
    <n v="375"/>
    <n v="697"/>
    <x v="0"/>
    <n v="0"/>
    <x v="2"/>
    <x v="14"/>
    <x v="0"/>
  </r>
  <r>
    <x v="15"/>
    <x v="14"/>
    <x v="1"/>
    <x v="3"/>
    <x v="11"/>
    <n v="348"/>
    <n v="0"/>
    <n v="348"/>
    <n v="146"/>
    <x v="0"/>
    <n v="0"/>
    <x v="2"/>
    <x v="15"/>
    <x v="0"/>
  </r>
  <r>
    <x v="16"/>
    <x v="15"/>
    <x v="4"/>
    <x v="2"/>
    <x v="11"/>
    <n v="450"/>
    <n v="0"/>
    <n v="450"/>
    <n v="1593"/>
    <x v="0"/>
    <n v="0"/>
    <x v="2"/>
    <x v="16"/>
    <x v="0"/>
  </r>
  <r>
    <x v="17"/>
    <x v="16"/>
    <x v="4"/>
    <x v="1"/>
    <x v="14"/>
    <m/>
    <n v="51"/>
    <n v="291"/>
    <n v="2879"/>
    <x v="0"/>
    <s v=""/>
    <x v="3"/>
    <x v="17"/>
    <x v="2"/>
  </r>
  <r>
    <x v="18"/>
    <x v="17"/>
    <x v="3"/>
    <x v="3"/>
    <x v="15"/>
    <n v="104"/>
    <n v="74"/>
    <n v="30"/>
    <n v="394"/>
    <x v="1"/>
    <n v="0.71153846153846156"/>
    <x v="1"/>
    <x v="18"/>
    <x v="1"/>
  </r>
  <r>
    <x v="19"/>
    <x v="3"/>
    <x v="2"/>
    <x v="0"/>
    <x v="16"/>
    <n v="180"/>
    <n v="38"/>
    <n v="142"/>
    <n v="2718"/>
    <x v="0"/>
    <n v="0.21111111111111111"/>
    <x v="0"/>
    <x v="19"/>
    <x v="0"/>
  </r>
  <r>
    <x v="20"/>
    <x v="18"/>
    <x v="2"/>
    <x v="0"/>
    <x v="11"/>
    <n v="461"/>
    <n v="0"/>
    <n v="461"/>
    <n v="2762"/>
    <x v="0"/>
    <n v="0"/>
    <x v="2"/>
    <x v="20"/>
    <x v="0"/>
  </r>
  <r>
    <x v="21"/>
    <x v="19"/>
    <x v="4"/>
    <x v="0"/>
    <x v="17"/>
    <n v="477"/>
    <n v="408"/>
    <n v="69"/>
    <n v="1823"/>
    <x v="0"/>
    <n v="0.85534591194968557"/>
    <x v="1"/>
    <x v="21"/>
    <x v="2"/>
  </r>
  <r>
    <x v="22"/>
    <x v="19"/>
    <x v="4"/>
    <x v="1"/>
    <x v="11"/>
    <n v="354"/>
    <n v="0"/>
    <n v="354"/>
    <n v="339"/>
    <x v="0"/>
    <n v="0"/>
    <x v="2"/>
    <x v="22"/>
    <x v="0"/>
  </r>
  <r>
    <x v="23"/>
    <x v="20"/>
    <x v="2"/>
    <x v="2"/>
    <x v="11"/>
    <n v="331"/>
    <n v="0"/>
    <n v="331"/>
    <n v="332"/>
    <x v="0"/>
    <n v="0"/>
    <x v="2"/>
    <x v="23"/>
    <x v="0"/>
  </r>
  <r>
    <x v="24"/>
    <x v="21"/>
    <x v="0"/>
    <x v="2"/>
    <x v="11"/>
    <n v="55"/>
    <n v="0"/>
    <n v="55"/>
    <n v="2983"/>
    <x v="1"/>
    <n v="0"/>
    <x v="2"/>
    <x v="24"/>
    <x v="2"/>
  </r>
  <r>
    <x v="25"/>
    <x v="20"/>
    <x v="2"/>
    <x v="0"/>
    <x v="7"/>
    <n v="222"/>
    <n v="56"/>
    <n v="166"/>
    <n v="1631"/>
    <x v="0"/>
    <n v="0.25225225225225223"/>
    <x v="0"/>
    <x v="25"/>
    <x v="0"/>
  </r>
  <r>
    <x v="26"/>
    <x v="22"/>
    <x v="1"/>
    <x v="1"/>
    <x v="18"/>
    <n v="103"/>
    <n v="15"/>
    <n v="88"/>
    <n v="2172"/>
    <x v="0"/>
    <n v="0.14563106796116504"/>
    <x v="0"/>
    <x v="26"/>
    <x v="0"/>
  </r>
  <r>
    <x v="27"/>
    <x v="23"/>
    <x v="1"/>
    <x v="3"/>
    <x v="19"/>
    <n v="132"/>
    <n v="41"/>
    <n v="91"/>
    <n v="2601"/>
    <x v="0"/>
    <n v="0.31060606060606061"/>
    <x v="0"/>
    <x v="27"/>
    <x v="0"/>
  </r>
  <r>
    <x v="28"/>
    <x v="24"/>
    <x v="4"/>
    <x v="0"/>
    <x v="11"/>
    <n v="361"/>
    <n v="0"/>
    <n v="361"/>
    <n v="2918"/>
    <x v="0"/>
    <n v="0"/>
    <x v="2"/>
    <x v="28"/>
    <x v="0"/>
  </r>
  <r>
    <x v="29"/>
    <x v="0"/>
    <x v="0"/>
    <x v="1"/>
    <x v="11"/>
    <n v="124"/>
    <n v="0"/>
    <n v="124"/>
    <n v="2917"/>
    <x v="0"/>
    <n v="0"/>
    <x v="2"/>
    <x v="29"/>
    <x v="0"/>
  </r>
  <r>
    <x v="30"/>
    <x v="25"/>
    <x v="0"/>
    <x v="3"/>
    <x v="20"/>
    <n v="99"/>
    <n v="91"/>
    <n v="8"/>
    <n v="244"/>
    <x v="1"/>
    <n v="0.91919191919191923"/>
    <x v="1"/>
    <x v="30"/>
    <x v="1"/>
  </r>
  <r>
    <x v="31"/>
    <x v="26"/>
    <x v="3"/>
    <x v="3"/>
    <x v="21"/>
    <n v="245"/>
    <n v="223"/>
    <n v="22"/>
    <n v="77"/>
    <x v="1"/>
    <n v="0.91020408163265309"/>
    <x v="1"/>
    <x v="31"/>
    <x v="1"/>
  </r>
  <r>
    <x v="32"/>
    <x v="8"/>
    <x v="4"/>
    <x v="2"/>
    <x v="22"/>
    <n v="162"/>
    <n v="18"/>
    <n v="144"/>
    <n v="1063"/>
    <x v="0"/>
    <n v="0.1111111111111111"/>
    <x v="0"/>
    <x v="32"/>
    <x v="0"/>
  </r>
  <r>
    <x v="33"/>
    <x v="27"/>
    <x v="0"/>
    <x v="2"/>
    <x v="11"/>
    <n v="320"/>
    <n v="5"/>
    <n v="320"/>
    <n v="2687"/>
    <x v="0"/>
    <n v="1.5625E-2"/>
    <x v="0"/>
    <x v="33"/>
    <x v="0"/>
  </r>
  <r>
    <x v="34"/>
    <x v="28"/>
    <x v="0"/>
    <x v="2"/>
    <x v="23"/>
    <n v="225"/>
    <n v="20"/>
    <n v="205"/>
    <n v="1712"/>
    <x v="0"/>
    <n v="8.8888888888888892E-2"/>
    <x v="0"/>
    <x v="34"/>
    <x v="0"/>
  </r>
  <r>
    <x v="35"/>
    <x v="3"/>
    <x v="2"/>
    <x v="0"/>
    <x v="24"/>
    <n v="156"/>
    <n v="112"/>
    <n v="44"/>
    <n v="927"/>
    <x v="2"/>
    <n v="0.71794871794871795"/>
    <x v="1"/>
    <x v="35"/>
    <x v="2"/>
  </r>
  <r>
    <x v="36"/>
    <x v="29"/>
    <x v="1"/>
    <x v="2"/>
    <x v="9"/>
    <n v="317"/>
    <n v="55"/>
    <n v="262"/>
    <n v="1918"/>
    <x v="0"/>
    <n v="0.17350157728706625"/>
    <x v="0"/>
    <x v="36"/>
    <x v="0"/>
  </r>
  <r>
    <x v="37"/>
    <x v="29"/>
    <x v="1"/>
    <x v="3"/>
    <x v="25"/>
    <n v="283"/>
    <n v="208"/>
    <n v="75"/>
    <n v="428"/>
    <x v="0"/>
    <n v="0.73498233215547704"/>
    <x v="1"/>
    <x v="37"/>
    <x v="2"/>
  </r>
  <r>
    <x v="38"/>
    <x v="7"/>
    <x v="1"/>
    <x v="0"/>
    <x v="11"/>
    <n v="127"/>
    <n v="0"/>
    <n v="127"/>
    <n v="1345"/>
    <x v="0"/>
    <n v="0"/>
    <x v="2"/>
    <x v="38"/>
    <x v="0"/>
  </r>
  <r>
    <x v="39"/>
    <x v="30"/>
    <x v="5"/>
    <x v="1"/>
    <x v="11"/>
    <n v="416"/>
    <n v="0"/>
    <n v="416"/>
    <n v="1147"/>
    <x v="0"/>
    <n v="0"/>
    <x v="2"/>
    <x v="39"/>
    <x v="0"/>
  </r>
  <r>
    <x v="40"/>
    <x v="30"/>
    <x v="2"/>
    <x v="0"/>
    <x v="26"/>
    <n v="407"/>
    <n v="141"/>
    <n v="266"/>
    <n v="1379"/>
    <x v="0"/>
    <n v="0.34643734643734642"/>
    <x v="0"/>
    <x v="40"/>
    <x v="0"/>
  </r>
  <r>
    <x v="41"/>
    <x v="7"/>
    <x v="1"/>
    <x v="3"/>
    <x v="4"/>
    <n v="116"/>
    <n v="17"/>
    <n v="99"/>
    <n v="2518"/>
    <x v="0"/>
    <n v="0.14655172413793102"/>
    <x v="0"/>
    <x v="41"/>
    <x v="0"/>
  </r>
  <r>
    <x v="42"/>
    <x v="31"/>
    <x v="1"/>
    <x v="3"/>
    <x v="27"/>
    <n v="345"/>
    <n v="68"/>
    <n v="277"/>
    <n v="1236"/>
    <x v="0"/>
    <n v="0.19710144927536233"/>
    <x v="0"/>
    <x v="42"/>
    <x v="0"/>
  </r>
  <r>
    <x v="43"/>
    <x v="12"/>
    <x v="3"/>
    <x v="1"/>
    <x v="28"/>
    <n v="132"/>
    <n v="45"/>
    <n v="87"/>
    <n v="59"/>
    <x v="0"/>
    <n v="0.34090909090909088"/>
    <x v="0"/>
    <x v="43"/>
    <x v="0"/>
  </r>
  <r>
    <x v="44"/>
    <x v="2"/>
    <x v="1"/>
    <x v="1"/>
    <x v="11"/>
    <n v="477"/>
    <n v="0"/>
    <n v="477"/>
    <n v="220"/>
    <x v="0"/>
    <n v="0"/>
    <x v="2"/>
    <x v="44"/>
    <x v="0"/>
  </r>
  <r>
    <x v="45"/>
    <x v="32"/>
    <x v="1"/>
    <x v="2"/>
    <x v="29"/>
    <n v="447"/>
    <n v="389"/>
    <n v="58"/>
    <n v="1934"/>
    <x v="1"/>
    <n v="0.87024608501118572"/>
    <x v="1"/>
    <x v="45"/>
    <x v="1"/>
  </r>
  <r>
    <x v="46"/>
    <x v="24"/>
    <x v="4"/>
    <x v="3"/>
    <x v="30"/>
    <n v="297"/>
    <n v="31"/>
    <n v="266"/>
    <n v="1442"/>
    <x v="0"/>
    <n v="0.10437710437710437"/>
    <x v="0"/>
    <x v="46"/>
    <x v="0"/>
  </r>
  <r>
    <x v="47"/>
    <x v="9"/>
    <x v="2"/>
    <x v="0"/>
    <x v="11"/>
    <n v="428"/>
    <n v="0"/>
    <n v="428"/>
    <n v="383"/>
    <x v="0"/>
    <n v="0"/>
    <x v="2"/>
    <x v="47"/>
    <x v="0"/>
  </r>
  <r>
    <x v="48"/>
    <x v="33"/>
    <x v="4"/>
    <x v="1"/>
    <x v="31"/>
    <n v="261"/>
    <n v="51"/>
    <n v="210"/>
    <n v="1693"/>
    <x v="0"/>
    <n v="0.19540229885057472"/>
    <x v="0"/>
    <x v="48"/>
    <x v="0"/>
  </r>
  <r>
    <x v="49"/>
    <x v="34"/>
    <x v="3"/>
    <x v="0"/>
    <x v="32"/>
    <n v="198"/>
    <n v="139"/>
    <n v="59"/>
    <n v="2317"/>
    <x v="1"/>
    <n v="0.70202020202020199"/>
    <x v="1"/>
    <x v="49"/>
    <x v="1"/>
  </r>
  <r>
    <x v="50"/>
    <x v="35"/>
    <x v="2"/>
    <x v="2"/>
    <x v="33"/>
    <n v="91"/>
    <n v="86"/>
    <n v="5"/>
    <n v="1473"/>
    <x v="1"/>
    <n v="0.94505494505494503"/>
    <x v="1"/>
    <x v="50"/>
    <x v="1"/>
  </r>
  <r>
    <x v="51"/>
    <x v="36"/>
    <x v="3"/>
    <x v="3"/>
    <x v="11"/>
    <n v="429"/>
    <n v="0"/>
    <n v="429"/>
    <n v="1095"/>
    <x v="0"/>
    <n v="0"/>
    <x v="2"/>
    <x v="51"/>
    <x v="0"/>
  </r>
  <r>
    <x v="52"/>
    <x v="0"/>
    <x v="0"/>
    <x v="3"/>
    <x v="34"/>
    <n v="385"/>
    <n v="28"/>
    <n v="357"/>
    <n v="1548"/>
    <x v="0"/>
    <n v="7.2727272727272724E-2"/>
    <x v="0"/>
    <x v="52"/>
    <x v="0"/>
  </r>
  <r>
    <x v="53"/>
    <x v="37"/>
    <x v="5"/>
    <x v="3"/>
    <x v="11"/>
    <n v="254"/>
    <n v="0"/>
    <n v="254"/>
    <n v="2769"/>
    <x v="0"/>
    <n v="0"/>
    <x v="2"/>
    <x v="53"/>
    <x v="0"/>
  </r>
  <r>
    <x v="54"/>
    <x v="38"/>
    <x v="4"/>
    <x v="0"/>
    <x v="35"/>
    <n v="477"/>
    <n v="410"/>
    <n v="67"/>
    <n v="2335"/>
    <x v="0"/>
    <n v="0.85953878406708595"/>
    <x v="1"/>
    <x v="54"/>
    <x v="2"/>
  </r>
  <r>
    <x v="55"/>
    <x v="39"/>
    <x v="2"/>
    <x v="2"/>
    <x v="11"/>
    <n v="219"/>
    <n v="0"/>
    <n v="219"/>
    <n v="785"/>
    <x v="0"/>
    <n v="0"/>
    <x v="2"/>
    <x v="55"/>
    <x v="0"/>
  </r>
  <r>
    <x v="56"/>
    <x v="1"/>
    <x v="0"/>
    <x v="3"/>
    <x v="36"/>
    <n v="90"/>
    <n v="74"/>
    <n v="16"/>
    <n v="2084"/>
    <x v="1"/>
    <n v="0.82222222222222219"/>
    <x v="1"/>
    <x v="56"/>
    <x v="1"/>
  </r>
  <r>
    <x v="57"/>
    <x v="30"/>
    <x v="2"/>
    <x v="0"/>
    <x v="37"/>
    <n v="280"/>
    <n v="214"/>
    <n v="66"/>
    <m/>
    <x v="0"/>
    <n v="0.76428571428571423"/>
    <x v="1"/>
    <x v="7"/>
    <x v="2"/>
  </r>
  <r>
    <x v="58"/>
    <x v="40"/>
    <x v="2"/>
    <x v="2"/>
    <x v="11"/>
    <n v="140"/>
    <n v="0"/>
    <n v="140"/>
    <n v="250"/>
    <x v="0"/>
    <n v="0"/>
    <x v="2"/>
    <x v="57"/>
    <x v="0"/>
  </r>
  <r>
    <x v="59"/>
    <x v="16"/>
    <x v="4"/>
    <x v="0"/>
    <x v="38"/>
    <n v="232"/>
    <n v="163"/>
    <n v="69"/>
    <n v="2898"/>
    <x v="0"/>
    <n v="0.70258620689655171"/>
    <x v="1"/>
    <x v="58"/>
    <x v="2"/>
  </r>
  <r>
    <x v="60"/>
    <x v="28"/>
    <x v="0"/>
    <x v="3"/>
    <x v="25"/>
    <n v="357"/>
    <n v="103"/>
    <n v="254"/>
    <n v="2598"/>
    <x v="0"/>
    <n v="0.28851540616246496"/>
    <x v="0"/>
    <x v="59"/>
    <x v="0"/>
  </r>
  <r>
    <x v="61"/>
    <x v="31"/>
    <x v="1"/>
    <x v="3"/>
    <x v="39"/>
    <n v="406"/>
    <n v="35"/>
    <n v="371"/>
    <n v="977"/>
    <x v="0"/>
    <n v="8.6206896551724144E-2"/>
    <x v="0"/>
    <x v="60"/>
    <x v="0"/>
  </r>
  <r>
    <x v="62"/>
    <x v="41"/>
    <x v="3"/>
    <x v="3"/>
    <x v="40"/>
    <n v="133"/>
    <n v="24"/>
    <n v="109"/>
    <n v="543"/>
    <x v="0"/>
    <n v="0.18045112781954886"/>
    <x v="0"/>
    <x v="61"/>
    <x v="0"/>
  </r>
  <r>
    <x v="63"/>
    <x v="8"/>
    <x v="4"/>
    <x v="1"/>
    <x v="41"/>
    <n v="191"/>
    <n v="24"/>
    <n v="167"/>
    <m/>
    <x v="0"/>
    <n v="0.1256544502617801"/>
    <x v="0"/>
    <x v="7"/>
    <x v="0"/>
  </r>
  <r>
    <x v="64"/>
    <x v="42"/>
    <x v="5"/>
    <x v="2"/>
    <x v="42"/>
    <n v="112"/>
    <n v="107"/>
    <n v="5"/>
    <n v="2642"/>
    <x v="1"/>
    <n v="0.9553571428571429"/>
    <x v="1"/>
    <x v="62"/>
    <x v="1"/>
  </r>
  <r>
    <x v="65"/>
    <x v="22"/>
    <x v="1"/>
    <x v="3"/>
    <x v="43"/>
    <n v="191"/>
    <n v="163"/>
    <n v="28"/>
    <n v="1079"/>
    <x v="1"/>
    <n v="0.8534031413612565"/>
    <x v="1"/>
    <x v="63"/>
    <x v="1"/>
  </r>
  <r>
    <x v="66"/>
    <x v="43"/>
    <x v="4"/>
    <x v="1"/>
    <x v="44"/>
    <n v="163"/>
    <n v="60"/>
    <n v="103"/>
    <n v="567"/>
    <x v="0"/>
    <n v="0.36809815950920244"/>
    <x v="0"/>
    <x v="64"/>
    <x v="0"/>
  </r>
  <r>
    <x v="67"/>
    <x v="0"/>
    <x v="0"/>
    <x v="3"/>
    <x v="11"/>
    <n v="402"/>
    <n v="0"/>
    <n v="402"/>
    <n v="539"/>
    <x v="0"/>
    <n v="0"/>
    <x v="2"/>
    <x v="65"/>
    <x v="0"/>
  </r>
  <r>
    <x v="68"/>
    <x v="44"/>
    <x v="0"/>
    <x v="0"/>
    <x v="11"/>
    <n v="195"/>
    <n v="0"/>
    <n v="195"/>
    <n v="85"/>
    <x v="0"/>
    <n v="0"/>
    <x v="2"/>
    <x v="66"/>
    <x v="0"/>
  </r>
  <r>
    <x v="69"/>
    <x v="18"/>
    <x v="2"/>
    <x v="3"/>
    <x v="11"/>
    <n v="370"/>
    <n v="0"/>
    <n v="370"/>
    <n v="940"/>
    <x v="0"/>
    <n v="0"/>
    <x v="2"/>
    <x v="67"/>
    <x v="0"/>
  </r>
  <r>
    <x v="70"/>
    <x v="40"/>
    <x v="2"/>
    <x v="1"/>
    <x v="19"/>
    <n v="354"/>
    <n v="92"/>
    <n v="262"/>
    <m/>
    <x v="0"/>
    <n v="0.25988700564971751"/>
    <x v="0"/>
    <x v="7"/>
    <x v="0"/>
  </r>
  <r>
    <x v="71"/>
    <x v="45"/>
    <x v="3"/>
    <x v="0"/>
    <x v="11"/>
    <n v="225"/>
    <n v="0"/>
    <n v="225"/>
    <n v="2114"/>
    <x v="0"/>
    <n v="0"/>
    <x v="2"/>
    <x v="68"/>
    <x v="0"/>
  </r>
  <r>
    <x v="72"/>
    <x v="14"/>
    <x v="1"/>
    <x v="3"/>
    <x v="45"/>
    <n v="148"/>
    <n v="57"/>
    <n v="91"/>
    <n v="69"/>
    <x v="0"/>
    <n v="0.38513513513513514"/>
    <x v="0"/>
    <x v="69"/>
    <x v="0"/>
  </r>
  <r>
    <x v="73"/>
    <x v="21"/>
    <x v="0"/>
    <x v="1"/>
    <x v="46"/>
    <m/>
    <n v="183"/>
    <n v="30"/>
    <n v="1887"/>
    <x v="1"/>
    <s v=""/>
    <x v="3"/>
    <x v="70"/>
    <x v="2"/>
  </r>
  <r>
    <x v="74"/>
    <x v="46"/>
    <x v="3"/>
    <x v="2"/>
    <x v="11"/>
    <n v="422"/>
    <n v="0"/>
    <n v="422"/>
    <n v="2097"/>
    <x v="0"/>
    <n v="0"/>
    <x v="2"/>
    <x v="71"/>
    <x v="0"/>
  </r>
  <r>
    <x v="75"/>
    <x v="47"/>
    <x v="0"/>
    <x v="1"/>
    <x v="47"/>
    <n v="183"/>
    <n v="129"/>
    <n v="54"/>
    <n v="813"/>
    <x v="1"/>
    <n v="0.70491803278688525"/>
    <x v="1"/>
    <x v="72"/>
    <x v="1"/>
  </r>
  <r>
    <x v="76"/>
    <x v="48"/>
    <x v="0"/>
    <x v="3"/>
    <x v="48"/>
    <n v="145"/>
    <n v="139"/>
    <n v="6"/>
    <n v="1724"/>
    <x v="1"/>
    <n v="0.95862068965517244"/>
    <x v="1"/>
    <x v="73"/>
    <x v="1"/>
  </r>
  <r>
    <x v="77"/>
    <x v="45"/>
    <x v="3"/>
    <x v="0"/>
    <x v="49"/>
    <n v="220"/>
    <n v="186"/>
    <n v="34"/>
    <n v="2528"/>
    <x v="1"/>
    <n v="0.84545454545454546"/>
    <x v="1"/>
    <x v="74"/>
    <x v="1"/>
  </r>
  <r>
    <x v="78"/>
    <x v="25"/>
    <x v="5"/>
    <x v="2"/>
    <x v="11"/>
    <m/>
    <n v="0"/>
    <n v="491"/>
    <n v="1676"/>
    <x v="0"/>
    <s v=""/>
    <x v="3"/>
    <x v="75"/>
    <x v="2"/>
  </r>
  <r>
    <x v="79"/>
    <x v="49"/>
    <x v="4"/>
    <x v="3"/>
    <x v="50"/>
    <n v="263"/>
    <n v="260"/>
    <n v="3"/>
    <n v="2102"/>
    <x v="1"/>
    <n v="0.98859315589353614"/>
    <x v="1"/>
    <x v="76"/>
    <x v="1"/>
  </r>
  <r>
    <x v="80"/>
    <x v="50"/>
    <x v="1"/>
    <x v="1"/>
    <x v="11"/>
    <n v="497"/>
    <n v="0"/>
    <n v="497"/>
    <n v="1289"/>
    <x v="0"/>
    <n v="0"/>
    <x v="2"/>
    <x v="77"/>
    <x v="0"/>
  </r>
  <r>
    <x v="81"/>
    <x v="51"/>
    <x v="4"/>
    <x v="1"/>
    <x v="51"/>
    <n v="436"/>
    <n v="356"/>
    <n v="80"/>
    <n v="253"/>
    <x v="0"/>
    <n v="0.8165137614678899"/>
    <x v="1"/>
    <x v="78"/>
    <x v="2"/>
  </r>
  <r>
    <x v="82"/>
    <x v="15"/>
    <x v="4"/>
    <x v="0"/>
    <x v="11"/>
    <n v="292"/>
    <n v="0"/>
    <n v="292"/>
    <n v="1122"/>
    <x v="0"/>
    <n v="0"/>
    <x v="2"/>
    <x v="79"/>
    <x v="0"/>
  </r>
  <r>
    <x v="83"/>
    <x v="3"/>
    <x v="2"/>
    <x v="1"/>
    <x v="25"/>
    <n v="96"/>
    <n v="68"/>
    <n v="28"/>
    <n v="695"/>
    <x v="1"/>
    <n v="0.70833333333333337"/>
    <x v="1"/>
    <x v="80"/>
    <x v="1"/>
  </r>
  <r>
    <x v="84"/>
    <x v="52"/>
    <x v="3"/>
    <x v="2"/>
    <x v="41"/>
    <n v="441"/>
    <n v="393"/>
    <n v="48"/>
    <n v="421"/>
    <x v="1"/>
    <n v="0.891156462585034"/>
    <x v="1"/>
    <x v="81"/>
    <x v="1"/>
  </r>
  <r>
    <x v="85"/>
    <x v="53"/>
    <x v="2"/>
    <x v="1"/>
    <x v="11"/>
    <n v="461"/>
    <n v="0"/>
    <n v="461"/>
    <n v="756"/>
    <x v="0"/>
    <n v="0"/>
    <x v="2"/>
    <x v="82"/>
    <x v="0"/>
  </r>
  <r>
    <x v="86"/>
    <x v="0"/>
    <x v="0"/>
    <x v="3"/>
    <x v="52"/>
    <n v="182"/>
    <n v="12"/>
    <n v="170"/>
    <n v="2663"/>
    <x v="0"/>
    <n v="6.5934065934065936E-2"/>
    <x v="0"/>
    <x v="83"/>
    <x v="0"/>
  </r>
  <r>
    <x v="87"/>
    <x v="45"/>
    <x v="3"/>
    <x v="3"/>
    <x v="11"/>
    <n v="51"/>
    <n v="0"/>
    <n v="51"/>
    <n v="2007"/>
    <x v="1"/>
    <n v="0"/>
    <x v="2"/>
    <x v="84"/>
    <x v="2"/>
  </r>
  <r>
    <x v="88"/>
    <x v="37"/>
    <x v="4"/>
    <x v="3"/>
    <x v="53"/>
    <n v="351"/>
    <n v="63"/>
    <n v="288"/>
    <n v="494"/>
    <x v="0"/>
    <n v="0.17948717948717949"/>
    <x v="0"/>
    <x v="85"/>
    <x v="0"/>
  </r>
  <r>
    <x v="89"/>
    <x v="26"/>
    <x v="3"/>
    <x v="1"/>
    <x v="11"/>
    <n v="250"/>
    <n v="0"/>
    <n v="250"/>
    <n v="1437"/>
    <x v="0"/>
    <n v="0"/>
    <x v="2"/>
    <x v="86"/>
    <x v="0"/>
  </r>
  <r>
    <x v="90"/>
    <x v="21"/>
    <x v="0"/>
    <x v="2"/>
    <x v="54"/>
    <n v="345"/>
    <n v="130"/>
    <n v="215"/>
    <n v="2502"/>
    <x v="0"/>
    <n v="0.37681159420289856"/>
    <x v="0"/>
    <x v="87"/>
    <x v="0"/>
  </r>
  <r>
    <x v="91"/>
    <x v="54"/>
    <x v="2"/>
    <x v="0"/>
    <x v="11"/>
    <n v="461"/>
    <n v="0"/>
    <n v="461"/>
    <n v="1157"/>
    <x v="0"/>
    <n v="0"/>
    <x v="2"/>
    <x v="88"/>
    <x v="0"/>
  </r>
  <r>
    <x v="92"/>
    <x v="36"/>
    <x v="3"/>
    <x v="1"/>
    <x v="11"/>
    <n v="103"/>
    <n v="0"/>
    <n v="103"/>
    <n v="669"/>
    <x v="0"/>
    <n v="0"/>
    <x v="2"/>
    <x v="89"/>
    <x v="0"/>
  </r>
  <r>
    <x v="93"/>
    <x v="5"/>
    <x v="3"/>
    <x v="2"/>
    <x v="55"/>
    <n v="379"/>
    <n v="30"/>
    <n v="349"/>
    <n v="643"/>
    <x v="0"/>
    <n v="7.9155672823219003E-2"/>
    <x v="0"/>
    <x v="90"/>
    <x v="0"/>
  </r>
  <r>
    <x v="94"/>
    <x v="19"/>
    <x v="4"/>
    <x v="0"/>
    <x v="56"/>
    <n v="119"/>
    <n v="9"/>
    <n v="110"/>
    <n v="2898"/>
    <x v="0"/>
    <n v="7.5630252100840331E-2"/>
    <x v="0"/>
    <x v="91"/>
    <x v="0"/>
  </r>
  <r>
    <x v="95"/>
    <x v="5"/>
    <x v="3"/>
    <x v="0"/>
    <x v="57"/>
    <n v="132"/>
    <n v="97"/>
    <n v="35"/>
    <n v="1051"/>
    <x v="1"/>
    <n v="0.73484848484848486"/>
    <x v="1"/>
    <x v="92"/>
    <x v="1"/>
  </r>
  <r>
    <x v="96"/>
    <x v="46"/>
    <x v="3"/>
    <x v="3"/>
    <x v="11"/>
    <n v="244"/>
    <n v="0"/>
    <n v="244"/>
    <n v="1013"/>
    <x v="0"/>
    <n v="0"/>
    <x v="2"/>
    <x v="93"/>
    <x v="0"/>
  </r>
  <r>
    <x v="97"/>
    <x v="25"/>
    <x v="0"/>
    <x v="2"/>
    <x v="11"/>
    <n v="104"/>
    <n v="0"/>
    <n v="104"/>
    <n v="872"/>
    <x v="0"/>
    <n v="0"/>
    <x v="2"/>
    <x v="94"/>
    <x v="0"/>
  </r>
  <r>
    <x v="98"/>
    <x v="9"/>
    <x v="2"/>
    <x v="0"/>
    <x v="11"/>
    <n v="338"/>
    <n v="0"/>
    <n v="338"/>
    <n v="1297"/>
    <x v="0"/>
    <n v="0"/>
    <x v="2"/>
    <x v="95"/>
    <x v="0"/>
  </r>
  <r>
    <x v="99"/>
    <x v="15"/>
    <x v="4"/>
    <x v="3"/>
    <x v="35"/>
    <n v="215"/>
    <n v="39"/>
    <n v="176"/>
    <n v="1194"/>
    <x v="0"/>
    <n v="0.18139534883720931"/>
    <x v="0"/>
    <x v="96"/>
    <x v="0"/>
  </r>
  <r>
    <x v="100"/>
    <x v="54"/>
    <x v="2"/>
    <x v="2"/>
    <x v="58"/>
    <n v="466"/>
    <n v="425"/>
    <n v="41"/>
    <n v="2740"/>
    <x v="1"/>
    <n v="0.91201716738197425"/>
    <x v="1"/>
    <x v="97"/>
    <x v="1"/>
  </r>
  <r>
    <x v="101"/>
    <x v="38"/>
    <x v="4"/>
    <x v="2"/>
    <x v="11"/>
    <n v="170"/>
    <n v="0"/>
    <n v="170"/>
    <n v="2023"/>
    <x v="0"/>
    <n v="0"/>
    <x v="2"/>
    <x v="98"/>
    <x v="0"/>
  </r>
  <r>
    <x v="102"/>
    <x v="13"/>
    <x v="1"/>
    <x v="1"/>
    <x v="59"/>
    <n v="109"/>
    <n v="86"/>
    <n v="23"/>
    <n v="1370"/>
    <x v="1"/>
    <n v="0.78899082568807344"/>
    <x v="1"/>
    <x v="99"/>
    <x v="1"/>
  </r>
  <r>
    <x v="103"/>
    <x v="33"/>
    <x v="4"/>
    <x v="2"/>
    <x v="11"/>
    <n v="60"/>
    <n v="0"/>
    <n v="60"/>
    <n v="2069"/>
    <x v="0"/>
    <n v="0"/>
    <x v="2"/>
    <x v="100"/>
    <x v="0"/>
  </r>
  <r>
    <x v="104"/>
    <x v="32"/>
    <x v="1"/>
    <x v="0"/>
    <x v="11"/>
    <n v="398"/>
    <n v="5"/>
    <n v="398"/>
    <n v="336"/>
    <x v="0"/>
    <n v="1.2562814070351759E-2"/>
    <x v="0"/>
    <x v="101"/>
    <x v="0"/>
  </r>
  <r>
    <x v="105"/>
    <x v="50"/>
    <x v="1"/>
    <x v="1"/>
    <x v="60"/>
    <n v="212"/>
    <n v="46"/>
    <n v="166"/>
    <n v="878"/>
    <x v="0"/>
    <n v="0.21698113207547171"/>
    <x v="0"/>
    <x v="102"/>
    <x v="0"/>
  </r>
  <r>
    <x v="106"/>
    <x v="25"/>
    <x v="0"/>
    <x v="0"/>
    <x v="61"/>
    <n v="428"/>
    <n v="36"/>
    <n v="392"/>
    <n v="2196"/>
    <x v="0"/>
    <n v="8.4112149532710276E-2"/>
    <x v="0"/>
    <x v="103"/>
    <x v="0"/>
  </r>
  <r>
    <x v="107"/>
    <x v="5"/>
    <x v="3"/>
    <x v="2"/>
    <x v="62"/>
    <m/>
    <n v="429"/>
    <n v="43"/>
    <n v="432"/>
    <x v="1"/>
    <s v=""/>
    <x v="3"/>
    <x v="104"/>
    <x v="2"/>
  </r>
  <r>
    <x v="108"/>
    <x v="55"/>
    <x v="1"/>
    <x v="2"/>
    <x v="63"/>
    <n v="139"/>
    <n v="43"/>
    <n v="96"/>
    <n v="2136"/>
    <x v="0"/>
    <n v="0.30935251798561153"/>
    <x v="0"/>
    <x v="105"/>
    <x v="0"/>
  </r>
  <r>
    <x v="109"/>
    <x v="47"/>
    <x v="0"/>
    <x v="2"/>
    <x v="64"/>
    <m/>
    <n v="22"/>
    <n v="121"/>
    <n v="2053"/>
    <x v="0"/>
    <s v=""/>
    <x v="3"/>
    <x v="106"/>
    <x v="2"/>
  </r>
  <r>
    <x v="110"/>
    <x v="56"/>
    <x v="1"/>
    <x v="1"/>
    <x v="65"/>
    <n v="276"/>
    <n v="105"/>
    <n v="171"/>
    <n v="2848"/>
    <x v="0"/>
    <n v="0.38043478260869568"/>
    <x v="0"/>
    <x v="107"/>
    <x v="0"/>
  </r>
  <r>
    <x v="111"/>
    <x v="57"/>
    <x v="4"/>
    <x v="2"/>
    <x v="66"/>
    <n v="145"/>
    <n v="20"/>
    <m/>
    <n v="1889"/>
    <x v="0"/>
    <n v="0.13793103448275862"/>
    <x v="0"/>
    <x v="7"/>
    <x v="0"/>
  </r>
  <r>
    <x v="112"/>
    <x v="58"/>
    <x v="1"/>
    <x v="0"/>
    <x v="5"/>
    <n v="287"/>
    <n v="272"/>
    <n v="15"/>
    <n v="2946"/>
    <x v="1"/>
    <n v="0.94773519163763065"/>
    <x v="1"/>
    <x v="108"/>
    <x v="1"/>
  </r>
  <r>
    <x v="113"/>
    <x v="31"/>
    <x v="1"/>
    <x v="3"/>
    <x v="67"/>
    <n v="456"/>
    <n v="111"/>
    <n v="345"/>
    <n v="1358"/>
    <x v="0"/>
    <n v="0.24342105263157895"/>
    <x v="0"/>
    <x v="109"/>
    <x v="0"/>
  </r>
  <r>
    <x v="114"/>
    <x v="54"/>
    <x v="2"/>
    <x v="1"/>
    <x v="11"/>
    <n v="95"/>
    <n v="0"/>
    <n v="95"/>
    <n v="138"/>
    <x v="0"/>
    <n v="0"/>
    <x v="2"/>
    <x v="110"/>
    <x v="0"/>
  </r>
  <r>
    <x v="115"/>
    <x v="13"/>
    <x v="1"/>
    <x v="3"/>
    <x v="11"/>
    <n v="499"/>
    <n v="0"/>
    <n v="499"/>
    <n v="495"/>
    <x v="0"/>
    <n v="0"/>
    <x v="2"/>
    <x v="111"/>
    <x v="0"/>
  </r>
  <r>
    <x v="116"/>
    <x v="36"/>
    <x v="3"/>
    <x v="3"/>
    <x v="47"/>
    <n v="401"/>
    <n v="145"/>
    <n v="256"/>
    <n v="1184"/>
    <x v="0"/>
    <n v="0.36159600997506236"/>
    <x v="0"/>
    <x v="112"/>
    <x v="0"/>
  </r>
  <r>
    <x v="117"/>
    <x v="10"/>
    <x v="5"/>
    <x v="1"/>
    <x v="68"/>
    <n v="129"/>
    <n v="30"/>
    <n v="99"/>
    <n v="1862"/>
    <x v="0"/>
    <n v="0.23255813953488372"/>
    <x v="0"/>
    <x v="113"/>
    <x v="0"/>
  </r>
  <r>
    <x v="118"/>
    <x v="2"/>
    <x v="1"/>
    <x v="0"/>
    <x v="69"/>
    <n v="234"/>
    <n v="13"/>
    <n v="221"/>
    <n v="2114"/>
    <x v="0"/>
    <n v="5.5555555555555552E-2"/>
    <x v="0"/>
    <x v="114"/>
    <x v="0"/>
  </r>
  <r>
    <x v="119"/>
    <x v="48"/>
    <x v="0"/>
    <x v="1"/>
    <x v="70"/>
    <n v="471"/>
    <n v="117"/>
    <n v="354"/>
    <n v="67"/>
    <x v="0"/>
    <n v="0.24840764331210191"/>
    <x v="0"/>
    <x v="115"/>
    <x v="0"/>
  </r>
  <r>
    <x v="120"/>
    <x v="37"/>
    <x v="4"/>
    <x v="1"/>
    <x v="11"/>
    <n v="497"/>
    <n v="0"/>
    <n v="497"/>
    <n v="1573"/>
    <x v="0"/>
    <n v="0"/>
    <x v="2"/>
    <x v="116"/>
    <x v="0"/>
  </r>
  <r>
    <x v="121"/>
    <x v="57"/>
    <x v="4"/>
    <x v="2"/>
    <x v="11"/>
    <n v="442"/>
    <n v="0"/>
    <n v="442"/>
    <n v="245"/>
    <x v="0"/>
    <n v="0"/>
    <x v="2"/>
    <x v="117"/>
    <x v="0"/>
  </r>
  <r>
    <x v="122"/>
    <x v="59"/>
    <x v="0"/>
    <x v="1"/>
    <x v="11"/>
    <n v="422"/>
    <n v="0"/>
    <n v="422"/>
    <n v="808"/>
    <x v="0"/>
    <n v="0"/>
    <x v="2"/>
    <x v="118"/>
    <x v="0"/>
  </r>
  <r>
    <x v="123"/>
    <x v="13"/>
    <x v="1"/>
    <x v="3"/>
    <x v="71"/>
    <n v="80"/>
    <n v="72"/>
    <n v="8"/>
    <n v="2445"/>
    <x v="1"/>
    <n v="0.9"/>
    <x v="1"/>
    <x v="119"/>
    <x v="1"/>
  </r>
  <r>
    <x v="124"/>
    <x v="29"/>
    <x v="1"/>
    <x v="3"/>
    <x v="11"/>
    <n v="352"/>
    <n v="0"/>
    <n v="352"/>
    <n v="1149"/>
    <x v="0"/>
    <n v="0"/>
    <x v="2"/>
    <x v="120"/>
    <x v="0"/>
  </r>
  <r>
    <x v="125"/>
    <x v="60"/>
    <x v="2"/>
    <x v="1"/>
    <x v="72"/>
    <n v="107"/>
    <n v="34"/>
    <n v="73"/>
    <n v="1814"/>
    <x v="0"/>
    <n v="0.31775700934579437"/>
    <x v="0"/>
    <x v="121"/>
    <x v="0"/>
  </r>
  <r>
    <x v="126"/>
    <x v="11"/>
    <x v="4"/>
    <x v="0"/>
    <x v="11"/>
    <n v="362"/>
    <n v="0"/>
    <n v="362"/>
    <n v="2416"/>
    <x v="0"/>
    <n v="0"/>
    <x v="2"/>
    <x v="122"/>
    <x v="0"/>
  </r>
  <r>
    <x v="127"/>
    <x v="2"/>
    <x v="1"/>
    <x v="2"/>
    <x v="73"/>
    <n v="92"/>
    <n v="71"/>
    <n v="21"/>
    <n v="2790"/>
    <x v="1"/>
    <n v="0.77173913043478259"/>
    <x v="1"/>
    <x v="123"/>
    <x v="1"/>
  </r>
  <r>
    <x v="128"/>
    <x v="57"/>
    <x v="4"/>
    <x v="2"/>
    <x v="38"/>
    <n v="73"/>
    <n v="53"/>
    <n v="20"/>
    <n v="1421"/>
    <x v="1"/>
    <n v="0.72602739726027399"/>
    <x v="1"/>
    <x v="124"/>
    <x v="1"/>
  </r>
  <r>
    <x v="129"/>
    <x v="6"/>
    <x v="2"/>
    <x v="0"/>
    <x v="74"/>
    <n v="447"/>
    <m/>
    <n v="121"/>
    <n v="2217"/>
    <x v="0"/>
    <s v=""/>
    <x v="3"/>
    <x v="125"/>
    <x v="2"/>
  </r>
  <r>
    <x v="130"/>
    <x v="22"/>
    <x v="1"/>
    <x v="0"/>
    <x v="11"/>
    <n v="213"/>
    <n v="0"/>
    <n v="213"/>
    <n v="1988"/>
    <x v="0"/>
    <n v="0"/>
    <x v="2"/>
    <x v="126"/>
    <x v="0"/>
  </r>
  <r>
    <x v="131"/>
    <x v="61"/>
    <x v="3"/>
    <x v="1"/>
    <x v="75"/>
    <n v="415"/>
    <m/>
    <n v="108"/>
    <n v="1948"/>
    <x v="0"/>
    <s v=""/>
    <x v="3"/>
    <x v="127"/>
    <x v="2"/>
  </r>
  <r>
    <x v="132"/>
    <x v="13"/>
    <x v="1"/>
    <x v="2"/>
    <x v="11"/>
    <n v="282"/>
    <n v="0"/>
    <n v="282"/>
    <n v="1187"/>
    <x v="2"/>
    <n v="0"/>
    <x v="2"/>
    <x v="128"/>
    <x v="2"/>
  </r>
  <r>
    <x v="133"/>
    <x v="25"/>
    <x v="0"/>
    <x v="2"/>
    <x v="11"/>
    <n v="356"/>
    <n v="0"/>
    <n v="356"/>
    <m/>
    <x v="0"/>
    <n v="0"/>
    <x v="2"/>
    <x v="7"/>
    <x v="0"/>
  </r>
  <r>
    <x v="134"/>
    <x v="57"/>
    <x v="4"/>
    <x v="3"/>
    <x v="11"/>
    <n v="151"/>
    <n v="0"/>
    <n v="151"/>
    <n v="2769"/>
    <x v="0"/>
    <n v="0"/>
    <x v="2"/>
    <x v="129"/>
    <x v="0"/>
  </r>
  <r>
    <x v="135"/>
    <x v="62"/>
    <x v="4"/>
    <x v="0"/>
    <x v="72"/>
    <n v="137"/>
    <n v="131"/>
    <n v="6"/>
    <n v="1650"/>
    <x v="1"/>
    <n v="0.95620437956204385"/>
    <x v="1"/>
    <x v="130"/>
    <x v="1"/>
  </r>
  <r>
    <x v="136"/>
    <x v="0"/>
    <x v="0"/>
    <x v="2"/>
    <x v="76"/>
    <n v="214"/>
    <n v="81"/>
    <n v="133"/>
    <n v="2933"/>
    <x v="0"/>
    <n v="0.37850467289719625"/>
    <x v="0"/>
    <x v="131"/>
    <x v="0"/>
  </r>
  <r>
    <x v="137"/>
    <x v="12"/>
    <x v="3"/>
    <x v="1"/>
    <x v="11"/>
    <m/>
    <n v="0"/>
    <n v="336"/>
    <n v="2820"/>
    <x v="0"/>
    <s v=""/>
    <x v="3"/>
    <x v="132"/>
    <x v="2"/>
  </r>
  <r>
    <x v="138"/>
    <x v="47"/>
    <x v="0"/>
    <x v="0"/>
    <x v="77"/>
    <n v="390"/>
    <n v="59"/>
    <n v="331"/>
    <n v="2595"/>
    <x v="0"/>
    <n v="0.15128205128205127"/>
    <x v="0"/>
    <x v="133"/>
    <x v="0"/>
  </r>
  <r>
    <x v="139"/>
    <x v="49"/>
    <x v="4"/>
    <x v="3"/>
    <x v="78"/>
    <n v="229"/>
    <n v="198"/>
    <n v="31"/>
    <n v="994"/>
    <x v="1"/>
    <n v="0.86462882096069871"/>
    <x v="1"/>
    <x v="134"/>
    <x v="1"/>
  </r>
  <r>
    <x v="140"/>
    <x v="55"/>
    <x v="1"/>
    <x v="1"/>
    <x v="42"/>
    <n v="437"/>
    <n v="35"/>
    <n v="402"/>
    <n v="2745"/>
    <x v="0"/>
    <n v="8.0091533180778038E-2"/>
    <x v="0"/>
    <x v="135"/>
    <x v="0"/>
  </r>
  <r>
    <x v="141"/>
    <x v="8"/>
    <x v="4"/>
    <x v="1"/>
    <x v="11"/>
    <n v="189"/>
    <n v="0"/>
    <n v="189"/>
    <n v="788"/>
    <x v="0"/>
    <n v="0"/>
    <x v="2"/>
    <x v="136"/>
    <x v="0"/>
  </r>
  <r>
    <x v="142"/>
    <x v="9"/>
    <x v="2"/>
    <x v="3"/>
    <x v="79"/>
    <n v="366"/>
    <n v="68"/>
    <n v="298"/>
    <n v="1325"/>
    <x v="0"/>
    <n v="0.18579234972677597"/>
    <x v="0"/>
    <x v="137"/>
    <x v="0"/>
  </r>
  <r>
    <x v="143"/>
    <x v="63"/>
    <x v="2"/>
    <x v="0"/>
    <x v="51"/>
    <n v="112"/>
    <n v="91"/>
    <n v="21"/>
    <n v="153"/>
    <x v="1"/>
    <n v="0.8125"/>
    <x v="1"/>
    <x v="138"/>
    <x v="1"/>
  </r>
  <r>
    <x v="144"/>
    <x v="61"/>
    <x v="3"/>
    <x v="3"/>
    <x v="80"/>
    <n v="339"/>
    <n v="320"/>
    <n v="19"/>
    <n v="226"/>
    <x v="1"/>
    <n v="0.94395280235988199"/>
    <x v="1"/>
    <x v="139"/>
    <x v="1"/>
  </r>
  <r>
    <x v="145"/>
    <x v="64"/>
    <x v="3"/>
    <x v="0"/>
    <x v="81"/>
    <n v="131"/>
    <n v="44"/>
    <n v="87"/>
    <n v="1758"/>
    <x v="0"/>
    <n v="0.33587786259541985"/>
    <x v="0"/>
    <x v="140"/>
    <x v="0"/>
  </r>
  <r>
    <x v="146"/>
    <x v="58"/>
    <x v="1"/>
    <x v="0"/>
    <x v="11"/>
    <n v="215"/>
    <n v="0"/>
    <n v="215"/>
    <n v="1051"/>
    <x v="0"/>
    <n v="0"/>
    <x v="2"/>
    <x v="141"/>
    <x v="0"/>
  </r>
  <r>
    <x v="147"/>
    <x v="44"/>
    <x v="0"/>
    <x v="2"/>
    <x v="11"/>
    <n v="122"/>
    <n v="0"/>
    <n v="122"/>
    <n v="1743"/>
    <x v="0"/>
    <n v="0"/>
    <x v="2"/>
    <x v="142"/>
    <x v="0"/>
  </r>
  <r>
    <x v="148"/>
    <x v="46"/>
    <x v="3"/>
    <x v="0"/>
    <x v="11"/>
    <n v="470"/>
    <n v="0"/>
    <n v="470"/>
    <n v="615"/>
    <x v="0"/>
    <n v="0"/>
    <x v="2"/>
    <x v="143"/>
    <x v="0"/>
  </r>
  <r>
    <x v="149"/>
    <x v="28"/>
    <x v="0"/>
    <x v="2"/>
    <x v="82"/>
    <n v="150"/>
    <n v="137"/>
    <n v="13"/>
    <n v="373"/>
    <x v="1"/>
    <n v="0.91333333333333333"/>
    <x v="1"/>
    <x v="144"/>
    <x v="1"/>
  </r>
  <r>
    <x v="150"/>
    <x v="52"/>
    <x v="3"/>
    <x v="0"/>
    <x v="11"/>
    <n v="290"/>
    <n v="0"/>
    <n v="290"/>
    <n v="2837"/>
    <x v="0"/>
    <n v="0"/>
    <x v="2"/>
    <x v="145"/>
    <x v="0"/>
  </r>
  <r>
    <x v="151"/>
    <x v="65"/>
    <x v="0"/>
    <x v="1"/>
    <x v="11"/>
    <n v="291"/>
    <n v="0"/>
    <n v="291"/>
    <n v="126"/>
    <x v="0"/>
    <n v="0"/>
    <x v="2"/>
    <x v="146"/>
    <x v="0"/>
  </r>
  <r>
    <x v="152"/>
    <x v="6"/>
    <x v="2"/>
    <x v="0"/>
    <x v="11"/>
    <n v="221"/>
    <n v="0"/>
    <n v="221"/>
    <n v="794"/>
    <x v="0"/>
    <n v="0"/>
    <x v="2"/>
    <x v="147"/>
    <x v="0"/>
  </r>
  <r>
    <x v="153"/>
    <x v="1"/>
    <x v="0"/>
    <x v="2"/>
    <x v="73"/>
    <n v="428"/>
    <n v="334"/>
    <n v="94"/>
    <n v="2986"/>
    <x v="0"/>
    <n v="0.78037383177570097"/>
    <x v="1"/>
    <x v="148"/>
    <x v="2"/>
  </r>
  <r>
    <x v="154"/>
    <x v="48"/>
    <x v="0"/>
    <x v="2"/>
    <x v="11"/>
    <n v="364"/>
    <n v="0"/>
    <n v="364"/>
    <n v="1375"/>
    <x v="0"/>
    <n v="0"/>
    <x v="2"/>
    <x v="149"/>
    <x v="0"/>
  </r>
  <r>
    <x v="155"/>
    <x v="49"/>
    <x v="4"/>
    <x v="0"/>
    <x v="54"/>
    <n v="281"/>
    <n v="100"/>
    <n v="181"/>
    <n v="345"/>
    <x v="2"/>
    <n v="0.35587188612099646"/>
    <x v="0"/>
    <x v="150"/>
    <x v="2"/>
  </r>
  <r>
    <x v="156"/>
    <x v="51"/>
    <x v="4"/>
    <x v="2"/>
    <x v="83"/>
    <n v="178"/>
    <n v="59"/>
    <n v="119"/>
    <n v="1862"/>
    <x v="0"/>
    <n v="0.33146067415730335"/>
    <x v="0"/>
    <x v="151"/>
    <x v="0"/>
  </r>
  <r>
    <x v="157"/>
    <x v="43"/>
    <x v="5"/>
    <x v="3"/>
    <x v="11"/>
    <n v="137"/>
    <n v="0"/>
    <n v="137"/>
    <n v="355"/>
    <x v="0"/>
    <n v="0"/>
    <x v="2"/>
    <x v="152"/>
    <x v="0"/>
  </r>
  <r>
    <x v="158"/>
    <x v="50"/>
    <x v="1"/>
    <x v="3"/>
    <x v="11"/>
    <n v="456"/>
    <n v="0"/>
    <n v="456"/>
    <n v="2501"/>
    <x v="0"/>
    <n v="0"/>
    <x v="2"/>
    <x v="153"/>
    <x v="0"/>
  </r>
  <r>
    <x v="159"/>
    <x v="62"/>
    <x v="4"/>
    <x v="1"/>
    <x v="11"/>
    <n v="364"/>
    <n v="0"/>
    <n v="364"/>
    <n v="2454"/>
    <x v="0"/>
    <n v="0"/>
    <x v="2"/>
    <x v="154"/>
    <x v="0"/>
  </r>
  <r>
    <x v="160"/>
    <x v="19"/>
    <x v="4"/>
    <x v="3"/>
    <x v="84"/>
    <n v="226"/>
    <n v="179"/>
    <n v="52"/>
    <n v="2618"/>
    <x v="1"/>
    <n v="0.79203539823008851"/>
    <x v="1"/>
    <x v="155"/>
    <x v="1"/>
  </r>
  <r>
    <x v="161"/>
    <x v="66"/>
    <x v="3"/>
    <x v="0"/>
    <x v="85"/>
    <n v="379"/>
    <n v="84"/>
    <n v="295"/>
    <n v="2186"/>
    <x v="2"/>
    <n v="0.22163588390501318"/>
    <x v="0"/>
    <x v="156"/>
    <x v="2"/>
  </r>
  <r>
    <x v="162"/>
    <x v="3"/>
    <x v="2"/>
    <x v="1"/>
    <x v="86"/>
    <n v="351"/>
    <n v="335"/>
    <n v="16"/>
    <n v="730"/>
    <x v="1"/>
    <n v="0.95441595441595439"/>
    <x v="1"/>
    <x v="157"/>
    <x v="1"/>
  </r>
  <r>
    <x v="163"/>
    <x v="31"/>
    <x v="1"/>
    <x v="1"/>
    <x v="87"/>
    <n v="293"/>
    <n v="47"/>
    <n v="246"/>
    <n v="1722"/>
    <x v="0"/>
    <n v="0.16040955631399317"/>
    <x v="0"/>
    <x v="158"/>
    <x v="0"/>
  </r>
  <r>
    <x v="164"/>
    <x v="13"/>
    <x v="1"/>
    <x v="0"/>
    <x v="88"/>
    <n v="155"/>
    <n v="29"/>
    <n v="126"/>
    <n v="984"/>
    <x v="2"/>
    <n v="0.18709677419354839"/>
    <x v="0"/>
    <x v="159"/>
    <x v="2"/>
  </r>
  <r>
    <x v="165"/>
    <x v="49"/>
    <x v="4"/>
    <x v="0"/>
    <x v="89"/>
    <n v="395"/>
    <n v="391"/>
    <n v="4"/>
    <n v="2396"/>
    <x v="1"/>
    <n v="0.98987341772151893"/>
    <x v="1"/>
    <x v="160"/>
    <x v="1"/>
  </r>
  <r>
    <x v="166"/>
    <x v="4"/>
    <x v="1"/>
    <x v="1"/>
    <x v="11"/>
    <n v="451"/>
    <n v="0"/>
    <n v="451"/>
    <n v="1488"/>
    <x v="0"/>
    <n v="0"/>
    <x v="2"/>
    <x v="161"/>
    <x v="0"/>
  </r>
  <r>
    <x v="167"/>
    <x v="62"/>
    <x v="4"/>
    <x v="2"/>
    <x v="90"/>
    <m/>
    <n v="29"/>
    <n v="379"/>
    <n v="1234"/>
    <x v="0"/>
    <s v=""/>
    <x v="3"/>
    <x v="162"/>
    <x v="2"/>
  </r>
  <r>
    <x v="168"/>
    <x v="11"/>
    <x v="4"/>
    <x v="3"/>
    <x v="91"/>
    <n v="481"/>
    <n v="53"/>
    <n v="428"/>
    <n v="2076"/>
    <x v="0"/>
    <n v="0.11018711018711019"/>
    <x v="0"/>
    <x v="163"/>
    <x v="0"/>
  </r>
  <r>
    <x v="169"/>
    <x v="7"/>
    <x v="1"/>
    <x v="1"/>
    <x v="92"/>
    <n v="130"/>
    <n v="49"/>
    <n v="81"/>
    <n v="1736"/>
    <x v="0"/>
    <n v="0.37692307692307692"/>
    <x v="0"/>
    <x v="164"/>
    <x v="0"/>
  </r>
  <r>
    <x v="170"/>
    <x v="43"/>
    <x v="4"/>
    <x v="3"/>
    <x v="11"/>
    <n v="205"/>
    <n v="0"/>
    <n v="205"/>
    <n v="2784"/>
    <x v="0"/>
    <n v="0"/>
    <x v="2"/>
    <x v="165"/>
    <x v="0"/>
  </r>
  <r>
    <x v="171"/>
    <x v="16"/>
    <x v="5"/>
    <x v="3"/>
    <x v="58"/>
    <n v="145"/>
    <n v="44"/>
    <n v="101"/>
    <n v="2608"/>
    <x v="0"/>
    <n v="0.30344827586206896"/>
    <x v="0"/>
    <x v="166"/>
    <x v="0"/>
  </r>
  <r>
    <x v="172"/>
    <x v="29"/>
    <x v="1"/>
    <x v="1"/>
    <x v="25"/>
    <n v="116"/>
    <n v="44"/>
    <n v="72"/>
    <n v="1547"/>
    <x v="0"/>
    <n v="0.37931034482758619"/>
    <x v="0"/>
    <x v="167"/>
    <x v="0"/>
  </r>
  <r>
    <x v="173"/>
    <x v="10"/>
    <x v="4"/>
    <x v="0"/>
    <x v="93"/>
    <n v="451"/>
    <n v="140"/>
    <n v="311"/>
    <n v="624"/>
    <x v="0"/>
    <n v="0.31042128603104213"/>
    <x v="0"/>
    <x v="168"/>
    <x v="0"/>
  </r>
  <r>
    <x v="174"/>
    <x v="55"/>
    <x v="1"/>
    <x v="3"/>
    <x v="94"/>
    <n v="373"/>
    <n v="45"/>
    <n v="328"/>
    <n v="177"/>
    <x v="0"/>
    <n v="0.12064343163538874"/>
    <x v="0"/>
    <x v="169"/>
    <x v="0"/>
  </r>
  <r>
    <x v="175"/>
    <x v="35"/>
    <x v="2"/>
    <x v="2"/>
    <x v="11"/>
    <n v="476"/>
    <n v="0"/>
    <n v="476"/>
    <n v="1810"/>
    <x v="0"/>
    <n v="0"/>
    <x v="2"/>
    <x v="170"/>
    <x v="0"/>
  </r>
  <r>
    <x v="176"/>
    <x v="18"/>
    <x v="2"/>
    <x v="1"/>
    <x v="11"/>
    <n v="337"/>
    <n v="0"/>
    <n v="337"/>
    <n v="2554"/>
    <x v="0"/>
    <n v="0"/>
    <x v="2"/>
    <x v="171"/>
    <x v="0"/>
  </r>
  <r>
    <x v="177"/>
    <x v="26"/>
    <x v="3"/>
    <x v="3"/>
    <x v="11"/>
    <n v="80"/>
    <n v="0"/>
    <n v="80"/>
    <n v="57"/>
    <x v="0"/>
    <n v="0"/>
    <x v="2"/>
    <x v="172"/>
    <x v="0"/>
  </r>
  <r>
    <x v="178"/>
    <x v="41"/>
    <x v="3"/>
    <x v="3"/>
    <x v="74"/>
    <n v="181"/>
    <n v="49"/>
    <n v="132"/>
    <n v="185"/>
    <x v="0"/>
    <n v="0.27071823204419887"/>
    <x v="0"/>
    <x v="173"/>
    <x v="0"/>
  </r>
  <r>
    <x v="179"/>
    <x v="38"/>
    <x v="4"/>
    <x v="1"/>
    <x v="11"/>
    <n v="163"/>
    <n v="0"/>
    <n v="163"/>
    <n v="1762"/>
    <x v="2"/>
    <n v="0"/>
    <x v="2"/>
    <x v="174"/>
    <x v="2"/>
  </r>
  <r>
    <x v="180"/>
    <x v="66"/>
    <x v="3"/>
    <x v="3"/>
    <x v="67"/>
    <n v="87"/>
    <n v="80"/>
    <n v="7"/>
    <n v="1375"/>
    <x v="1"/>
    <n v="0.91954022988505746"/>
    <x v="1"/>
    <x v="175"/>
    <x v="1"/>
  </r>
  <r>
    <x v="181"/>
    <x v="41"/>
    <x v="3"/>
    <x v="1"/>
    <x v="11"/>
    <n v="198"/>
    <n v="0"/>
    <m/>
    <n v="916"/>
    <x v="0"/>
    <n v="0"/>
    <x v="2"/>
    <x v="7"/>
    <x v="0"/>
  </r>
  <r>
    <x v="182"/>
    <x v="9"/>
    <x v="2"/>
    <x v="3"/>
    <x v="14"/>
    <n v="243"/>
    <n v="94"/>
    <n v="149"/>
    <n v="2929"/>
    <x v="0"/>
    <n v="0.38683127572016462"/>
    <x v="0"/>
    <x v="176"/>
    <x v="0"/>
  </r>
  <r>
    <x v="183"/>
    <x v="40"/>
    <x v="2"/>
    <x v="1"/>
    <x v="95"/>
    <n v="202"/>
    <n v="21"/>
    <n v="181"/>
    <n v="1500"/>
    <x v="0"/>
    <n v="0.10396039603960396"/>
    <x v="0"/>
    <x v="177"/>
    <x v="0"/>
  </r>
  <r>
    <x v="184"/>
    <x v="55"/>
    <x v="1"/>
    <x v="2"/>
    <x v="67"/>
    <n v="246"/>
    <n v="198"/>
    <n v="48"/>
    <n v="2947"/>
    <x v="1"/>
    <n v="0.80487804878048785"/>
    <x v="1"/>
    <x v="178"/>
    <x v="1"/>
  </r>
  <r>
    <x v="185"/>
    <x v="50"/>
    <x v="1"/>
    <x v="0"/>
    <x v="11"/>
    <n v="244"/>
    <n v="0"/>
    <n v="244"/>
    <n v="76"/>
    <x v="0"/>
    <n v="0"/>
    <x v="2"/>
    <x v="179"/>
    <x v="0"/>
  </r>
  <r>
    <x v="186"/>
    <x v="55"/>
    <x v="1"/>
    <x v="3"/>
    <x v="96"/>
    <n v="392"/>
    <n v="63"/>
    <n v="329"/>
    <n v="1927"/>
    <x v="0"/>
    <n v="0.16071428571428573"/>
    <x v="0"/>
    <x v="180"/>
    <x v="0"/>
  </r>
  <r>
    <x v="187"/>
    <x v="44"/>
    <x v="0"/>
    <x v="0"/>
    <x v="11"/>
    <n v="456"/>
    <n v="0"/>
    <n v="456"/>
    <n v="1503"/>
    <x v="0"/>
    <n v="0"/>
    <x v="2"/>
    <x v="181"/>
    <x v="0"/>
  </r>
  <r>
    <x v="188"/>
    <x v="50"/>
    <x v="1"/>
    <x v="2"/>
    <x v="11"/>
    <n v="129"/>
    <n v="0"/>
    <n v="129"/>
    <n v="1841"/>
    <x v="0"/>
    <n v="0"/>
    <x v="2"/>
    <x v="182"/>
    <x v="0"/>
  </r>
  <r>
    <x v="189"/>
    <x v="10"/>
    <x v="4"/>
    <x v="3"/>
    <x v="11"/>
    <n v="55"/>
    <n v="0"/>
    <n v="55"/>
    <n v="1663"/>
    <x v="1"/>
    <n v="0"/>
    <x v="2"/>
    <x v="183"/>
    <x v="2"/>
  </r>
  <r>
    <x v="190"/>
    <x v="60"/>
    <x v="2"/>
    <x v="0"/>
    <x v="97"/>
    <n v="335"/>
    <n v="125"/>
    <n v="210"/>
    <n v="1802"/>
    <x v="0"/>
    <n v="0.37313432835820898"/>
    <x v="0"/>
    <x v="184"/>
    <x v="0"/>
  </r>
  <r>
    <x v="191"/>
    <x v="37"/>
    <x v="4"/>
    <x v="1"/>
    <x v="98"/>
    <n v="67"/>
    <n v="12"/>
    <n v="55"/>
    <n v="2444"/>
    <x v="1"/>
    <n v="0.17910447761194029"/>
    <x v="0"/>
    <x v="185"/>
    <x v="2"/>
  </r>
  <r>
    <x v="192"/>
    <x v="13"/>
    <x v="1"/>
    <x v="1"/>
    <x v="11"/>
    <n v="354"/>
    <n v="0"/>
    <n v="354"/>
    <n v="1842"/>
    <x v="0"/>
    <n v="0"/>
    <x v="2"/>
    <x v="186"/>
    <x v="0"/>
  </r>
  <r>
    <x v="193"/>
    <x v="0"/>
    <x v="0"/>
    <x v="1"/>
    <x v="11"/>
    <n v="259"/>
    <n v="0"/>
    <n v="259"/>
    <m/>
    <x v="0"/>
    <n v="0"/>
    <x v="2"/>
    <x v="7"/>
    <x v="0"/>
  </r>
  <r>
    <x v="194"/>
    <x v="18"/>
    <x v="5"/>
    <x v="1"/>
    <x v="99"/>
    <n v="446"/>
    <n v="30"/>
    <n v="416"/>
    <n v="1348"/>
    <x v="0"/>
    <n v="6.726457399103139E-2"/>
    <x v="0"/>
    <x v="187"/>
    <x v="0"/>
  </r>
  <r>
    <x v="195"/>
    <x v="62"/>
    <x v="4"/>
    <x v="0"/>
    <x v="100"/>
    <n v="391"/>
    <n v="61"/>
    <n v="330"/>
    <n v="1044"/>
    <x v="0"/>
    <n v="0.15601023017902813"/>
    <x v="0"/>
    <x v="188"/>
    <x v="0"/>
  </r>
  <r>
    <x v="196"/>
    <x v="56"/>
    <x v="1"/>
    <x v="2"/>
    <x v="101"/>
    <n v="281"/>
    <n v="262"/>
    <n v="19"/>
    <n v="565"/>
    <x v="1"/>
    <n v="0.93238434163701067"/>
    <x v="1"/>
    <x v="189"/>
    <x v="1"/>
  </r>
  <r>
    <x v="197"/>
    <x v="39"/>
    <x v="2"/>
    <x v="0"/>
    <x v="102"/>
    <m/>
    <n v="97"/>
    <n v="342"/>
    <n v="634"/>
    <x v="0"/>
    <s v=""/>
    <x v="3"/>
    <x v="190"/>
    <x v="2"/>
  </r>
  <r>
    <x v="198"/>
    <x v="16"/>
    <x v="4"/>
    <x v="1"/>
    <x v="103"/>
    <n v="153"/>
    <n v="123"/>
    <n v="30"/>
    <n v="363"/>
    <x v="1"/>
    <n v="0.80392156862745101"/>
    <x v="1"/>
    <x v="191"/>
    <x v="1"/>
  </r>
  <r>
    <x v="199"/>
    <x v="2"/>
    <x v="1"/>
    <x v="2"/>
    <x v="104"/>
    <n v="67"/>
    <n v="18"/>
    <n v="49"/>
    <n v="1674"/>
    <x v="1"/>
    <n v="0.26865671641791045"/>
    <x v="0"/>
    <x v="192"/>
    <x v="2"/>
  </r>
  <r>
    <x v="200"/>
    <x v="67"/>
    <x v="1"/>
    <x v="1"/>
    <x v="105"/>
    <n v="210"/>
    <n v="26"/>
    <n v="184"/>
    <n v="1311"/>
    <x v="0"/>
    <n v="0.12380952380952381"/>
    <x v="0"/>
    <x v="193"/>
    <x v="0"/>
  </r>
  <r>
    <x v="201"/>
    <x v="59"/>
    <x v="0"/>
    <x v="0"/>
    <x v="11"/>
    <n v="311"/>
    <n v="0"/>
    <n v="311"/>
    <n v="897"/>
    <x v="0"/>
    <n v="0"/>
    <x v="2"/>
    <x v="194"/>
    <x v="0"/>
  </r>
  <r>
    <x v="202"/>
    <x v="47"/>
    <x v="0"/>
    <x v="3"/>
    <x v="106"/>
    <n v="226"/>
    <n v="174"/>
    <n v="52"/>
    <n v="2429"/>
    <x v="1"/>
    <n v="0.76991150442477874"/>
    <x v="1"/>
    <x v="195"/>
    <x v="1"/>
  </r>
  <r>
    <x v="203"/>
    <x v="42"/>
    <x v="0"/>
    <x v="2"/>
    <x v="20"/>
    <n v="312"/>
    <n v="70"/>
    <n v="242"/>
    <n v="2259"/>
    <x v="0"/>
    <n v="0.22435897435897437"/>
    <x v="0"/>
    <x v="196"/>
    <x v="0"/>
  </r>
  <r>
    <x v="204"/>
    <x v="68"/>
    <x v="0"/>
    <x v="1"/>
    <x v="35"/>
    <n v="411"/>
    <n v="162"/>
    <n v="249"/>
    <n v="1912"/>
    <x v="0"/>
    <n v="0.39416058394160586"/>
    <x v="0"/>
    <x v="197"/>
    <x v="0"/>
  </r>
  <r>
    <x v="205"/>
    <x v="46"/>
    <x v="3"/>
    <x v="2"/>
    <x v="49"/>
    <n v="433"/>
    <n v="311"/>
    <n v="122"/>
    <n v="733"/>
    <x v="0"/>
    <n v="0.71824480369515009"/>
    <x v="1"/>
    <x v="198"/>
    <x v="2"/>
  </r>
  <r>
    <x v="206"/>
    <x v="14"/>
    <x v="5"/>
    <x v="1"/>
    <x v="11"/>
    <n v="319"/>
    <n v="0"/>
    <n v="319"/>
    <n v="1292"/>
    <x v="0"/>
    <n v="0"/>
    <x v="2"/>
    <x v="199"/>
    <x v="0"/>
  </r>
  <r>
    <x v="207"/>
    <x v="34"/>
    <x v="3"/>
    <x v="3"/>
    <x v="29"/>
    <n v="325"/>
    <n v="93"/>
    <n v="232"/>
    <n v="1731"/>
    <x v="0"/>
    <n v="0.28615384615384615"/>
    <x v="0"/>
    <x v="200"/>
    <x v="0"/>
  </r>
  <r>
    <x v="208"/>
    <x v="10"/>
    <x v="4"/>
    <x v="2"/>
    <x v="107"/>
    <n v="483"/>
    <n v="74"/>
    <n v="409"/>
    <n v="1729"/>
    <x v="0"/>
    <n v="0.15320910973084886"/>
    <x v="0"/>
    <x v="201"/>
    <x v="0"/>
  </r>
  <r>
    <x v="209"/>
    <x v="42"/>
    <x v="0"/>
    <x v="3"/>
    <x v="108"/>
    <n v="246"/>
    <n v="228"/>
    <n v="18"/>
    <n v="2264"/>
    <x v="1"/>
    <n v="0.92682926829268297"/>
    <x v="1"/>
    <x v="202"/>
    <x v="1"/>
  </r>
  <r>
    <x v="210"/>
    <x v="31"/>
    <x v="1"/>
    <x v="0"/>
    <x v="11"/>
    <n v="311"/>
    <n v="0"/>
    <n v="311"/>
    <n v="879"/>
    <x v="0"/>
    <n v="0"/>
    <x v="2"/>
    <x v="203"/>
    <x v="0"/>
  </r>
  <r>
    <x v="211"/>
    <x v="3"/>
    <x v="2"/>
    <x v="3"/>
    <x v="13"/>
    <n v="465"/>
    <n v="146"/>
    <n v="319"/>
    <n v="2648"/>
    <x v="0"/>
    <n v="0.3139784946236559"/>
    <x v="0"/>
    <x v="204"/>
    <x v="0"/>
  </r>
  <r>
    <x v="212"/>
    <x v="61"/>
    <x v="3"/>
    <x v="3"/>
    <x v="109"/>
    <n v="59"/>
    <n v="52"/>
    <n v="7"/>
    <n v="515"/>
    <x v="1"/>
    <n v="0.88135593220338981"/>
    <x v="1"/>
    <x v="205"/>
    <x v="1"/>
  </r>
  <r>
    <x v="213"/>
    <x v="4"/>
    <x v="1"/>
    <x v="2"/>
    <x v="20"/>
    <n v="281"/>
    <n v="232"/>
    <n v="49"/>
    <n v="57"/>
    <x v="1"/>
    <n v="0.82562277580071175"/>
    <x v="1"/>
    <x v="206"/>
    <x v="1"/>
  </r>
  <r>
    <x v="214"/>
    <x v="38"/>
    <x v="4"/>
    <x v="3"/>
    <x v="11"/>
    <n v="264"/>
    <n v="0"/>
    <n v="264"/>
    <n v="133"/>
    <x v="0"/>
    <n v="0"/>
    <x v="2"/>
    <x v="207"/>
    <x v="0"/>
  </r>
  <r>
    <x v="215"/>
    <x v="1"/>
    <x v="0"/>
    <x v="1"/>
    <x v="110"/>
    <n v="455"/>
    <n v="423"/>
    <n v="32"/>
    <n v="862"/>
    <x v="1"/>
    <n v="0.9296703296703297"/>
    <x v="1"/>
    <x v="208"/>
    <x v="1"/>
  </r>
  <r>
    <x v="216"/>
    <x v="9"/>
    <x v="2"/>
    <x v="1"/>
    <x v="111"/>
    <n v="425"/>
    <n v="147"/>
    <n v="278"/>
    <n v="1993"/>
    <x v="0"/>
    <n v="0.34588235294117647"/>
    <x v="0"/>
    <x v="209"/>
    <x v="0"/>
  </r>
  <r>
    <x v="217"/>
    <x v="59"/>
    <x v="0"/>
    <x v="2"/>
    <x v="112"/>
    <n v="110"/>
    <n v="96"/>
    <n v="14"/>
    <n v="1295"/>
    <x v="1"/>
    <n v="0.87272727272727268"/>
    <x v="1"/>
    <x v="210"/>
    <x v="1"/>
  </r>
  <r>
    <x v="218"/>
    <x v="33"/>
    <x v="4"/>
    <x v="0"/>
    <x v="113"/>
    <n v="384"/>
    <n v="317"/>
    <n v="67"/>
    <n v="2549"/>
    <x v="0"/>
    <n v="0.82552083333333337"/>
    <x v="1"/>
    <x v="211"/>
    <x v="2"/>
  </r>
  <r>
    <x v="219"/>
    <x v="68"/>
    <x v="0"/>
    <x v="0"/>
    <x v="11"/>
    <n v="81"/>
    <n v="0"/>
    <n v="81"/>
    <n v="430"/>
    <x v="0"/>
    <n v="0"/>
    <x v="2"/>
    <x v="212"/>
    <x v="0"/>
  </r>
  <r>
    <x v="220"/>
    <x v="58"/>
    <x v="1"/>
    <x v="0"/>
    <x v="11"/>
    <n v="492"/>
    <n v="0"/>
    <n v="492"/>
    <n v="2834"/>
    <x v="0"/>
    <n v="0"/>
    <x v="2"/>
    <x v="213"/>
    <x v="0"/>
  </r>
  <r>
    <x v="221"/>
    <x v="25"/>
    <x v="0"/>
    <x v="1"/>
    <x v="114"/>
    <n v="355"/>
    <n v="68"/>
    <n v="287"/>
    <n v="1697"/>
    <x v="0"/>
    <n v="0.19154929577464788"/>
    <x v="0"/>
    <x v="214"/>
    <x v="0"/>
  </r>
  <r>
    <x v="222"/>
    <x v="22"/>
    <x v="1"/>
    <x v="1"/>
    <x v="11"/>
    <n v="120"/>
    <n v="0"/>
    <n v="120"/>
    <n v="1313"/>
    <x v="0"/>
    <n v="0"/>
    <x v="2"/>
    <x v="215"/>
    <x v="0"/>
  </r>
  <r>
    <x v="223"/>
    <x v="48"/>
    <x v="0"/>
    <x v="2"/>
    <x v="115"/>
    <n v="397"/>
    <n v="287"/>
    <n v="110"/>
    <n v="638"/>
    <x v="0"/>
    <n v="0.7229219143576826"/>
    <x v="1"/>
    <x v="216"/>
    <x v="2"/>
  </r>
  <r>
    <x v="224"/>
    <x v="69"/>
    <x v="3"/>
    <x v="3"/>
    <x v="116"/>
    <n v="401"/>
    <n v="106"/>
    <n v="295"/>
    <n v="1945"/>
    <x v="0"/>
    <n v="0.26433915211970077"/>
    <x v="0"/>
    <x v="217"/>
    <x v="0"/>
  </r>
  <r>
    <x v="225"/>
    <x v="7"/>
    <x v="1"/>
    <x v="0"/>
    <x v="56"/>
    <n v="362"/>
    <n v="60"/>
    <n v="302"/>
    <n v="323"/>
    <x v="0"/>
    <n v="0.16574585635359115"/>
    <x v="0"/>
    <x v="218"/>
    <x v="0"/>
  </r>
  <r>
    <x v="226"/>
    <x v="49"/>
    <x v="4"/>
    <x v="3"/>
    <x v="11"/>
    <n v="98"/>
    <n v="0"/>
    <n v="98"/>
    <n v="846"/>
    <x v="0"/>
    <n v="0"/>
    <x v="2"/>
    <x v="219"/>
    <x v="0"/>
  </r>
  <r>
    <x v="227"/>
    <x v="26"/>
    <x v="3"/>
    <x v="3"/>
    <x v="109"/>
    <n v="324"/>
    <n v="48"/>
    <n v="276"/>
    <n v="2072"/>
    <x v="0"/>
    <n v="0.14814814814814814"/>
    <x v="0"/>
    <x v="220"/>
    <x v="0"/>
  </r>
  <r>
    <x v="228"/>
    <x v="70"/>
    <x v="5"/>
    <x v="2"/>
    <x v="117"/>
    <n v="473"/>
    <n v="468"/>
    <n v="5"/>
    <n v="663"/>
    <x v="1"/>
    <n v="0.98942917547568709"/>
    <x v="1"/>
    <x v="221"/>
    <x v="1"/>
  </r>
  <r>
    <x v="229"/>
    <x v="25"/>
    <x v="0"/>
    <x v="1"/>
    <x v="118"/>
    <n v="380"/>
    <n v="148"/>
    <n v="232"/>
    <n v="2605"/>
    <x v="2"/>
    <n v="0.38947368421052631"/>
    <x v="0"/>
    <x v="222"/>
    <x v="2"/>
  </r>
  <r>
    <x v="230"/>
    <x v="21"/>
    <x v="0"/>
    <x v="2"/>
    <x v="11"/>
    <n v="361"/>
    <n v="0"/>
    <n v="361"/>
    <n v="2393"/>
    <x v="0"/>
    <n v="0"/>
    <x v="2"/>
    <x v="223"/>
    <x v="0"/>
  </r>
  <r>
    <x v="231"/>
    <x v="47"/>
    <x v="0"/>
    <x v="0"/>
    <x v="11"/>
    <n v="328"/>
    <n v="0"/>
    <n v="328"/>
    <n v="2809"/>
    <x v="0"/>
    <n v="0"/>
    <x v="2"/>
    <x v="224"/>
    <x v="0"/>
  </r>
  <r>
    <x v="232"/>
    <x v="22"/>
    <x v="1"/>
    <x v="2"/>
    <x v="119"/>
    <n v="105"/>
    <n v="104"/>
    <n v="1"/>
    <n v="394"/>
    <x v="1"/>
    <n v="0.99047619047619051"/>
    <x v="1"/>
    <x v="225"/>
    <x v="1"/>
  </r>
  <r>
    <x v="233"/>
    <x v="49"/>
    <x v="4"/>
    <x v="0"/>
    <x v="11"/>
    <n v="452"/>
    <n v="0"/>
    <n v="452"/>
    <n v="779"/>
    <x v="0"/>
    <n v="0"/>
    <x v="2"/>
    <x v="226"/>
    <x v="0"/>
  </r>
  <r>
    <x v="234"/>
    <x v="71"/>
    <x v="0"/>
    <x v="3"/>
    <x v="36"/>
    <m/>
    <n v="88"/>
    <n v="296"/>
    <n v="655"/>
    <x v="0"/>
    <s v=""/>
    <x v="3"/>
    <x v="227"/>
    <x v="2"/>
  </r>
  <r>
    <x v="235"/>
    <x v="38"/>
    <x v="4"/>
    <x v="3"/>
    <x v="77"/>
    <n v="175"/>
    <n v="67"/>
    <n v="108"/>
    <n v="1731"/>
    <x v="0"/>
    <n v="0.38285714285714284"/>
    <x v="0"/>
    <x v="228"/>
    <x v="0"/>
  </r>
  <r>
    <x v="236"/>
    <x v="72"/>
    <x v="3"/>
    <x v="2"/>
    <x v="11"/>
    <n v="446"/>
    <n v="0"/>
    <n v="446"/>
    <n v="920"/>
    <x v="2"/>
    <n v="0"/>
    <x v="2"/>
    <x v="229"/>
    <x v="2"/>
  </r>
  <r>
    <x v="237"/>
    <x v="68"/>
    <x v="0"/>
    <x v="3"/>
    <x v="39"/>
    <n v="423"/>
    <n v="144"/>
    <n v="279"/>
    <n v="2205"/>
    <x v="0"/>
    <n v="0.34042553191489361"/>
    <x v="0"/>
    <x v="230"/>
    <x v="0"/>
  </r>
  <r>
    <x v="238"/>
    <x v="48"/>
    <x v="0"/>
    <x v="0"/>
    <x v="120"/>
    <n v="301"/>
    <n v="114"/>
    <n v="187"/>
    <n v="887"/>
    <x v="0"/>
    <n v="0.37873754152823919"/>
    <x v="0"/>
    <x v="231"/>
    <x v="0"/>
  </r>
  <r>
    <x v="239"/>
    <x v="10"/>
    <x v="4"/>
    <x v="3"/>
    <x v="11"/>
    <m/>
    <n v="0"/>
    <n v="157"/>
    <n v="1094"/>
    <x v="0"/>
    <s v=""/>
    <x v="3"/>
    <x v="232"/>
    <x v="2"/>
  </r>
  <r>
    <x v="240"/>
    <x v="32"/>
    <x v="1"/>
    <x v="0"/>
    <x v="121"/>
    <n v="175"/>
    <n v="127"/>
    <n v="48"/>
    <n v="1007"/>
    <x v="1"/>
    <n v="0.72571428571428576"/>
    <x v="1"/>
    <x v="233"/>
    <x v="1"/>
  </r>
  <r>
    <x v="241"/>
    <x v="29"/>
    <x v="1"/>
    <x v="1"/>
    <x v="93"/>
    <n v="129"/>
    <n v="122"/>
    <n v="7"/>
    <n v="877"/>
    <x v="1"/>
    <n v="0.94573643410852715"/>
    <x v="1"/>
    <x v="234"/>
    <x v="1"/>
  </r>
  <r>
    <x v="242"/>
    <x v="55"/>
    <x v="1"/>
    <x v="2"/>
    <x v="41"/>
    <n v="97"/>
    <n v="81"/>
    <n v="16"/>
    <n v="1975"/>
    <x v="1"/>
    <n v="0.83505154639175261"/>
    <x v="1"/>
    <x v="235"/>
    <x v="1"/>
  </r>
  <r>
    <x v="243"/>
    <x v="49"/>
    <x v="4"/>
    <x v="1"/>
    <x v="122"/>
    <n v="395"/>
    <n v="95"/>
    <n v="300"/>
    <n v="2158"/>
    <x v="0"/>
    <n v="0.24050632911392406"/>
    <x v="0"/>
    <x v="236"/>
    <x v="0"/>
  </r>
  <r>
    <x v="244"/>
    <x v="49"/>
    <x v="4"/>
    <x v="0"/>
    <x v="11"/>
    <n v="190"/>
    <n v="0"/>
    <n v="190"/>
    <n v="1081"/>
    <x v="0"/>
    <n v="0"/>
    <x v="2"/>
    <x v="237"/>
    <x v="0"/>
  </r>
  <r>
    <x v="245"/>
    <x v="11"/>
    <x v="4"/>
    <x v="1"/>
    <x v="123"/>
    <n v="283"/>
    <n v="75"/>
    <n v="208"/>
    <n v="122"/>
    <x v="0"/>
    <n v="0.26501766784452296"/>
    <x v="0"/>
    <x v="238"/>
    <x v="0"/>
  </r>
  <r>
    <x v="246"/>
    <x v="10"/>
    <x v="4"/>
    <x v="2"/>
    <x v="11"/>
    <n v="257"/>
    <n v="0"/>
    <n v="257"/>
    <m/>
    <x v="0"/>
    <n v="0"/>
    <x v="2"/>
    <x v="7"/>
    <x v="0"/>
  </r>
  <r>
    <x v="247"/>
    <x v="56"/>
    <x v="1"/>
    <x v="2"/>
    <x v="11"/>
    <n v="398"/>
    <n v="0"/>
    <n v="398"/>
    <n v="2002"/>
    <x v="0"/>
    <n v="0"/>
    <x v="2"/>
    <x v="239"/>
    <x v="0"/>
  </r>
  <r>
    <x v="248"/>
    <x v="34"/>
    <x v="3"/>
    <x v="0"/>
    <x v="11"/>
    <n v="194"/>
    <n v="0"/>
    <n v="194"/>
    <n v="1164"/>
    <x v="0"/>
    <n v="0"/>
    <x v="2"/>
    <x v="240"/>
    <x v="0"/>
  </r>
  <r>
    <x v="249"/>
    <x v="7"/>
    <x v="1"/>
    <x v="3"/>
    <x v="11"/>
    <n v="449"/>
    <n v="0"/>
    <n v="449"/>
    <n v="2278"/>
    <x v="0"/>
    <n v="0"/>
    <x v="2"/>
    <x v="241"/>
    <x v="0"/>
  </r>
  <r>
    <x v="250"/>
    <x v="33"/>
    <x v="4"/>
    <x v="0"/>
    <x v="106"/>
    <n v="228"/>
    <n v="32"/>
    <n v="196"/>
    <n v="848"/>
    <x v="0"/>
    <n v="0.14035087719298245"/>
    <x v="0"/>
    <x v="242"/>
    <x v="0"/>
  </r>
  <r>
    <x v="251"/>
    <x v="73"/>
    <x v="2"/>
    <x v="0"/>
    <x v="17"/>
    <n v="107"/>
    <m/>
    <n v="8"/>
    <n v="951"/>
    <x v="1"/>
    <s v=""/>
    <x v="3"/>
    <x v="243"/>
    <x v="2"/>
  </r>
  <r>
    <x v="252"/>
    <x v="60"/>
    <x v="2"/>
    <x v="1"/>
    <x v="8"/>
    <n v="214"/>
    <n v="183"/>
    <n v="31"/>
    <n v="2508"/>
    <x v="1"/>
    <n v="0.85514018691588789"/>
    <x v="1"/>
    <x v="244"/>
    <x v="1"/>
  </r>
  <r>
    <x v="253"/>
    <x v="27"/>
    <x v="0"/>
    <x v="0"/>
    <x v="99"/>
    <m/>
    <n v="107"/>
    <n v="34"/>
    <n v="2974"/>
    <x v="1"/>
    <s v=""/>
    <x v="3"/>
    <x v="245"/>
    <x v="2"/>
  </r>
  <r>
    <x v="254"/>
    <x v="49"/>
    <x v="4"/>
    <x v="3"/>
    <x v="11"/>
    <n v="480"/>
    <n v="0"/>
    <n v="480"/>
    <n v="256"/>
    <x v="0"/>
    <n v="0"/>
    <x v="2"/>
    <x v="246"/>
    <x v="0"/>
  </r>
  <r>
    <x v="255"/>
    <x v="12"/>
    <x v="3"/>
    <x v="1"/>
    <x v="11"/>
    <n v="298"/>
    <n v="0"/>
    <n v="298"/>
    <n v="432"/>
    <x v="0"/>
    <n v="0"/>
    <x v="2"/>
    <x v="247"/>
    <x v="0"/>
  </r>
  <r>
    <x v="256"/>
    <x v="8"/>
    <x v="4"/>
    <x v="0"/>
    <x v="124"/>
    <n v="480"/>
    <n v="425"/>
    <n v="55"/>
    <n v="830"/>
    <x v="1"/>
    <n v="0.88541666666666663"/>
    <x v="1"/>
    <x v="248"/>
    <x v="1"/>
  </r>
  <r>
    <x v="257"/>
    <x v="17"/>
    <x v="3"/>
    <x v="3"/>
    <x v="2"/>
    <n v="105"/>
    <n v="7"/>
    <n v="98"/>
    <n v="2820"/>
    <x v="0"/>
    <n v="6.6666666666666666E-2"/>
    <x v="0"/>
    <x v="249"/>
    <x v="0"/>
  </r>
  <r>
    <x v="258"/>
    <x v="14"/>
    <x v="1"/>
    <x v="3"/>
    <x v="125"/>
    <n v="259"/>
    <n v="228"/>
    <n v="31"/>
    <n v="388"/>
    <x v="1"/>
    <n v="0.88030888030888033"/>
    <x v="1"/>
    <x v="250"/>
    <x v="1"/>
  </r>
  <r>
    <x v="259"/>
    <x v="11"/>
    <x v="4"/>
    <x v="0"/>
    <x v="126"/>
    <n v="448"/>
    <n v="109"/>
    <n v="339"/>
    <n v="460"/>
    <x v="0"/>
    <n v="0.24330357142857142"/>
    <x v="0"/>
    <x v="251"/>
    <x v="0"/>
  </r>
  <r>
    <x v="260"/>
    <x v="3"/>
    <x v="2"/>
    <x v="3"/>
    <x v="97"/>
    <n v="403"/>
    <n v="137"/>
    <n v="266"/>
    <n v="2183"/>
    <x v="0"/>
    <n v="0.33995037220843671"/>
    <x v="0"/>
    <x v="252"/>
    <x v="0"/>
  </r>
  <r>
    <x v="261"/>
    <x v="51"/>
    <x v="4"/>
    <x v="0"/>
    <x v="11"/>
    <n v="349"/>
    <n v="0"/>
    <n v="349"/>
    <n v="893"/>
    <x v="0"/>
    <n v="0"/>
    <x v="2"/>
    <x v="253"/>
    <x v="0"/>
  </r>
  <r>
    <x v="262"/>
    <x v="58"/>
    <x v="1"/>
    <x v="2"/>
    <x v="127"/>
    <n v="406"/>
    <n v="305"/>
    <n v="101"/>
    <n v="517"/>
    <x v="2"/>
    <n v="0.75123152709359609"/>
    <x v="1"/>
    <x v="254"/>
    <x v="2"/>
  </r>
  <r>
    <x v="263"/>
    <x v="28"/>
    <x v="0"/>
    <x v="0"/>
    <x v="44"/>
    <n v="463"/>
    <n v="135"/>
    <n v="328"/>
    <n v="1257"/>
    <x v="0"/>
    <n v="0.29157667386609071"/>
    <x v="0"/>
    <x v="255"/>
    <x v="0"/>
  </r>
  <r>
    <x v="264"/>
    <x v="58"/>
    <x v="1"/>
    <x v="3"/>
    <x v="80"/>
    <n v="72"/>
    <n v="8"/>
    <n v="64"/>
    <n v="1135"/>
    <x v="0"/>
    <n v="0.1111111111111111"/>
    <x v="0"/>
    <x v="256"/>
    <x v="0"/>
  </r>
  <r>
    <x v="265"/>
    <x v="55"/>
    <x v="1"/>
    <x v="0"/>
    <x v="128"/>
    <n v="290"/>
    <n v="223"/>
    <n v="67"/>
    <n v="235"/>
    <x v="0"/>
    <n v="0.76896551724137929"/>
    <x v="1"/>
    <x v="257"/>
    <x v="2"/>
  </r>
  <r>
    <x v="266"/>
    <x v="68"/>
    <x v="0"/>
    <x v="0"/>
    <x v="11"/>
    <m/>
    <n v="0"/>
    <n v="269"/>
    <n v="1120"/>
    <x v="0"/>
    <s v=""/>
    <x v="3"/>
    <x v="258"/>
    <x v="2"/>
  </r>
  <r>
    <x v="267"/>
    <x v="56"/>
    <x v="1"/>
    <x v="1"/>
    <x v="129"/>
    <n v="199"/>
    <n v="55"/>
    <n v="144"/>
    <n v="1789"/>
    <x v="0"/>
    <n v="0.27638190954773867"/>
    <x v="0"/>
    <x v="259"/>
    <x v="0"/>
  </r>
  <r>
    <x v="268"/>
    <x v="64"/>
    <x v="3"/>
    <x v="1"/>
    <x v="56"/>
    <n v="292"/>
    <n v="204"/>
    <n v="88"/>
    <n v="627"/>
    <x v="0"/>
    <n v="0.69863013698630139"/>
    <x v="1"/>
    <x v="260"/>
    <x v="2"/>
  </r>
  <r>
    <x v="269"/>
    <x v="7"/>
    <x v="1"/>
    <x v="0"/>
    <x v="130"/>
    <n v="253"/>
    <n v="178"/>
    <n v="75"/>
    <n v="434"/>
    <x v="0"/>
    <n v="0.70355731225296447"/>
    <x v="1"/>
    <x v="261"/>
    <x v="2"/>
  </r>
  <r>
    <x v="270"/>
    <x v="24"/>
    <x v="4"/>
    <x v="1"/>
    <x v="11"/>
    <n v="269"/>
    <n v="0"/>
    <n v="269"/>
    <n v="880"/>
    <x v="0"/>
    <n v="0"/>
    <x v="2"/>
    <x v="262"/>
    <x v="0"/>
  </r>
  <r>
    <x v="271"/>
    <x v="31"/>
    <x v="1"/>
    <x v="2"/>
    <x v="131"/>
    <n v="421"/>
    <n v="298"/>
    <n v="123"/>
    <n v="618"/>
    <x v="0"/>
    <n v="0.70783847980997627"/>
    <x v="1"/>
    <x v="263"/>
    <x v="2"/>
  </r>
  <r>
    <x v="272"/>
    <x v="59"/>
    <x v="0"/>
    <x v="2"/>
    <x v="74"/>
    <n v="493"/>
    <n v="485"/>
    <n v="8"/>
    <n v="696"/>
    <x v="1"/>
    <n v="0.98377281947261663"/>
    <x v="1"/>
    <x v="264"/>
    <x v="1"/>
  </r>
  <r>
    <x v="273"/>
    <x v="29"/>
    <x v="1"/>
    <x v="1"/>
    <x v="132"/>
    <n v="251"/>
    <n v="204"/>
    <n v="47"/>
    <n v="1030"/>
    <x v="1"/>
    <n v="0.8127490039840638"/>
    <x v="1"/>
    <x v="265"/>
    <x v="1"/>
  </r>
  <r>
    <x v="274"/>
    <x v="27"/>
    <x v="0"/>
    <x v="2"/>
    <x v="117"/>
    <n v="433"/>
    <n v="86"/>
    <n v="347"/>
    <n v="631"/>
    <x v="0"/>
    <n v="0.19861431870669746"/>
    <x v="0"/>
    <x v="266"/>
    <x v="0"/>
  </r>
  <r>
    <x v="275"/>
    <x v="61"/>
    <x v="3"/>
    <x v="0"/>
    <x v="11"/>
    <n v="333"/>
    <n v="0"/>
    <n v="333"/>
    <n v="2613"/>
    <x v="0"/>
    <n v="0"/>
    <x v="2"/>
    <x v="267"/>
    <x v="0"/>
  </r>
  <r>
    <x v="276"/>
    <x v="48"/>
    <x v="0"/>
    <x v="2"/>
    <x v="11"/>
    <n v="455"/>
    <n v="0"/>
    <n v="455"/>
    <n v="2785"/>
    <x v="2"/>
    <n v="0"/>
    <x v="2"/>
    <x v="268"/>
    <x v="2"/>
  </r>
  <r>
    <x v="277"/>
    <x v="40"/>
    <x v="2"/>
    <x v="1"/>
    <x v="99"/>
    <n v="398"/>
    <n v="333"/>
    <n v="65"/>
    <n v="2111"/>
    <x v="0"/>
    <n v="0.83668341708542715"/>
    <x v="1"/>
    <x v="269"/>
    <x v="2"/>
  </r>
  <r>
    <x v="278"/>
    <x v="72"/>
    <x v="3"/>
    <x v="2"/>
    <x v="11"/>
    <n v="221"/>
    <n v="0"/>
    <n v="221"/>
    <n v="1747"/>
    <x v="0"/>
    <n v="0"/>
    <x v="2"/>
    <x v="270"/>
    <x v="0"/>
  </r>
  <r>
    <x v="279"/>
    <x v="36"/>
    <x v="5"/>
    <x v="0"/>
    <x v="43"/>
    <n v="72"/>
    <n v="70"/>
    <n v="2"/>
    <n v="2528"/>
    <x v="1"/>
    <n v="0.97222222222222221"/>
    <x v="1"/>
    <x v="271"/>
    <x v="1"/>
  </r>
  <r>
    <x v="280"/>
    <x v="61"/>
    <x v="3"/>
    <x v="0"/>
    <x v="11"/>
    <n v="145"/>
    <n v="0"/>
    <n v="145"/>
    <n v="430"/>
    <x v="0"/>
    <n v="0"/>
    <x v="2"/>
    <x v="272"/>
    <x v="0"/>
  </r>
  <r>
    <x v="281"/>
    <x v="69"/>
    <x v="3"/>
    <x v="1"/>
    <x v="11"/>
    <n v="98"/>
    <n v="0"/>
    <n v="98"/>
    <n v="1608"/>
    <x v="0"/>
    <n v="0"/>
    <x v="2"/>
    <x v="273"/>
    <x v="0"/>
  </r>
  <r>
    <x v="282"/>
    <x v="67"/>
    <x v="1"/>
    <x v="0"/>
    <x v="11"/>
    <m/>
    <n v="0"/>
    <n v="350"/>
    <n v="429"/>
    <x v="0"/>
    <s v=""/>
    <x v="3"/>
    <x v="274"/>
    <x v="2"/>
  </r>
  <r>
    <x v="283"/>
    <x v="38"/>
    <x v="4"/>
    <x v="0"/>
    <x v="11"/>
    <n v="155"/>
    <n v="0"/>
    <n v="155"/>
    <n v="1818"/>
    <x v="0"/>
    <n v="0"/>
    <x v="2"/>
    <x v="275"/>
    <x v="0"/>
  </r>
  <r>
    <x v="284"/>
    <x v="60"/>
    <x v="2"/>
    <x v="0"/>
    <x v="74"/>
    <n v="432"/>
    <n v="132"/>
    <n v="300"/>
    <n v="939"/>
    <x v="0"/>
    <n v="0.30555555555555558"/>
    <x v="0"/>
    <x v="276"/>
    <x v="0"/>
  </r>
  <r>
    <x v="285"/>
    <x v="54"/>
    <x v="2"/>
    <x v="3"/>
    <x v="59"/>
    <n v="389"/>
    <n v="362"/>
    <n v="27"/>
    <n v="391"/>
    <x v="1"/>
    <n v="0.93059125964010281"/>
    <x v="1"/>
    <x v="277"/>
    <x v="1"/>
  </r>
  <r>
    <x v="286"/>
    <x v="13"/>
    <x v="1"/>
    <x v="0"/>
    <x v="11"/>
    <n v="181"/>
    <n v="0"/>
    <n v="181"/>
    <n v="2815"/>
    <x v="0"/>
    <n v="0"/>
    <x v="2"/>
    <x v="278"/>
    <x v="0"/>
  </r>
  <r>
    <x v="287"/>
    <x v="6"/>
    <x v="2"/>
    <x v="2"/>
    <x v="133"/>
    <n v="343"/>
    <n v="18"/>
    <n v="325"/>
    <n v="2159"/>
    <x v="0"/>
    <n v="5.2478134110787174E-2"/>
    <x v="0"/>
    <x v="279"/>
    <x v="0"/>
  </r>
  <r>
    <x v="288"/>
    <x v="32"/>
    <x v="1"/>
    <x v="3"/>
    <x v="24"/>
    <n v="53"/>
    <n v="46"/>
    <n v="7"/>
    <n v="1338"/>
    <x v="1"/>
    <n v="0.86792452830188682"/>
    <x v="1"/>
    <x v="280"/>
    <x v="1"/>
  </r>
  <r>
    <x v="289"/>
    <x v="2"/>
    <x v="1"/>
    <x v="3"/>
    <x v="7"/>
    <n v="154"/>
    <n v="135"/>
    <n v="19"/>
    <n v="304"/>
    <x v="2"/>
    <n v="0.87662337662337664"/>
    <x v="1"/>
    <x v="281"/>
    <x v="2"/>
  </r>
  <r>
    <x v="290"/>
    <x v="34"/>
    <x v="3"/>
    <x v="1"/>
    <x v="11"/>
    <n v="97"/>
    <n v="0"/>
    <n v="97"/>
    <n v="1481"/>
    <x v="0"/>
    <n v="0"/>
    <x v="2"/>
    <x v="282"/>
    <x v="0"/>
  </r>
  <r>
    <x v="291"/>
    <x v="66"/>
    <x v="3"/>
    <x v="1"/>
    <x v="94"/>
    <n v="224"/>
    <n v="219"/>
    <n v="5"/>
    <n v="1207"/>
    <x v="1"/>
    <n v="0.9776785714285714"/>
    <x v="1"/>
    <x v="283"/>
    <x v="1"/>
  </r>
  <r>
    <x v="292"/>
    <x v="62"/>
    <x v="4"/>
    <x v="2"/>
    <x v="37"/>
    <n v="66"/>
    <n v="62"/>
    <n v="4"/>
    <n v="2991"/>
    <x v="1"/>
    <n v="0.93939393939393945"/>
    <x v="1"/>
    <x v="284"/>
    <x v="1"/>
  </r>
  <r>
    <x v="293"/>
    <x v="45"/>
    <x v="3"/>
    <x v="0"/>
    <x v="58"/>
    <n v="307"/>
    <n v="112"/>
    <n v="195"/>
    <n v="2489"/>
    <x v="0"/>
    <n v="0.36482084690553745"/>
    <x v="0"/>
    <x v="285"/>
    <x v="0"/>
  </r>
  <r>
    <x v="294"/>
    <x v="36"/>
    <x v="3"/>
    <x v="0"/>
    <x v="134"/>
    <n v="357"/>
    <n v="294"/>
    <n v="63"/>
    <n v="1561"/>
    <x v="0"/>
    <n v="0.82352941176470584"/>
    <x v="1"/>
    <x v="286"/>
    <x v="2"/>
  </r>
  <r>
    <x v="295"/>
    <x v="4"/>
    <x v="1"/>
    <x v="1"/>
    <x v="135"/>
    <n v="87"/>
    <n v="30"/>
    <n v="57"/>
    <n v="1194"/>
    <x v="1"/>
    <n v="0.34482758620689657"/>
    <x v="0"/>
    <x v="287"/>
    <x v="2"/>
  </r>
  <r>
    <x v="296"/>
    <x v="74"/>
    <x v="2"/>
    <x v="0"/>
    <x v="136"/>
    <n v="426"/>
    <n v="160"/>
    <n v="266"/>
    <n v="1798"/>
    <x v="0"/>
    <n v="0.37558685446009388"/>
    <x v="0"/>
    <x v="288"/>
    <x v="0"/>
  </r>
  <r>
    <x v="297"/>
    <x v="64"/>
    <x v="3"/>
    <x v="3"/>
    <x v="82"/>
    <n v="50"/>
    <n v="4"/>
    <n v="46"/>
    <n v="588"/>
    <x v="1"/>
    <n v="0.08"/>
    <x v="0"/>
    <x v="289"/>
    <x v="2"/>
  </r>
  <r>
    <x v="298"/>
    <x v="24"/>
    <x v="5"/>
    <x v="3"/>
    <x v="40"/>
    <n v="163"/>
    <n v="156"/>
    <n v="7"/>
    <n v="123"/>
    <x v="1"/>
    <n v="0.95705521472392641"/>
    <x v="1"/>
    <x v="290"/>
    <x v="1"/>
  </r>
  <r>
    <x v="299"/>
    <x v="29"/>
    <x v="1"/>
    <x v="3"/>
    <x v="7"/>
    <n v="451"/>
    <n v="59"/>
    <n v="392"/>
    <n v="411"/>
    <x v="0"/>
    <n v="0.13082039911308205"/>
    <x v="0"/>
    <x v="291"/>
    <x v="0"/>
  </r>
  <r>
    <x v="300"/>
    <x v="11"/>
    <x v="4"/>
    <x v="1"/>
    <x v="135"/>
    <n v="246"/>
    <n v="28"/>
    <n v="218"/>
    <n v="2296"/>
    <x v="0"/>
    <n v="0.11382113821138211"/>
    <x v="0"/>
    <x v="292"/>
    <x v="0"/>
  </r>
  <r>
    <x v="301"/>
    <x v="45"/>
    <x v="3"/>
    <x v="1"/>
    <x v="11"/>
    <n v="98"/>
    <n v="0"/>
    <m/>
    <n v="1682"/>
    <x v="0"/>
    <n v="0"/>
    <x v="2"/>
    <x v="7"/>
    <x v="0"/>
  </r>
  <r>
    <x v="302"/>
    <x v="47"/>
    <x v="0"/>
    <x v="2"/>
    <x v="48"/>
    <n v="435"/>
    <n v="381"/>
    <n v="54"/>
    <n v="2951"/>
    <x v="1"/>
    <n v="0.87586206896551722"/>
    <x v="1"/>
    <x v="293"/>
    <x v="1"/>
  </r>
  <r>
    <x v="303"/>
    <x v="56"/>
    <x v="1"/>
    <x v="2"/>
    <x v="134"/>
    <m/>
    <n v="196"/>
    <m/>
    <n v="602"/>
    <x v="0"/>
    <s v=""/>
    <x v="3"/>
    <x v="7"/>
    <x v="2"/>
  </r>
  <r>
    <x v="304"/>
    <x v="30"/>
    <x v="2"/>
    <x v="1"/>
    <x v="11"/>
    <n v="258"/>
    <n v="0"/>
    <n v="258"/>
    <n v="1903"/>
    <x v="0"/>
    <n v="0"/>
    <x v="2"/>
    <x v="294"/>
    <x v="0"/>
  </r>
  <r>
    <x v="305"/>
    <x v="72"/>
    <x v="3"/>
    <x v="2"/>
    <x v="137"/>
    <n v="469"/>
    <n v="407"/>
    <n v="62"/>
    <n v="1236"/>
    <x v="0"/>
    <n v="0.86780383795309168"/>
    <x v="1"/>
    <x v="295"/>
    <x v="2"/>
  </r>
  <r>
    <x v="306"/>
    <x v="59"/>
    <x v="0"/>
    <x v="0"/>
    <x v="11"/>
    <n v="432"/>
    <n v="0"/>
    <n v="432"/>
    <n v="947"/>
    <x v="0"/>
    <n v="0"/>
    <x v="2"/>
    <x v="296"/>
    <x v="0"/>
  </r>
  <r>
    <x v="307"/>
    <x v="53"/>
    <x v="2"/>
    <x v="1"/>
    <x v="138"/>
    <n v="472"/>
    <n v="460"/>
    <n v="12"/>
    <n v="1854"/>
    <x v="1"/>
    <n v="0.97457627118644063"/>
    <x v="1"/>
    <x v="297"/>
    <x v="1"/>
  </r>
  <r>
    <x v="308"/>
    <x v="11"/>
    <x v="4"/>
    <x v="3"/>
    <x v="44"/>
    <n v="261"/>
    <n v="223"/>
    <n v="38"/>
    <n v="261"/>
    <x v="1"/>
    <n v="0.85440613026819923"/>
    <x v="1"/>
    <x v="298"/>
    <x v="1"/>
  </r>
  <r>
    <x v="309"/>
    <x v="73"/>
    <x v="2"/>
    <x v="0"/>
    <x v="11"/>
    <n v="177"/>
    <n v="5"/>
    <n v="177"/>
    <n v="696"/>
    <x v="0"/>
    <n v="2.8248587570621469E-2"/>
    <x v="0"/>
    <x v="299"/>
    <x v="0"/>
  </r>
  <r>
    <x v="310"/>
    <x v="64"/>
    <x v="3"/>
    <x v="0"/>
    <x v="11"/>
    <n v="491"/>
    <m/>
    <n v="491"/>
    <n v="1951"/>
    <x v="0"/>
    <s v=""/>
    <x v="3"/>
    <x v="300"/>
    <x v="2"/>
  </r>
  <r>
    <x v="311"/>
    <x v="70"/>
    <x v="0"/>
    <x v="2"/>
    <x v="139"/>
    <n v="124"/>
    <n v="105"/>
    <n v="19"/>
    <n v="388"/>
    <x v="1"/>
    <n v="0.84677419354838712"/>
    <x v="1"/>
    <x v="301"/>
    <x v="1"/>
  </r>
  <r>
    <x v="312"/>
    <x v="62"/>
    <x v="4"/>
    <x v="2"/>
    <x v="140"/>
    <n v="450"/>
    <n v="64"/>
    <n v="386"/>
    <n v="2658"/>
    <x v="0"/>
    <n v="0.14222222222222222"/>
    <x v="0"/>
    <x v="302"/>
    <x v="0"/>
  </r>
  <r>
    <x v="313"/>
    <x v="72"/>
    <x v="3"/>
    <x v="1"/>
    <x v="132"/>
    <n v="202"/>
    <n v="157"/>
    <n v="45"/>
    <n v="1274"/>
    <x v="1"/>
    <n v="0.77722772277227725"/>
    <x v="1"/>
    <x v="303"/>
    <x v="1"/>
  </r>
  <r>
    <x v="314"/>
    <x v="30"/>
    <x v="2"/>
    <x v="2"/>
    <x v="115"/>
    <n v="309"/>
    <n v="110"/>
    <n v="199"/>
    <n v="1154"/>
    <x v="0"/>
    <n v="0.35598705501618122"/>
    <x v="0"/>
    <x v="304"/>
    <x v="0"/>
  </r>
  <r>
    <x v="315"/>
    <x v="28"/>
    <x v="0"/>
    <x v="2"/>
    <x v="141"/>
    <n v="231"/>
    <n v="183"/>
    <n v="48"/>
    <n v="1374"/>
    <x v="1"/>
    <n v="0.79220779220779225"/>
    <x v="1"/>
    <x v="305"/>
    <x v="1"/>
  </r>
  <r>
    <x v="316"/>
    <x v="13"/>
    <x v="1"/>
    <x v="1"/>
    <x v="142"/>
    <n v="332"/>
    <n v="62"/>
    <n v="270"/>
    <n v="2382"/>
    <x v="0"/>
    <n v="0.18674698795180722"/>
    <x v="0"/>
    <x v="306"/>
    <x v="0"/>
  </r>
  <r>
    <x v="317"/>
    <x v="14"/>
    <x v="1"/>
    <x v="0"/>
    <x v="4"/>
    <n v="421"/>
    <n v="63"/>
    <n v="358"/>
    <n v="1887"/>
    <x v="0"/>
    <n v="0.1496437054631829"/>
    <x v="0"/>
    <x v="307"/>
    <x v="0"/>
  </r>
  <r>
    <x v="318"/>
    <x v="64"/>
    <x v="3"/>
    <x v="3"/>
    <x v="11"/>
    <n v="440"/>
    <n v="0"/>
    <n v="440"/>
    <n v="1157"/>
    <x v="0"/>
    <n v="0"/>
    <x v="2"/>
    <x v="308"/>
    <x v="0"/>
  </r>
  <r>
    <x v="319"/>
    <x v="71"/>
    <x v="0"/>
    <x v="2"/>
    <x v="55"/>
    <n v="487"/>
    <n v="484"/>
    <n v="3"/>
    <n v="127"/>
    <x v="1"/>
    <n v="0.99383983572895274"/>
    <x v="1"/>
    <x v="309"/>
    <x v="1"/>
  </r>
  <r>
    <x v="320"/>
    <x v="59"/>
    <x v="0"/>
    <x v="0"/>
    <x v="11"/>
    <n v="421"/>
    <n v="0"/>
    <n v="421"/>
    <n v="806"/>
    <x v="0"/>
    <n v="0"/>
    <x v="2"/>
    <x v="310"/>
    <x v="0"/>
  </r>
  <r>
    <x v="321"/>
    <x v="4"/>
    <x v="1"/>
    <x v="1"/>
    <x v="11"/>
    <n v="483"/>
    <n v="0"/>
    <n v="483"/>
    <n v="1369"/>
    <x v="0"/>
    <n v="0"/>
    <x v="2"/>
    <x v="311"/>
    <x v="0"/>
  </r>
  <r>
    <x v="322"/>
    <x v="43"/>
    <x v="4"/>
    <x v="2"/>
    <x v="11"/>
    <n v="481"/>
    <n v="5"/>
    <n v="481"/>
    <n v="2061"/>
    <x v="0"/>
    <n v="1.0395010395010396E-2"/>
    <x v="0"/>
    <x v="312"/>
    <x v="0"/>
  </r>
  <r>
    <x v="323"/>
    <x v="4"/>
    <x v="1"/>
    <x v="2"/>
    <x v="11"/>
    <n v="234"/>
    <n v="0"/>
    <n v="234"/>
    <n v="2125"/>
    <x v="0"/>
    <n v="0"/>
    <x v="2"/>
    <x v="313"/>
    <x v="0"/>
  </r>
  <r>
    <x v="324"/>
    <x v="70"/>
    <x v="0"/>
    <x v="2"/>
    <x v="24"/>
    <n v="458"/>
    <n v="173"/>
    <n v="285"/>
    <n v="925"/>
    <x v="0"/>
    <n v="0.37772925764192139"/>
    <x v="0"/>
    <x v="314"/>
    <x v="0"/>
  </r>
  <r>
    <x v="325"/>
    <x v="7"/>
    <x v="1"/>
    <x v="3"/>
    <x v="143"/>
    <n v="256"/>
    <n v="59"/>
    <n v="197"/>
    <n v="1336"/>
    <x v="0"/>
    <n v="0.23046875"/>
    <x v="0"/>
    <x v="315"/>
    <x v="0"/>
  </r>
  <r>
    <x v="326"/>
    <x v="64"/>
    <x v="3"/>
    <x v="0"/>
    <x v="81"/>
    <n v="270"/>
    <n v="212"/>
    <n v="58"/>
    <n v="2914"/>
    <x v="1"/>
    <n v="0.78518518518518521"/>
    <x v="1"/>
    <x v="316"/>
    <x v="1"/>
  </r>
  <r>
    <x v="327"/>
    <x v="57"/>
    <x v="4"/>
    <x v="2"/>
    <x v="11"/>
    <n v="231"/>
    <n v="0"/>
    <n v="231"/>
    <n v="1189"/>
    <x v="0"/>
    <n v="0"/>
    <x v="2"/>
    <x v="317"/>
    <x v="0"/>
  </r>
  <r>
    <x v="328"/>
    <x v="74"/>
    <x v="2"/>
    <x v="0"/>
    <x v="144"/>
    <n v="388"/>
    <n v="68"/>
    <n v="320"/>
    <n v="334"/>
    <x v="0"/>
    <n v="0.17525773195876287"/>
    <x v="0"/>
    <x v="318"/>
    <x v="0"/>
  </r>
  <r>
    <x v="329"/>
    <x v="37"/>
    <x v="4"/>
    <x v="3"/>
    <x v="11"/>
    <n v="204"/>
    <n v="0"/>
    <n v="204"/>
    <m/>
    <x v="0"/>
    <n v="0"/>
    <x v="2"/>
    <x v="7"/>
    <x v="0"/>
  </r>
  <r>
    <x v="330"/>
    <x v="55"/>
    <x v="1"/>
    <x v="3"/>
    <x v="40"/>
    <n v="95"/>
    <n v="83"/>
    <n v="12"/>
    <n v="2859"/>
    <x v="1"/>
    <n v="0.87368421052631584"/>
    <x v="1"/>
    <x v="319"/>
    <x v="1"/>
  </r>
  <r>
    <x v="331"/>
    <x v="21"/>
    <x v="0"/>
    <x v="3"/>
    <x v="11"/>
    <n v="79"/>
    <n v="0"/>
    <n v="79"/>
    <n v="2406"/>
    <x v="0"/>
    <n v="0"/>
    <x v="2"/>
    <x v="320"/>
    <x v="0"/>
  </r>
  <r>
    <x v="332"/>
    <x v="59"/>
    <x v="0"/>
    <x v="2"/>
    <x v="145"/>
    <n v="448"/>
    <n v="41"/>
    <n v="407"/>
    <n v="1520"/>
    <x v="0"/>
    <n v="9.1517857142857137E-2"/>
    <x v="0"/>
    <x v="321"/>
    <x v="0"/>
  </r>
  <r>
    <x v="333"/>
    <x v="39"/>
    <x v="2"/>
    <x v="2"/>
    <x v="11"/>
    <n v="220"/>
    <n v="0"/>
    <n v="220"/>
    <n v="369"/>
    <x v="0"/>
    <n v="0"/>
    <x v="2"/>
    <x v="322"/>
    <x v="0"/>
  </r>
  <r>
    <x v="334"/>
    <x v="6"/>
    <x v="2"/>
    <x v="0"/>
    <x v="146"/>
    <n v="485"/>
    <n v="179"/>
    <n v="306"/>
    <n v="548"/>
    <x v="0"/>
    <n v="0.36907216494845363"/>
    <x v="0"/>
    <x v="323"/>
    <x v="0"/>
  </r>
  <r>
    <x v="335"/>
    <x v="25"/>
    <x v="0"/>
    <x v="0"/>
    <x v="147"/>
    <n v="246"/>
    <n v="65"/>
    <n v="181"/>
    <n v="555"/>
    <x v="0"/>
    <n v="0.26422764227642276"/>
    <x v="0"/>
    <x v="324"/>
    <x v="0"/>
  </r>
  <r>
    <x v="336"/>
    <x v="9"/>
    <x v="2"/>
    <x v="0"/>
    <x v="69"/>
    <n v="352"/>
    <n v="73"/>
    <n v="279"/>
    <n v="2808"/>
    <x v="0"/>
    <n v="0.20738636363636365"/>
    <x v="0"/>
    <x v="325"/>
    <x v="0"/>
  </r>
  <r>
    <x v="337"/>
    <x v="54"/>
    <x v="2"/>
    <x v="3"/>
    <x v="18"/>
    <n v="119"/>
    <n v="40"/>
    <n v="79"/>
    <n v="1132"/>
    <x v="0"/>
    <n v="0.33613445378151263"/>
    <x v="0"/>
    <x v="326"/>
    <x v="0"/>
  </r>
  <r>
    <x v="338"/>
    <x v="73"/>
    <x v="2"/>
    <x v="1"/>
    <x v="148"/>
    <n v="294"/>
    <n v="281"/>
    <n v="13"/>
    <n v="2480"/>
    <x v="1"/>
    <n v="0.95578231292517002"/>
    <x v="1"/>
    <x v="327"/>
    <x v="1"/>
  </r>
  <r>
    <x v="339"/>
    <x v="54"/>
    <x v="2"/>
    <x v="1"/>
    <x v="11"/>
    <n v="133"/>
    <n v="0"/>
    <n v="133"/>
    <n v="1793"/>
    <x v="0"/>
    <n v="0"/>
    <x v="2"/>
    <x v="328"/>
    <x v="0"/>
  </r>
  <r>
    <x v="340"/>
    <x v="54"/>
    <x v="2"/>
    <x v="1"/>
    <x v="149"/>
    <n v="489"/>
    <n v="469"/>
    <n v="20"/>
    <n v="1237"/>
    <x v="1"/>
    <n v="0.95910020449897748"/>
    <x v="1"/>
    <x v="329"/>
    <x v="1"/>
  </r>
  <r>
    <x v="341"/>
    <x v="69"/>
    <x v="3"/>
    <x v="2"/>
    <x v="150"/>
    <n v="170"/>
    <n v="60"/>
    <n v="110"/>
    <n v="1012"/>
    <x v="0"/>
    <n v="0.35294117647058826"/>
    <x v="0"/>
    <x v="330"/>
    <x v="0"/>
  </r>
  <r>
    <x v="342"/>
    <x v="37"/>
    <x v="4"/>
    <x v="0"/>
    <x v="151"/>
    <n v="249"/>
    <n v="209"/>
    <n v="40"/>
    <n v="2595"/>
    <x v="1"/>
    <n v="0.8393574297188755"/>
    <x v="1"/>
    <x v="331"/>
    <x v="1"/>
  </r>
  <r>
    <x v="343"/>
    <x v="47"/>
    <x v="0"/>
    <x v="0"/>
    <x v="51"/>
    <n v="381"/>
    <m/>
    <n v="240"/>
    <n v="2387"/>
    <x v="0"/>
    <s v=""/>
    <x v="3"/>
    <x v="332"/>
    <x v="2"/>
  </r>
  <r>
    <x v="344"/>
    <x v="25"/>
    <x v="5"/>
    <x v="1"/>
    <x v="11"/>
    <n v="101"/>
    <n v="0"/>
    <n v="101"/>
    <n v="2566"/>
    <x v="0"/>
    <n v="0"/>
    <x v="2"/>
    <x v="333"/>
    <x v="0"/>
  </r>
  <r>
    <x v="345"/>
    <x v="32"/>
    <x v="1"/>
    <x v="3"/>
    <x v="11"/>
    <n v="145"/>
    <n v="0"/>
    <n v="145"/>
    <m/>
    <x v="0"/>
    <n v="0"/>
    <x v="2"/>
    <x v="7"/>
    <x v="0"/>
  </r>
  <r>
    <x v="346"/>
    <x v="55"/>
    <x v="1"/>
    <x v="1"/>
    <x v="11"/>
    <n v="56"/>
    <n v="0"/>
    <n v="56"/>
    <n v="2302"/>
    <x v="1"/>
    <n v="0"/>
    <x v="2"/>
    <x v="334"/>
    <x v="2"/>
  </r>
  <r>
    <x v="347"/>
    <x v="53"/>
    <x v="2"/>
    <x v="3"/>
    <x v="52"/>
    <n v="444"/>
    <n v="88"/>
    <n v="356"/>
    <n v="2129"/>
    <x v="0"/>
    <n v="0.1981981981981982"/>
    <x v="0"/>
    <x v="335"/>
    <x v="0"/>
  </r>
  <r>
    <x v="348"/>
    <x v="20"/>
    <x v="2"/>
    <x v="1"/>
    <x v="152"/>
    <n v="73"/>
    <n v="72"/>
    <n v="1"/>
    <n v="2856"/>
    <x v="1"/>
    <n v="0.98630136986301364"/>
    <x v="1"/>
    <x v="336"/>
    <x v="1"/>
  </r>
  <r>
    <x v="349"/>
    <x v="9"/>
    <x v="2"/>
    <x v="2"/>
    <x v="11"/>
    <n v="112"/>
    <n v="0"/>
    <n v="112"/>
    <n v="2501"/>
    <x v="0"/>
    <n v="0"/>
    <x v="2"/>
    <x v="337"/>
    <x v="0"/>
  </r>
  <r>
    <x v="350"/>
    <x v="37"/>
    <x v="4"/>
    <x v="0"/>
    <x v="11"/>
    <n v="370"/>
    <n v="0"/>
    <n v="370"/>
    <n v="1968"/>
    <x v="0"/>
    <n v="0"/>
    <x v="2"/>
    <x v="338"/>
    <x v="0"/>
  </r>
  <r>
    <x v="351"/>
    <x v="8"/>
    <x v="4"/>
    <x v="0"/>
    <x v="11"/>
    <n v="355"/>
    <n v="0"/>
    <n v="355"/>
    <m/>
    <x v="0"/>
    <n v="0"/>
    <x v="2"/>
    <x v="7"/>
    <x v="0"/>
  </r>
  <r>
    <x v="352"/>
    <x v="18"/>
    <x v="2"/>
    <x v="1"/>
    <x v="11"/>
    <n v="212"/>
    <n v="0"/>
    <n v="212"/>
    <n v="2217"/>
    <x v="2"/>
    <n v="0"/>
    <x v="2"/>
    <x v="339"/>
    <x v="2"/>
  </r>
  <r>
    <x v="353"/>
    <x v="11"/>
    <x v="4"/>
    <x v="3"/>
    <x v="153"/>
    <n v="454"/>
    <n v="431"/>
    <n v="23"/>
    <n v="1962"/>
    <x v="1"/>
    <n v="0.9493392070484582"/>
    <x v="1"/>
    <x v="340"/>
    <x v="1"/>
  </r>
  <r>
    <x v="354"/>
    <x v="33"/>
    <x v="4"/>
    <x v="0"/>
    <x v="11"/>
    <n v="185"/>
    <n v="0"/>
    <n v="185"/>
    <n v="244"/>
    <x v="0"/>
    <n v="0"/>
    <x v="2"/>
    <x v="341"/>
    <x v="0"/>
  </r>
  <r>
    <x v="355"/>
    <x v="10"/>
    <x v="4"/>
    <x v="1"/>
    <x v="92"/>
    <n v="213"/>
    <n v="64"/>
    <m/>
    <n v="448"/>
    <x v="0"/>
    <n v="0.30046948356807512"/>
    <x v="0"/>
    <x v="7"/>
    <x v="0"/>
  </r>
  <r>
    <x v="356"/>
    <x v="14"/>
    <x v="1"/>
    <x v="0"/>
    <x v="11"/>
    <n v="110"/>
    <n v="0"/>
    <n v="110"/>
    <n v="1907"/>
    <x v="2"/>
    <n v="0"/>
    <x v="2"/>
    <x v="342"/>
    <x v="2"/>
  </r>
  <r>
    <x v="357"/>
    <x v="58"/>
    <x v="1"/>
    <x v="0"/>
    <x v="11"/>
    <n v="74"/>
    <n v="0"/>
    <n v="74"/>
    <n v="2095"/>
    <x v="0"/>
    <n v="0"/>
    <x v="2"/>
    <x v="343"/>
    <x v="0"/>
  </r>
  <r>
    <x v="358"/>
    <x v="12"/>
    <x v="3"/>
    <x v="2"/>
    <x v="154"/>
    <n v="331"/>
    <n v="114"/>
    <n v="217"/>
    <m/>
    <x v="0"/>
    <n v="0.34441087613293053"/>
    <x v="0"/>
    <x v="7"/>
    <x v="0"/>
  </r>
  <r>
    <x v="359"/>
    <x v="73"/>
    <x v="2"/>
    <x v="0"/>
    <x v="11"/>
    <n v="351"/>
    <n v="0"/>
    <n v="351"/>
    <n v="1341"/>
    <x v="0"/>
    <n v="0"/>
    <x v="2"/>
    <x v="344"/>
    <x v="0"/>
  </r>
  <r>
    <x v="360"/>
    <x v="52"/>
    <x v="3"/>
    <x v="1"/>
    <x v="5"/>
    <n v="183"/>
    <n v="34"/>
    <n v="149"/>
    <n v="1421"/>
    <x v="0"/>
    <n v="0.18579234972677597"/>
    <x v="0"/>
    <x v="345"/>
    <x v="0"/>
  </r>
  <r>
    <x v="361"/>
    <x v="29"/>
    <x v="1"/>
    <x v="0"/>
    <x v="104"/>
    <n v="239"/>
    <n v="35"/>
    <n v="204"/>
    <n v="679"/>
    <x v="0"/>
    <n v="0.14644351464435146"/>
    <x v="0"/>
    <x v="346"/>
    <x v="0"/>
  </r>
  <r>
    <x v="362"/>
    <x v="44"/>
    <x v="0"/>
    <x v="2"/>
    <x v="93"/>
    <n v="421"/>
    <n v="82"/>
    <n v="339"/>
    <m/>
    <x v="0"/>
    <n v="0.19477434679334918"/>
    <x v="0"/>
    <x v="7"/>
    <x v="0"/>
  </r>
  <r>
    <x v="363"/>
    <x v="44"/>
    <x v="0"/>
    <x v="1"/>
    <x v="116"/>
    <n v="102"/>
    <n v="12"/>
    <n v="90"/>
    <n v="518"/>
    <x v="0"/>
    <n v="0.11764705882352941"/>
    <x v="0"/>
    <x v="347"/>
    <x v="0"/>
  </r>
  <r>
    <x v="364"/>
    <x v="57"/>
    <x v="4"/>
    <x v="0"/>
    <x v="155"/>
    <n v="140"/>
    <n v="131"/>
    <n v="9"/>
    <n v="2436"/>
    <x v="1"/>
    <n v="0.93571428571428572"/>
    <x v="1"/>
    <x v="348"/>
    <x v="1"/>
  </r>
  <r>
    <x v="365"/>
    <x v="62"/>
    <x v="4"/>
    <x v="0"/>
    <x v="11"/>
    <n v="470"/>
    <n v="0"/>
    <n v="470"/>
    <n v="2124"/>
    <x v="0"/>
    <n v="0"/>
    <x v="2"/>
    <x v="349"/>
    <x v="0"/>
  </r>
  <r>
    <x v="366"/>
    <x v="2"/>
    <x v="1"/>
    <x v="3"/>
    <x v="156"/>
    <m/>
    <n v="154"/>
    <n v="6"/>
    <n v="2910"/>
    <x v="1"/>
    <s v=""/>
    <x v="3"/>
    <x v="350"/>
    <x v="2"/>
  </r>
  <r>
    <x v="367"/>
    <x v="52"/>
    <x v="3"/>
    <x v="2"/>
    <x v="11"/>
    <n v="192"/>
    <n v="0"/>
    <n v="192"/>
    <n v="507"/>
    <x v="0"/>
    <n v="0"/>
    <x v="2"/>
    <x v="351"/>
    <x v="0"/>
  </r>
  <r>
    <x v="368"/>
    <x v="49"/>
    <x v="4"/>
    <x v="0"/>
    <x v="11"/>
    <n v="146"/>
    <n v="0"/>
    <n v="146"/>
    <n v="1243"/>
    <x v="2"/>
    <n v="0"/>
    <x v="2"/>
    <x v="352"/>
    <x v="2"/>
  </r>
  <r>
    <x v="369"/>
    <x v="61"/>
    <x v="3"/>
    <x v="2"/>
    <x v="157"/>
    <n v="338"/>
    <n v="61"/>
    <n v="277"/>
    <n v="1262"/>
    <x v="0"/>
    <n v="0.18047337278106509"/>
    <x v="0"/>
    <x v="353"/>
    <x v="0"/>
  </r>
  <r>
    <x v="370"/>
    <x v="51"/>
    <x v="4"/>
    <x v="1"/>
    <x v="11"/>
    <n v="255"/>
    <n v="0"/>
    <n v="255"/>
    <n v="2610"/>
    <x v="0"/>
    <n v="0"/>
    <x v="2"/>
    <x v="354"/>
    <x v="0"/>
  </r>
  <r>
    <x v="371"/>
    <x v="14"/>
    <x v="1"/>
    <x v="2"/>
    <x v="11"/>
    <n v="455"/>
    <n v="0"/>
    <n v="455"/>
    <n v="2551"/>
    <x v="0"/>
    <n v="0"/>
    <x v="2"/>
    <x v="355"/>
    <x v="0"/>
  </r>
  <r>
    <x v="372"/>
    <x v="35"/>
    <x v="2"/>
    <x v="2"/>
    <x v="11"/>
    <n v="365"/>
    <n v="0"/>
    <n v="365"/>
    <n v="959"/>
    <x v="0"/>
    <n v="0"/>
    <x v="2"/>
    <x v="356"/>
    <x v="0"/>
  </r>
  <r>
    <x v="373"/>
    <x v="73"/>
    <x v="2"/>
    <x v="3"/>
    <x v="158"/>
    <n v="283"/>
    <n v="65"/>
    <n v="218"/>
    <n v="2012"/>
    <x v="0"/>
    <n v="0.22968197879858657"/>
    <x v="0"/>
    <x v="357"/>
    <x v="0"/>
  </r>
  <r>
    <x v="374"/>
    <x v="55"/>
    <x v="1"/>
    <x v="0"/>
    <x v="159"/>
    <n v="381"/>
    <n v="352"/>
    <n v="29"/>
    <n v="178"/>
    <x v="1"/>
    <n v="0.92388451443569553"/>
    <x v="1"/>
    <x v="358"/>
    <x v="1"/>
  </r>
  <r>
    <x v="375"/>
    <x v="32"/>
    <x v="1"/>
    <x v="2"/>
    <x v="11"/>
    <n v="417"/>
    <n v="0"/>
    <n v="417"/>
    <n v="2431"/>
    <x v="0"/>
    <n v="0"/>
    <x v="2"/>
    <x v="359"/>
    <x v="0"/>
  </r>
  <r>
    <x v="376"/>
    <x v="22"/>
    <x v="1"/>
    <x v="3"/>
    <x v="16"/>
    <n v="459"/>
    <n v="367"/>
    <n v="92"/>
    <n v="617"/>
    <x v="0"/>
    <n v="0.79956427015250542"/>
    <x v="1"/>
    <x v="360"/>
    <x v="2"/>
  </r>
  <r>
    <x v="377"/>
    <x v="54"/>
    <x v="2"/>
    <x v="2"/>
    <x v="160"/>
    <n v="159"/>
    <n v="130"/>
    <n v="29"/>
    <n v="2077"/>
    <x v="1"/>
    <n v="0.8176100628930818"/>
    <x v="1"/>
    <x v="361"/>
    <x v="1"/>
  </r>
  <r>
    <x v="378"/>
    <x v="1"/>
    <x v="0"/>
    <x v="0"/>
    <x v="161"/>
    <n v="316"/>
    <n v="68"/>
    <n v="248"/>
    <n v="560"/>
    <x v="0"/>
    <n v="0.21518987341772153"/>
    <x v="0"/>
    <x v="362"/>
    <x v="0"/>
  </r>
  <r>
    <x v="379"/>
    <x v="58"/>
    <x v="1"/>
    <x v="1"/>
    <x v="162"/>
    <n v="85"/>
    <n v="29"/>
    <n v="56"/>
    <n v="1434"/>
    <x v="1"/>
    <n v="0.3411764705882353"/>
    <x v="0"/>
    <x v="363"/>
    <x v="2"/>
  </r>
  <r>
    <x v="380"/>
    <x v="4"/>
    <x v="1"/>
    <x v="2"/>
    <x v="82"/>
    <n v="401"/>
    <n v="92"/>
    <n v="309"/>
    <n v="624"/>
    <x v="0"/>
    <n v="0.22942643391521197"/>
    <x v="0"/>
    <x v="364"/>
    <x v="0"/>
  </r>
  <r>
    <x v="381"/>
    <x v="39"/>
    <x v="2"/>
    <x v="0"/>
    <x v="163"/>
    <n v="54"/>
    <n v="9"/>
    <n v="45"/>
    <n v="380"/>
    <x v="1"/>
    <n v="0.16666666666666666"/>
    <x v="0"/>
    <x v="365"/>
    <x v="2"/>
  </r>
  <r>
    <x v="382"/>
    <x v="25"/>
    <x v="0"/>
    <x v="3"/>
    <x v="164"/>
    <n v="446"/>
    <n v="40"/>
    <n v="406"/>
    <n v="1809"/>
    <x v="0"/>
    <n v="8.9686098654708515E-2"/>
    <x v="0"/>
    <x v="366"/>
    <x v="0"/>
  </r>
  <r>
    <x v="383"/>
    <x v="22"/>
    <x v="1"/>
    <x v="1"/>
    <x v="11"/>
    <m/>
    <n v="0"/>
    <n v="183"/>
    <n v="347"/>
    <x v="0"/>
    <s v=""/>
    <x v="3"/>
    <x v="367"/>
    <x v="2"/>
  </r>
  <r>
    <x v="384"/>
    <x v="44"/>
    <x v="0"/>
    <x v="2"/>
    <x v="165"/>
    <n v="248"/>
    <n v="79"/>
    <n v="169"/>
    <n v="2143"/>
    <x v="0"/>
    <n v="0.31854838709677419"/>
    <x v="0"/>
    <x v="368"/>
    <x v="0"/>
  </r>
  <r>
    <x v="385"/>
    <x v="27"/>
    <x v="0"/>
    <x v="1"/>
    <x v="64"/>
    <n v="51"/>
    <n v="44"/>
    <n v="7"/>
    <n v="273"/>
    <x v="1"/>
    <n v="0.86274509803921573"/>
    <x v="1"/>
    <x v="369"/>
    <x v="1"/>
  </r>
  <r>
    <x v="386"/>
    <x v="72"/>
    <x v="5"/>
    <x v="0"/>
    <x v="11"/>
    <n v="234"/>
    <n v="0"/>
    <n v="234"/>
    <n v="962"/>
    <x v="0"/>
    <n v="0"/>
    <x v="2"/>
    <x v="370"/>
    <x v="0"/>
  </r>
  <r>
    <x v="387"/>
    <x v="64"/>
    <x v="3"/>
    <x v="0"/>
    <x v="11"/>
    <n v="379"/>
    <n v="5"/>
    <n v="379"/>
    <n v="2579"/>
    <x v="0"/>
    <n v="1.3192612137203167E-2"/>
    <x v="0"/>
    <x v="371"/>
    <x v="0"/>
  </r>
  <r>
    <x v="388"/>
    <x v="29"/>
    <x v="5"/>
    <x v="0"/>
    <x v="166"/>
    <n v="358"/>
    <n v="118"/>
    <n v="240"/>
    <n v="2906"/>
    <x v="0"/>
    <n v="0.32960893854748602"/>
    <x v="0"/>
    <x v="372"/>
    <x v="0"/>
  </r>
  <r>
    <x v="389"/>
    <x v="20"/>
    <x v="2"/>
    <x v="3"/>
    <x v="11"/>
    <n v="219"/>
    <n v="0"/>
    <n v="219"/>
    <n v="2541"/>
    <x v="0"/>
    <n v="0"/>
    <x v="2"/>
    <x v="373"/>
    <x v="0"/>
  </r>
  <r>
    <x v="390"/>
    <x v="0"/>
    <x v="0"/>
    <x v="1"/>
    <x v="152"/>
    <n v="383"/>
    <n v="53"/>
    <n v="330"/>
    <m/>
    <x v="2"/>
    <n v="0.13838120104438642"/>
    <x v="0"/>
    <x v="7"/>
    <x v="2"/>
  </r>
  <r>
    <x v="391"/>
    <x v="10"/>
    <x v="5"/>
    <x v="1"/>
    <x v="132"/>
    <n v="496"/>
    <n v="354"/>
    <n v="142"/>
    <n v="1278"/>
    <x v="0"/>
    <n v="0.71370967741935487"/>
    <x v="1"/>
    <x v="374"/>
    <x v="2"/>
  </r>
  <r>
    <x v="392"/>
    <x v="62"/>
    <x v="4"/>
    <x v="0"/>
    <x v="167"/>
    <n v="438"/>
    <n v="369"/>
    <n v="69"/>
    <n v="567"/>
    <x v="0"/>
    <n v="0.84246575342465757"/>
    <x v="1"/>
    <x v="375"/>
    <x v="2"/>
  </r>
  <r>
    <x v="393"/>
    <x v="56"/>
    <x v="1"/>
    <x v="1"/>
    <x v="58"/>
    <n v="429"/>
    <n v="361"/>
    <n v="68"/>
    <n v="1836"/>
    <x v="0"/>
    <n v="0.84149184149184153"/>
    <x v="1"/>
    <x v="376"/>
    <x v="2"/>
  </r>
  <r>
    <x v="394"/>
    <x v="48"/>
    <x v="0"/>
    <x v="1"/>
    <x v="122"/>
    <n v="296"/>
    <n v="18"/>
    <n v="278"/>
    <n v="837"/>
    <x v="0"/>
    <n v="6.0810810810810814E-2"/>
    <x v="0"/>
    <x v="377"/>
    <x v="0"/>
  </r>
  <r>
    <x v="395"/>
    <x v="11"/>
    <x v="4"/>
    <x v="3"/>
    <x v="168"/>
    <n v="147"/>
    <n v="103"/>
    <n v="44"/>
    <n v="2669"/>
    <x v="1"/>
    <n v="0.70068027210884354"/>
    <x v="1"/>
    <x v="378"/>
    <x v="1"/>
  </r>
  <r>
    <x v="396"/>
    <x v="47"/>
    <x v="0"/>
    <x v="1"/>
    <x v="140"/>
    <n v="496"/>
    <n v="486"/>
    <n v="10"/>
    <n v="1346"/>
    <x v="1"/>
    <n v="0.97983870967741937"/>
    <x v="1"/>
    <x v="379"/>
    <x v="1"/>
  </r>
  <r>
    <x v="397"/>
    <x v="0"/>
    <x v="0"/>
    <x v="0"/>
    <x v="51"/>
    <n v="304"/>
    <n v="100"/>
    <n v="204"/>
    <n v="728"/>
    <x v="0"/>
    <n v="0.32894736842105265"/>
    <x v="0"/>
    <x v="380"/>
    <x v="0"/>
  </r>
  <r>
    <x v="398"/>
    <x v="27"/>
    <x v="0"/>
    <x v="3"/>
    <x v="169"/>
    <n v="385"/>
    <n v="303"/>
    <m/>
    <n v="2467"/>
    <x v="0"/>
    <n v="0.78701298701298705"/>
    <x v="1"/>
    <x v="7"/>
    <x v="2"/>
  </r>
  <r>
    <x v="399"/>
    <x v="48"/>
    <x v="5"/>
    <x v="1"/>
    <x v="59"/>
    <n v="163"/>
    <n v="123"/>
    <m/>
    <n v="1722"/>
    <x v="1"/>
    <n v="0.754601226993865"/>
    <x v="1"/>
    <x v="7"/>
    <x v="1"/>
  </r>
  <r>
    <x v="400"/>
    <x v="67"/>
    <x v="1"/>
    <x v="2"/>
    <x v="12"/>
    <n v="328"/>
    <n v="52"/>
    <n v="276"/>
    <n v="570"/>
    <x v="0"/>
    <n v="0.15853658536585366"/>
    <x v="0"/>
    <x v="381"/>
    <x v="0"/>
  </r>
  <r>
    <x v="401"/>
    <x v="52"/>
    <x v="3"/>
    <x v="3"/>
    <x v="11"/>
    <n v="188"/>
    <n v="0"/>
    <n v="188"/>
    <n v="1417"/>
    <x v="0"/>
    <n v="0"/>
    <x v="2"/>
    <x v="382"/>
    <x v="0"/>
  </r>
  <r>
    <x v="402"/>
    <x v="15"/>
    <x v="4"/>
    <x v="3"/>
    <x v="170"/>
    <n v="211"/>
    <n v="24"/>
    <n v="187"/>
    <n v="2656"/>
    <x v="2"/>
    <n v="0.11374407582938388"/>
    <x v="0"/>
    <x v="383"/>
    <x v="2"/>
  </r>
  <r>
    <x v="403"/>
    <x v="68"/>
    <x v="5"/>
    <x v="3"/>
    <x v="159"/>
    <n v="347"/>
    <n v="69"/>
    <n v="278"/>
    <n v="886"/>
    <x v="0"/>
    <n v="0.19884726224783861"/>
    <x v="0"/>
    <x v="384"/>
    <x v="0"/>
  </r>
  <r>
    <x v="404"/>
    <x v="15"/>
    <x v="4"/>
    <x v="3"/>
    <x v="22"/>
    <n v="90"/>
    <n v="27"/>
    <n v="63"/>
    <n v="2754"/>
    <x v="0"/>
    <n v="0.3"/>
    <x v="0"/>
    <x v="385"/>
    <x v="0"/>
  </r>
  <r>
    <x v="405"/>
    <x v="74"/>
    <x v="2"/>
    <x v="3"/>
    <x v="171"/>
    <n v="450"/>
    <n v="368"/>
    <n v="82"/>
    <n v="2662"/>
    <x v="0"/>
    <n v="0.81777777777777783"/>
    <x v="1"/>
    <x v="386"/>
    <x v="2"/>
  </r>
  <r>
    <x v="406"/>
    <x v="17"/>
    <x v="5"/>
    <x v="2"/>
    <x v="172"/>
    <n v="283"/>
    <n v="55"/>
    <n v="228"/>
    <n v="2387"/>
    <x v="0"/>
    <n v="0.19434628975265017"/>
    <x v="0"/>
    <x v="387"/>
    <x v="0"/>
  </r>
  <r>
    <x v="407"/>
    <x v="12"/>
    <x v="3"/>
    <x v="3"/>
    <x v="173"/>
    <n v="430"/>
    <n v="362"/>
    <n v="68"/>
    <n v="503"/>
    <x v="0"/>
    <n v="0.8418604651162791"/>
    <x v="1"/>
    <x v="388"/>
    <x v="2"/>
  </r>
  <r>
    <x v="408"/>
    <x v="22"/>
    <x v="1"/>
    <x v="0"/>
    <x v="11"/>
    <n v="482"/>
    <n v="0"/>
    <n v="482"/>
    <n v="1549"/>
    <x v="0"/>
    <n v="0"/>
    <x v="2"/>
    <x v="389"/>
    <x v="0"/>
  </r>
  <r>
    <x v="409"/>
    <x v="73"/>
    <x v="2"/>
    <x v="0"/>
    <x v="47"/>
    <n v="380"/>
    <n v="335"/>
    <n v="45"/>
    <n v="1949"/>
    <x v="1"/>
    <n v="0.88157894736842102"/>
    <x v="1"/>
    <x v="390"/>
    <x v="1"/>
  </r>
  <r>
    <x v="410"/>
    <x v="61"/>
    <x v="5"/>
    <x v="3"/>
    <x v="174"/>
    <n v="412"/>
    <n v="42"/>
    <n v="370"/>
    <n v="1857"/>
    <x v="0"/>
    <n v="0.10194174757281553"/>
    <x v="0"/>
    <x v="391"/>
    <x v="0"/>
  </r>
  <r>
    <x v="411"/>
    <x v="64"/>
    <x v="3"/>
    <x v="2"/>
    <x v="162"/>
    <n v="393"/>
    <n v="38"/>
    <n v="355"/>
    <n v="843"/>
    <x v="0"/>
    <n v="9.6692111959287536E-2"/>
    <x v="0"/>
    <x v="392"/>
    <x v="0"/>
  </r>
  <r>
    <x v="412"/>
    <x v="26"/>
    <x v="3"/>
    <x v="0"/>
    <x v="175"/>
    <n v="166"/>
    <n v="144"/>
    <n v="22"/>
    <n v="2038"/>
    <x v="1"/>
    <n v="0.86746987951807231"/>
    <x v="1"/>
    <x v="393"/>
    <x v="1"/>
  </r>
  <r>
    <x v="413"/>
    <x v="68"/>
    <x v="0"/>
    <x v="1"/>
    <x v="122"/>
    <n v="475"/>
    <m/>
    <n v="141"/>
    <n v="2886"/>
    <x v="0"/>
    <s v=""/>
    <x v="3"/>
    <x v="394"/>
    <x v="2"/>
  </r>
  <r>
    <x v="414"/>
    <x v="30"/>
    <x v="2"/>
    <x v="0"/>
    <x v="11"/>
    <n v="297"/>
    <n v="0"/>
    <n v="297"/>
    <n v="911"/>
    <x v="0"/>
    <n v="0"/>
    <x v="2"/>
    <x v="395"/>
    <x v="0"/>
  </r>
  <r>
    <x v="415"/>
    <x v="37"/>
    <x v="4"/>
    <x v="1"/>
    <x v="11"/>
    <n v="463"/>
    <n v="0"/>
    <n v="463"/>
    <n v="960"/>
    <x v="0"/>
    <n v="0"/>
    <x v="2"/>
    <x v="396"/>
    <x v="0"/>
  </r>
  <r>
    <x v="416"/>
    <x v="29"/>
    <x v="1"/>
    <x v="1"/>
    <x v="35"/>
    <n v="163"/>
    <n v="47"/>
    <n v="116"/>
    <n v="1596"/>
    <x v="0"/>
    <n v="0.28834355828220859"/>
    <x v="0"/>
    <x v="397"/>
    <x v="0"/>
  </r>
  <r>
    <x v="417"/>
    <x v="3"/>
    <x v="2"/>
    <x v="0"/>
    <x v="111"/>
    <n v="213"/>
    <n v="156"/>
    <n v="57"/>
    <n v="2970"/>
    <x v="1"/>
    <n v="0.73239436619718312"/>
    <x v="1"/>
    <x v="398"/>
    <x v="1"/>
  </r>
  <r>
    <x v="418"/>
    <x v="72"/>
    <x v="3"/>
    <x v="2"/>
    <x v="11"/>
    <n v="202"/>
    <m/>
    <n v="202"/>
    <n v="50"/>
    <x v="0"/>
    <s v=""/>
    <x v="3"/>
    <x v="399"/>
    <x v="2"/>
  </r>
  <r>
    <x v="419"/>
    <x v="50"/>
    <x v="1"/>
    <x v="1"/>
    <x v="176"/>
    <n v="139"/>
    <n v="23"/>
    <n v="116"/>
    <n v="1175"/>
    <x v="0"/>
    <n v="0.16546762589928057"/>
    <x v="0"/>
    <x v="400"/>
    <x v="0"/>
  </r>
  <r>
    <x v="420"/>
    <x v="33"/>
    <x v="4"/>
    <x v="2"/>
    <x v="103"/>
    <n v="89"/>
    <n v="82"/>
    <n v="7"/>
    <n v="1525"/>
    <x v="2"/>
    <n v="0.9213483146067416"/>
    <x v="1"/>
    <x v="401"/>
    <x v="2"/>
  </r>
  <r>
    <x v="421"/>
    <x v="28"/>
    <x v="0"/>
    <x v="2"/>
    <x v="177"/>
    <n v="455"/>
    <n v="364"/>
    <n v="91"/>
    <n v="2533"/>
    <x v="0"/>
    <n v="0.8"/>
    <x v="1"/>
    <x v="402"/>
    <x v="2"/>
  </r>
  <r>
    <x v="422"/>
    <x v="58"/>
    <x v="1"/>
    <x v="2"/>
    <x v="11"/>
    <n v="408"/>
    <n v="0"/>
    <n v="408"/>
    <n v="776"/>
    <x v="0"/>
    <n v="0"/>
    <x v="2"/>
    <x v="403"/>
    <x v="0"/>
  </r>
  <r>
    <x v="423"/>
    <x v="29"/>
    <x v="1"/>
    <x v="2"/>
    <x v="138"/>
    <n v="397"/>
    <n v="310"/>
    <n v="87"/>
    <m/>
    <x v="0"/>
    <n v="0.78085642317380355"/>
    <x v="1"/>
    <x v="7"/>
    <x v="2"/>
  </r>
  <r>
    <x v="424"/>
    <x v="34"/>
    <x v="3"/>
    <x v="1"/>
    <x v="178"/>
    <n v="429"/>
    <n v="76"/>
    <n v="353"/>
    <n v="1900"/>
    <x v="0"/>
    <n v="0.17715617715617715"/>
    <x v="0"/>
    <x v="404"/>
    <x v="0"/>
  </r>
  <r>
    <x v="425"/>
    <x v="50"/>
    <x v="1"/>
    <x v="3"/>
    <x v="11"/>
    <n v="248"/>
    <n v="0"/>
    <n v="248"/>
    <n v="2554"/>
    <x v="0"/>
    <n v="0"/>
    <x v="2"/>
    <x v="405"/>
    <x v="0"/>
  </r>
  <r>
    <x v="426"/>
    <x v="1"/>
    <x v="0"/>
    <x v="3"/>
    <x v="11"/>
    <n v="373"/>
    <n v="0"/>
    <n v="373"/>
    <n v="1339"/>
    <x v="0"/>
    <n v="0"/>
    <x v="2"/>
    <x v="406"/>
    <x v="0"/>
  </r>
  <r>
    <x v="427"/>
    <x v="73"/>
    <x v="2"/>
    <x v="0"/>
    <x v="69"/>
    <n v="462"/>
    <n v="324"/>
    <n v="138"/>
    <n v="2675"/>
    <x v="0"/>
    <n v="0.70129870129870131"/>
    <x v="1"/>
    <x v="407"/>
    <x v="2"/>
  </r>
  <r>
    <x v="428"/>
    <x v="47"/>
    <x v="0"/>
    <x v="1"/>
    <x v="11"/>
    <n v="171"/>
    <n v="5"/>
    <n v="171"/>
    <n v="1551"/>
    <x v="0"/>
    <n v="2.9239766081871343E-2"/>
    <x v="0"/>
    <x v="408"/>
    <x v="0"/>
  </r>
  <r>
    <x v="429"/>
    <x v="10"/>
    <x v="4"/>
    <x v="3"/>
    <x v="179"/>
    <m/>
    <n v="80"/>
    <n v="26"/>
    <n v="2216"/>
    <x v="1"/>
    <s v=""/>
    <x v="3"/>
    <x v="409"/>
    <x v="2"/>
  </r>
  <r>
    <x v="430"/>
    <x v="49"/>
    <x v="4"/>
    <x v="2"/>
    <x v="145"/>
    <n v="355"/>
    <n v="74"/>
    <n v="281"/>
    <n v="766"/>
    <x v="0"/>
    <n v="0.20845070422535211"/>
    <x v="0"/>
    <x v="410"/>
    <x v="0"/>
  </r>
  <r>
    <x v="431"/>
    <x v="13"/>
    <x v="1"/>
    <x v="0"/>
    <x v="156"/>
    <n v="164"/>
    <n v="140"/>
    <n v="24"/>
    <n v="1771"/>
    <x v="1"/>
    <n v="0.85365853658536583"/>
    <x v="1"/>
    <x v="411"/>
    <x v="1"/>
  </r>
  <r>
    <x v="432"/>
    <x v="16"/>
    <x v="4"/>
    <x v="1"/>
    <x v="180"/>
    <n v="235"/>
    <n v="44"/>
    <n v="191"/>
    <n v="1940"/>
    <x v="0"/>
    <n v="0.18723404255319148"/>
    <x v="0"/>
    <x v="412"/>
    <x v="0"/>
  </r>
  <r>
    <x v="433"/>
    <x v="18"/>
    <x v="2"/>
    <x v="0"/>
    <x v="181"/>
    <n v="78"/>
    <n v="9"/>
    <n v="69"/>
    <n v="196"/>
    <x v="0"/>
    <n v="0.11538461538461539"/>
    <x v="0"/>
    <x v="413"/>
    <x v="0"/>
  </r>
  <r>
    <x v="434"/>
    <x v="40"/>
    <x v="2"/>
    <x v="2"/>
    <x v="182"/>
    <n v="56"/>
    <n v="42"/>
    <n v="14"/>
    <n v="304"/>
    <x v="1"/>
    <n v="0.75"/>
    <x v="1"/>
    <x v="414"/>
    <x v="1"/>
  </r>
  <r>
    <x v="435"/>
    <x v="64"/>
    <x v="3"/>
    <x v="1"/>
    <x v="78"/>
    <n v="160"/>
    <n v="20"/>
    <n v="140"/>
    <n v="418"/>
    <x v="0"/>
    <n v="0.125"/>
    <x v="0"/>
    <x v="415"/>
    <x v="0"/>
  </r>
  <r>
    <x v="436"/>
    <x v="19"/>
    <x v="4"/>
    <x v="2"/>
    <x v="11"/>
    <n v="466"/>
    <n v="0"/>
    <n v="466"/>
    <n v="2001"/>
    <x v="0"/>
    <n v="0"/>
    <x v="2"/>
    <x v="416"/>
    <x v="0"/>
  </r>
  <r>
    <x v="437"/>
    <x v="13"/>
    <x v="1"/>
    <x v="3"/>
    <x v="128"/>
    <n v="387"/>
    <n v="361"/>
    <n v="26"/>
    <n v="2424"/>
    <x v="1"/>
    <n v="0.93281653746770021"/>
    <x v="1"/>
    <x v="417"/>
    <x v="1"/>
  </r>
  <r>
    <x v="438"/>
    <x v="47"/>
    <x v="0"/>
    <x v="2"/>
    <x v="183"/>
    <n v="236"/>
    <n v="27"/>
    <n v="209"/>
    <n v="964"/>
    <x v="0"/>
    <n v="0.11440677966101695"/>
    <x v="0"/>
    <x v="418"/>
    <x v="0"/>
  </r>
  <r>
    <x v="439"/>
    <x v="69"/>
    <x v="3"/>
    <x v="1"/>
    <x v="184"/>
    <n v="250"/>
    <n v="201"/>
    <n v="49"/>
    <n v="2982"/>
    <x v="1"/>
    <n v="0.80400000000000005"/>
    <x v="1"/>
    <x v="419"/>
    <x v="1"/>
  </r>
  <r>
    <x v="440"/>
    <x v="52"/>
    <x v="3"/>
    <x v="2"/>
    <x v="11"/>
    <n v="233"/>
    <n v="0"/>
    <m/>
    <n v="1677"/>
    <x v="0"/>
    <n v="0"/>
    <x v="2"/>
    <x v="7"/>
    <x v="0"/>
  </r>
  <r>
    <x v="441"/>
    <x v="11"/>
    <x v="4"/>
    <x v="0"/>
    <x v="11"/>
    <n v="52"/>
    <n v="0"/>
    <m/>
    <n v="218"/>
    <x v="1"/>
    <n v="0"/>
    <x v="2"/>
    <x v="7"/>
    <x v="2"/>
  </r>
  <r>
    <x v="442"/>
    <x v="64"/>
    <x v="3"/>
    <x v="0"/>
    <x v="11"/>
    <n v="64"/>
    <n v="0"/>
    <n v="64"/>
    <n v="2056"/>
    <x v="0"/>
    <n v="0"/>
    <x v="2"/>
    <x v="420"/>
    <x v="0"/>
  </r>
  <r>
    <x v="443"/>
    <x v="62"/>
    <x v="4"/>
    <x v="0"/>
    <x v="134"/>
    <n v="154"/>
    <n v="21"/>
    <m/>
    <n v="2105"/>
    <x v="0"/>
    <n v="0.13636363636363635"/>
    <x v="0"/>
    <x v="7"/>
    <x v="0"/>
  </r>
  <r>
    <x v="444"/>
    <x v="50"/>
    <x v="1"/>
    <x v="0"/>
    <x v="93"/>
    <n v="105"/>
    <n v="7"/>
    <n v="98"/>
    <n v="378"/>
    <x v="0"/>
    <n v="6.6666666666666666E-2"/>
    <x v="0"/>
    <x v="421"/>
    <x v="0"/>
  </r>
  <r>
    <x v="445"/>
    <x v="32"/>
    <x v="1"/>
    <x v="0"/>
    <x v="91"/>
    <n v="163"/>
    <n v="9"/>
    <n v="154"/>
    <n v="426"/>
    <x v="0"/>
    <n v="5.5214723926380369E-2"/>
    <x v="0"/>
    <x v="422"/>
    <x v="0"/>
  </r>
  <r>
    <x v="446"/>
    <x v="24"/>
    <x v="4"/>
    <x v="3"/>
    <x v="11"/>
    <n v="263"/>
    <n v="0"/>
    <n v="263"/>
    <n v="1077"/>
    <x v="0"/>
    <n v="0"/>
    <x v="2"/>
    <x v="423"/>
    <x v="0"/>
  </r>
  <r>
    <x v="447"/>
    <x v="37"/>
    <x v="4"/>
    <x v="1"/>
    <x v="53"/>
    <n v="350"/>
    <n v="302"/>
    <n v="48"/>
    <n v="1374"/>
    <x v="1"/>
    <n v="0.86285714285714288"/>
    <x v="1"/>
    <x v="305"/>
    <x v="1"/>
  </r>
  <r>
    <x v="448"/>
    <x v="35"/>
    <x v="2"/>
    <x v="3"/>
    <x v="97"/>
    <n v="184"/>
    <n v="22"/>
    <n v="162"/>
    <n v="548"/>
    <x v="0"/>
    <n v="0.11956521739130435"/>
    <x v="0"/>
    <x v="424"/>
    <x v="0"/>
  </r>
  <r>
    <x v="449"/>
    <x v="20"/>
    <x v="2"/>
    <x v="2"/>
    <x v="104"/>
    <n v="474"/>
    <n v="401"/>
    <n v="73"/>
    <n v="2928"/>
    <x v="0"/>
    <n v="0.84599156118143459"/>
    <x v="1"/>
    <x v="425"/>
    <x v="2"/>
  </r>
  <r>
    <x v="450"/>
    <x v="30"/>
    <x v="2"/>
    <x v="0"/>
    <x v="140"/>
    <n v="411"/>
    <n v="124"/>
    <n v="287"/>
    <n v="2608"/>
    <x v="0"/>
    <n v="0.30170316301703165"/>
    <x v="0"/>
    <x v="426"/>
    <x v="0"/>
  </r>
  <r>
    <x v="451"/>
    <x v="30"/>
    <x v="2"/>
    <x v="3"/>
    <x v="185"/>
    <n v="221"/>
    <n v="17"/>
    <n v="204"/>
    <n v="2508"/>
    <x v="0"/>
    <n v="7.6923076923076927E-2"/>
    <x v="0"/>
    <x v="427"/>
    <x v="0"/>
  </r>
  <r>
    <x v="452"/>
    <x v="3"/>
    <x v="2"/>
    <x v="1"/>
    <x v="156"/>
    <n v="465"/>
    <n v="405"/>
    <n v="60"/>
    <n v="1544"/>
    <x v="0"/>
    <n v="0.87096774193548387"/>
    <x v="1"/>
    <x v="428"/>
    <x v="2"/>
  </r>
  <r>
    <x v="453"/>
    <x v="26"/>
    <x v="3"/>
    <x v="3"/>
    <x v="31"/>
    <n v="293"/>
    <n v="66"/>
    <n v="227"/>
    <n v="922"/>
    <x v="0"/>
    <n v="0.22525597269624573"/>
    <x v="0"/>
    <x v="429"/>
    <x v="0"/>
  </r>
  <r>
    <x v="454"/>
    <x v="6"/>
    <x v="2"/>
    <x v="1"/>
    <x v="160"/>
    <n v="258"/>
    <n v="56"/>
    <n v="202"/>
    <n v="1391"/>
    <x v="0"/>
    <n v="0.21705426356589147"/>
    <x v="0"/>
    <x v="430"/>
    <x v="0"/>
  </r>
  <r>
    <x v="455"/>
    <x v="50"/>
    <x v="1"/>
    <x v="3"/>
    <x v="136"/>
    <m/>
    <n v="106"/>
    <n v="199"/>
    <n v="1246"/>
    <x v="0"/>
    <s v=""/>
    <x v="3"/>
    <x v="431"/>
    <x v="2"/>
  </r>
  <r>
    <x v="456"/>
    <x v="39"/>
    <x v="2"/>
    <x v="3"/>
    <x v="186"/>
    <n v="344"/>
    <n v="116"/>
    <n v="228"/>
    <n v="1951"/>
    <x v="0"/>
    <n v="0.33720930232558138"/>
    <x v="0"/>
    <x v="432"/>
    <x v="0"/>
  </r>
  <r>
    <x v="457"/>
    <x v="41"/>
    <x v="3"/>
    <x v="3"/>
    <x v="135"/>
    <n v="482"/>
    <n v="102"/>
    <n v="380"/>
    <n v="2585"/>
    <x v="0"/>
    <n v="0.21161825726141079"/>
    <x v="0"/>
    <x v="433"/>
    <x v="0"/>
  </r>
  <r>
    <x v="458"/>
    <x v="56"/>
    <x v="1"/>
    <x v="1"/>
    <x v="11"/>
    <n v="408"/>
    <n v="0"/>
    <n v="408"/>
    <n v="2854"/>
    <x v="0"/>
    <n v="0"/>
    <x v="2"/>
    <x v="434"/>
    <x v="0"/>
  </r>
  <r>
    <x v="459"/>
    <x v="65"/>
    <x v="0"/>
    <x v="2"/>
    <x v="11"/>
    <n v="65"/>
    <n v="0"/>
    <n v="65"/>
    <n v="1406"/>
    <x v="0"/>
    <n v="0"/>
    <x v="2"/>
    <x v="435"/>
    <x v="0"/>
  </r>
  <r>
    <x v="460"/>
    <x v="3"/>
    <x v="2"/>
    <x v="1"/>
    <x v="11"/>
    <n v="389"/>
    <n v="0"/>
    <n v="389"/>
    <n v="2147"/>
    <x v="0"/>
    <n v="0"/>
    <x v="2"/>
    <x v="436"/>
    <x v="0"/>
  </r>
  <r>
    <x v="461"/>
    <x v="20"/>
    <x v="2"/>
    <x v="2"/>
    <x v="43"/>
    <n v="179"/>
    <n v="37"/>
    <n v="142"/>
    <n v="1712"/>
    <x v="0"/>
    <n v="0.20670391061452514"/>
    <x v="0"/>
    <x v="437"/>
    <x v="0"/>
  </r>
  <r>
    <x v="462"/>
    <x v="14"/>
    <x v="1"/>
    <x v="1"/>
    <x v="22"/>
    <n v="164"/>
    <n v="37"/>
    <n v="127"/>
    <n v="1682"/>
    <x v="0"/>
    <n v="0.22560975609756098"/>
    <x v="0"/>
    <x v="438"/>
    <x v="0"/>
  </r>
  <r>
    <x v="463"/>
    <x v="57"/>
    <x v="4"/>
    <x v="0"/>
    <x v="187"/>
    <n v="319"/>
    <n v="126"/>
    <n v="193"/>
    <n v="1462"/>
    <x v="0"/>
    <n v="0.39498432601880878"/>
    <x v="0"/>
    <x v="439"/>
    <x v="0"/>
  </r>
  <r>
    <x v="464"/>
    <x v="45"/>
    <x v="3"/>
    <x v="1"/>
    <x v="11"/>
    <n v="365"/>
    <n v="0"/>
    <n v="365"/>
    <n v="1885"/>
    <x v="0"/>
    <n v="0"/>
    <x v="2"/>
    <x v="440"/>
    <x v="0"/>
  </r>
  <r>
    <x v="465"/>
    <x v="43"/>
    <x v="4"/>
    <x v="3"/>
    <x v="11"/>
    <m/>
    <n v="0"/>
    <n v="478"/>
    <n v="550"/>
    <x v="0"/>
    <s v=""/>
    <x v="3"/>
    <x v="441"/>
    <x v="2"/>
  </r>
  <r>
    <x v="466"/>
    <x v="4"/>
    <x v="1"/>
    <x v="3"/>
    <x v="11"/>
    <n v="392"/>
    <n v="0"/>
    <n v="392"/>
    <n v="921"/>
    <x v="0"/>
    <n v="0"/>
    <x v="2"/>
    <x v="442"/>
    <x v="0"/>
  </r>
  <r>
    <x v="467"/>
    <x v="7"/>
    <x v="1"/>
    <x v="3"/>
    <x v="6"/>
    <n v="123"/>
    <n v="34"/>
    <m/>
    <n v="1548"/>
    <x v="0"/>
    <n v="0.27642276422764228"/>
    <x v="0"/>
    <x v="7"/>
    <x v="0"/>
  </r>
  <r>
    <x v="468"/>
    <x v="15"/>
    <x v="4"/>
    <x v="1"/>
    <x v="11"/>
    <n v="320"/>
    <n v="0"/>
    <n v="320"/>
    <n v="2613"/>
    <x v="0"/>
    <n v="0"/>
    <x v="2"/>
    <x v="443"/>
    <x v="0"/>
  </r>
  <r>
    <x v="469"/>
    <x v="41"/>
    <x v="5"/>
    <x v="2"/>
    <x v="101"/>
    <n v="329"/>
    <n v="318"/>
    <n v="11"/>
    <n v="411"/>
    <x v="1"/>
    <n v="0.96656534954407292"/>
    <x v="1"/>
    <x v="444"/>
    <x v="1"/>
  </r>
  <r>
    <x v="470"/>
    <x v="74"/>
    <x v="2"/>
    <x v="3"/>
    <x v="68"/>
    <n v="91"/>
    <n v="20"/>
    <n v="71"/>
    <n v="2620"/>
    <x v="0"/>
    <n v="0.21978021978021978"/>
    <x v="0"/>
    <x v="445"/>
    <x v="0"/>
  </r>
  <r>
    <x v="471"/>
    <x v="18"/>
    <x v="2"/>
    <x v="1"/>
    <x v="58"/>
    <n v="338"/>
    <n v="273"/>
    <n v="65"/>
    <n v="446"/>
    <x v="0"/>
    <n v="0.80769230769230771"/>
    <x v="1"/>
    <x v="446"/>
    <x v="2"/>
  </r>
  <r>
    <x v="472"/>
    <x v="39"/>
    <x v="5"/>
    <x v="3"/>
    <x v="160"/>
    <n v="99"/>
    <n v="8"/>
    <n v="91"/>
    <n v="823"/>
    <x v="0"/>
    <n v="8.0808080808080815E-2"/>
    <x v="0"/>
    <x v="447"/>
    <x v="0"/>
  </r>
  <r>
    <x v="473"/>
    <x v="57"/>
    <x v="4"/>
    <x v="1"/>
    <x v="11"/>
    <n v="165"/>
    <n v="0"/>
    <n v="165"/>
    <n v="1998"/>
    <x v="0"/>
    <n v="0"/>
    <x v="2"/>
    <x v="448"/>
    <x v="0"/>
  </r>
  <r>
    <x v="474"/>
    <x v="37"/>
    <x v="4"/>
    <x v="3"/>
    <x v="188"/>
    <n v="143"/>
    <n v="46"/>
    <n v="97"/>
    <n v="165"/>
    <x v="0"/>
    <n v="0.32167832167832167"/>
    <x v="0"/>
    <x v="449"/>
    <x v="0"/>
  </r>
  <r>
    <x v="475"/>
    <x v="67"/>
    <x v="1"/>
    <x v="0"/>
    <x v="11"/>
    <n v="283"/>
    <n v="5"/>
    <n v="283"/>
    <n v="2455"/>
    <x v="0"/>
    <n v="1.7667844522968199E-2"/>
    <x v="0"/>
    <x v="450"/>
    <x v="0"/>
  </r>
  <r>
    <x v="476"/>
    <x v="63"/>
    <x v="2"/>
    <x v="3"/>
    <x v="135"/>
    <n v="435"/>
    <n v="422"/>
    <n v="13"/>
    <n v="771"/>
    <x v="1"/>
    <n v="0.97011494252873565"/>
    <x v="1"/>
    <x v="451"/>
    <x v="1"/>
  </r>
  <r>
    <x v="477"/>
    <x v="41"/>
    <x v="3"/>
    <x v="1"/>
    <x v="96"/>
    <n v="458"/>
    <n v="24"/>
    <n v="434"/>
    <n v="2168"/>
    <x v="0"/>
    <n v="5.2401746724890827E-2"/>
    <x v="0"/>
    <x v="452"/>
    <x v="0"/>
  </r>
  <r>
    <x v="478"/>
    <x v="67"/>
    <x v="1"/>
    <x v="2"/>
    <x v="11"/>
    <n v="193"/>
    <n v="0"/>
    <n v="193"/>
    <n v="1417"/>
    <x v="0"/>
    <n v="0"/>
    <x v="2"/>
    <x v="453"/>
    <x v="0"/>
  </r>
  <r>
    <x v="479"/>
    <x v="23"/>
    <x v="1"/>
    <x v="3"/>
    <x v="11"/>
    <n v="210"/>
    <n v="0"/>
    <n v="210"/>
    <n v="1347"/>
    <x v="0"/>
    <n v="0"/>
    <x v="2"/>
    <x v="454"/>
    <x v="0"/>
  </r>
  <r>
    <x v="480"/>
    <x v="1"/>
    <x v="0"/>
    <x v="3"/>
    <x v="189"/>
    <n v="132"/>
    <n v="108"/>
    <n v="24"/>
    <n v="2303"/>
    <x v="1"/>
    <n v="0.81818181818181823"/>
    <x v="1"/>
    <x v="455"/>
    <x v="1"/>
  </r>
  <r>
    <x v="481"/>
    <x v="66"/>
    <x v="3"/>
    <x v="2"/>
    <x v="11"/>
    <n v="389"/>
    <n v="0"/>
    <n v="389"/>
    <m/>
    <x v="0"/>
    <n v="0"/>
    <x v="2"/>
    <x v="7"/>
    <x v="0"/>
  </r>
  <r>
    <x v="482"/>
    <x v="71"/>
    <x v="0"/>
    <x v="2"/>
    <x v="175"/>
    <n v="488"/>
    <n v="349"/>
    <n v="139"/>
    <n v="61"/>
    <x v="0"/>
    <n v="0.7151639344262295"/>
    <x v="1"/>
    <x v="456"/>
    <x v="2"/>
  </r>
  <r>
    <x v="483"/>
    <x v="26"/>
    <x v="3"/>
    <x v="3"/>
    <x v="190"/>
    <n v="237"/>
    <n v="201"/>
    <n v="36"/>
    <n v="949"/>
    <x v="1"/>
    <n v="0.84810126582278478"/>
    <x v="1"/>
    <x v="457"/>
    <x v="1"/>
  </r>
  <r>
    <x v="484"/>
    <x v="8"/>
    <x v="4"/>
    <x v="2"/>
    <x v="166"/>
    <n v="170"/>
    <n v="33"/>
    <n v="142"/>
    <n v="221"/>
    <x v="0"/>
    <n v="0.19411764705882353"/>
    <x v="0"/>
    <x v="458"/>
    <x v="0"/>
  </r>
  <r>
    <x v="485"/>
    <x v="25"/>
    <x v="0"/>
    <x v="3"/>
    <x v="91"/>
    <n v="209"/>
    <n v="66"/>
    <m/>
    <n v="2732"/>
    <x v="0"/>
    <n v="0.31578947368421051"/>
    <x v="0"/>
    <x v="7"/>
    <x v="0"/>
  </r>
  <r>
    <x v="486"/>
    <x v="10"/>
    <x v="4"/>
    <x v="3"/>
    <x v="191"/>
    <n v="140"/>
    <n v="139"/>
    <n v="1"/>
    <n v="916"/>
    <x v="1"/>
    <n v="0.99285714285714288"/>
    <x v="1"/>
    <x v="459"/>
    <x v="1"/>
  </r>
  <r>
    <x v="487"/>
    <x v="15"/>
    <x v="4"/>
    <x v="0"/>
    <x v="192"/>
    <n v="410"/>
    <n v="377"/>
    <n v="33"/>
    <n v="1805"/>
    <x v="1"/>
    <n v="0.91951219512195126"/>
    <x v="1"/>
    <x v="460"/>
    <x v="1"/>
  </r>
  <r>
    <x v="488"/>
    <x v="62"/>
    <x v="4"/>
    <x v="3"/>
    <x v="11"/>
    <n v="423"/>
    <n v="0"/>
    <n v="423"/>
    <n v="2197"/>
    <x v="0"/>
    <n v="0"/>
    <x v="2"/>
    <x v="461"/>
    <x v="0"/>
  </r>
  <r>
    <x v="489"/>
    <x v="64"/>
    <x v="3"/>
    <x v="3"/>
    <x v="191"/>
    <n v="309"/>
    <n v="286"/>
    <n v="23"/>
    <n v="1156"/>
    <x v="1"/>
    <n v="0.92556634304207119"/>
    <x v="1"/>
    <x v="462"/>
    <x v="1"/>
  </r>
  <r>
    <x v="490"/>
    <x v="25"/>
    <x v="0"/>
    <x v="2"/>
    <x v="7"/>
    <n v="283"/>
    <n v="101"/>
    <n v="182"/>
    <n v="199"/>
    <x v="0"/>
    <n v="0.35689045936395758"/>
    <x v="0"/>
    <x v="463"/>
    <x v="0"/>
  </r>
  <r>
    <x v="491"/>
    <x v="17"/>
    <x v="3"/>
    <x v="3"/>
    <x v="183"/>
    <n v="431"/>
    <n v="46"/>
    <n v="385"/>
    <n v="121"/>
    <x v="0"/>
    <n v="0.10672853828306264"/>
    <x v="0"/>
    <x v="464"/>
    <x v="0"/>
  </r>
  <r>
    <x v="492"/>
    <x v="55"/>
    <x v="1"/>
    <x v="3"/>
    <x v="193"/>
    <n v="273"/>
    <n v="192"/>
    <n v="81"/>
    <n v="617"/>
    <x v="0"/>
    <n v="0.70329670329670335"/>
    <x v="1"/>
    <x v="465"/>
    <x v="2"/>
  </r>
  <r>
    <x v="493"/>
    <x v="5"/>
    <x v="3"/>
    <x v="2"/>
    <x v="174"/>
    <n v="393"/>
    <n v="290"/>
    <m/>
    <n v="435"/>
    <x v="0"/>
    <n v="0.7379134860050891"/>
    <x v="1"/>
    <x v="7"/>
    <x v="2"/>
  </r>
  <r>
    <x v="494"/>
    <x v="69"/>
    <x v="3"/>
    <x v="1"/>
    <x v="39"/>
    <n v="178"/>
    <n v="69"/>
    <n v="109"/>
    <m/>
    <x v="0"/>
    <n v="0.38764044943820225"/>
    <x v="0"/>
    <x v="7"/>
    <x v="0"/>
  </r>
  <r>
    <x v="495"/>
    <x v="51"/>
    <x v="4"/>
    <x v="0"/>
    <x v="11"/>
    <n v="212"/>
    <n v="0"/>
    <n v="212"/>
    <n v="1752"/>
    <x v="0"/>
    <n v="0"/>
    <x v="2"/>
    <x v="466"/>
    <x v="0"/>
  </r>
  <r>
    <x v="496"/>
    <x v="18"/>
    <x v="2"/>
    <x v="1"/>
    <x v="8"/>
    <n v="290"/>
    <n v="24"/>
    <n v="266"/>
    <n v="1760"/>
    <x v="0"/>
    <n v="8.2758620689655171E-2"/>
    <x v="0"/>
    <x v="467"/>
    <x v="0"/>
  </r>
  <r>
    <x v="497"/>
    <x v="70"/>
    <x v="0"/>
    <x v="2"/>
    <x v="11"/>
    <n v="251"/>
    <n v="0"/>
    <n v="251"/>
    <n v="586"/>
    <x v="0"/>
    <n v="0"/>
    <x v="2"/>
    <x v="468"/>
    <x v="0"/>
  </r>
  <r>
    <x v="498"/>
    <x v="51"/>
    <x v="4"/>
    <x v="0"/>
    <x v="126"/>
    <n v="168"/>
    <n v="141"/>
    <n v="27"/>
    <n v="551"/>
    <x v="1"/>
    <n v="0.8392857142857143"/>
    <x v="1"/>
    <x v="469"/>
    <x v="1"/>
  </r>
  <r>
    <x v="499"/>
    <x v="16"/>
    <x v="4"/>
    <x v="3"/>
    <x v="36"/>
    <n v="261"/>
    <n v="255"/>
    <n v="6"/>
    <n v="675"/>
    <x v="1"/>
    <n v="0.97701149425287359"/>
    <x v="1"/>
    <x v="470"/>
    <x v="1"/>
  </r>
  <r>
    <x v="500"/>
    <x v="64"/>
    <x v="3"/>
    <x v="0"/>
    <x v="194"/>
    <n v="241"/>
    <n v="22"/>
    <n v="219"/>
    <n v="545"/>
    <x v="0"/>
    <n v="9.1286307053941904E-2"/>
    <x v="0"/>
    <x v="471"/>
    <x v="0"/>
  </r>
  <r>
    <x v="501"/>
    <x v="7"/>
    <x v="1"/>
    <x v="1"/>
    <x v="126"/>
    <n v="271"/>
    <n v="189"/>
    <n v="82"/>
    <n v="691"/>
    <x v="0"/>
    <n v="0.69741697416974169"/>
    <x v="1"/>
    <x v="472"/>
    <x v="2"/>
  </r>
  <r>
    <x v="502"/>
    <x v="61"/>
    <x v="3"/>
    <x v="1"/>
    <x v="191"/>
    <n v="221"/>
    <n v="54"/>
    <n v="167"/>
    <n v="702"/>
    <x v="0"/>
    <n v="0.24434389140271492"/>
    <x v="0"/>
    <x v="473"/>
    <x v="0"/>
  </r>
  <r>
    <x v="503"/>
    <x v="15"/>
    <x v="4"/>
    <x v="0"/>
    <x v="78"/>
    <n v="216"/>
    <n v="26"/>
    <n v="190"/>
    <n v="1588"/>
    <x v="0"/>
    <n v="0.12037037037037036"/>
    <x v="0"/>
    <x v="474"/>
    <x v="0"/>
  </r>
  <r>
    <x v="504"/>
    <x v="38"/>
    <x v="4"/>
    <x v="1"/>
    <x v="11"/>
    <n v="385"/>
    <n v="0"/>
    <n v="385"/>
    <n v="790"/>
    <x v="2"/>
    <n v="0"/>
    <x v="2"/>
    <x v="475"/>
    <x v="2"/>
  </r>
  <r>
    <x v="505"/>
    <x v="43"/>
    <x v="5"/>
    <x v="3"/>
    <x v="195"/>
    <n v="481"/>
    <n v="122"/>
    <n v="359"/>
    <n v="2947"/>
    <x v="0"/>
    <n v="0.25363825363825365"/>
    <x v="0"/>
    <x v="476"/>
    <x v="0"/>
  </r>
  <r>
    <x v="506"/>
    <x v="62"/>
    <x v="4"/>
    <x v="2"/>
    <x v="157"/>
    <m/>
    <n v="17"/>
    <n v="51"/>
    <n v="245"/>
    <x v="1"/>
    <s v=""/>
    <x v="3"/>
    <x v="477"/>
    <x v="2"/>
  </r>
  <r>
    <x v="507"/>
    <x v="71"/>
    <x v="0"/>
    <x v="3"/>
    <x v="11"/>
    <n v="235"/>
    <n v="0"/>
    <n v="235"/>
    <n v="334"/>
    <x v="0"/>
    <n v="0"/>
    <x v="2"/>
    <x v="478"/>
    <x v="0"/>
  </r>
  <r>
    <x v="508"/>
    <x v="2"/>
    <x v="1"/>
    <x v="1"/>
    <x v="158"/>
    <n v="163"/>
    <n v="135"/>
    <n v="28"/>
    <m/>
    <x v="1"/>
    <n v="0.82822085889570551"/>
    <x v="1"/>
    <x v="7"/>
    <x v="1"/>
  </r>
  <r>
    <x v="509"/>
    <x v="66"/>
    <x v="3"/>
    <x v="0"/>
    <x v="116"/>
    <n v="468"/>
    <n v="81"/>
    <n v="387"/>
    <n v="2706"/>
    <x v="0"/>
    <n v="0.17307692307692307"/>
    <x v="0"/>
    <x v="479"/>
    <x v="0"/>
  </r>
  <r>
    <x v="510"/>
    <x v="24"/>
    <x v="4"/>
    <x v="0"/>
    <x v="11"/>
    <n v="215"/>
    <n v="0"/>
    <n v="215"/>
    <n v="1627"/>
    <x v="0"/>
    <n v="0"/>
    <x v="2"/>
    <x v="480"/>
    <x v="0"/>
  </r>
  <r>
    <x v="511"/>
    <x v="42"/>
    <x v="0"/>
    <x v="2"/>
    <x v="11"/>
    <n v="494"/>
    <n v="0"/>
    <n v="494"/>
    <n v="2520"/>
    <x v="0"/>
    <n v="0"/>
    <x v="2"/>
    <x v="481"/>
    <x v="0"/>
  </r>
  <r>
    <x v="512"/>
    <x v="31"/>
    <x v="1"/>
    <x v="1"/>
    <x v="65"/>
    <n v="358"/>
    <n v="25"/>
    <n v="333"/>
    <n v="1997"/>
    <x v="0"/>
    <n v="6.9832402234636867E-2"/>
    <x v="0"/>
    <x v="482"/>
    <x v="0"/>
  </r>
  <r>
    <x v="513"/>
    <x v="45"/>
    <x v="3"/>
    <x v="1"/>
    <x v="11"/>
    <n v="378"/>
    <n v="0"/>
    <n v="378"/>
    <n v="846"/>
    <x v="0"/>
    <n v="0"/>
    <x v="2"/>
    <x v="483"/>
    <x v="0"/>
  </r>
  <r>
    <x v="514"/>
    <x v="46"/>
    <x v="3"/>
    <x v="3"/>
    <x v="124"/>
    <n v="328"/>
    <n v="130"/>
    <n v="198"/>
    <m/>
    <x v="0"/>
    <n v="0.39634146341463417"/>
    <x v="0"/>
    <x v="7"/>
    <x v="0"/>
  </r>
  <r>
    <x v="515"/>
    <x v="24"/>
    <x v="4"/>
    <x v="3"/>
    <x v="196"/>
    <n v="58"/>
    <n v="52"/>
    <n v="6"/>
    <n v="2889"/>
    <x v="1"/>
    <n v="0.89655172413793105"/>
    <x v="1"/>
    <x v="484"/>
    <x v="1"/>
  </r>
  <r>
    <x v="516"/>
    <x v="20"/>
    <x v="2"/>
    <x v="0"/>
    <x v="197"/>
    <n v="80"/>
    <n v="18"/>
    <n v="62"/>
    <n v="2855"/>
    <x v="0"/>
    <n v="0.22500000000000001"/>
    <x v="0"/>
    <x v="485"/>
    <x v="0"/>
  </r>
  <r>
    <x v="517"/>
    <x v="3"/>
    <x v="2"/>
    <x v="3"/>
    <x v="198"/>
    <n v="453"/>
    <n v="159"/>
    <n v="294"/>
    <n v="894"/>
    <x v="2"/>
    <n v="0.35099337748344372"/>
    <x v="0"/>
    <x v="486"/>
    <x v="2"/>
  </r>
  <r>
    <x v="518"/>
    <x v="38"/>
    <x v="4"/>
    <x v="0"/>
    <x v="199"/>
    <n v="331"/>
    <n v="34"/>
    <n v="297"/>
    <n v="1833"/>
    <x v="0"/>
    <n v="0.1027190332326284"/>
    <x v="0"/>
    <x v="487"/>
    <x v="0"/>
  </r>
  <r>
    <x v="519"/>
    <x v="55"/>
    <x v="1"/>
    <x v="3"/>
    <x v="48"/>
    <n v="136"/>
    <n v="117"/>
    <n v="19"/>
    <n v="284"/>
    <x v="1"/>
    <n v="0.86029411764705888"/>
    <x v="1"/>
    <x v="488"/>
    <x v="1"/>
  </r>
  <r>
    <x v="520"/>
    <x v="63"/>
    <x v="2"/>
    <x v="0"/>
    <x v="11"/>
    <n v="138"/>
    <n v="0"/>
    <n v="138"/>
    <n v="2448"/>
    <x v="0"/>
    <n v="0"/>
    <x v="2"/>
    <x v="489"/>
    <x v="0"/>
  </r>
  <r>
    <x v="521"/>
    <x v="35"/>
    <x v="2"/>
    <x v="2"/>
    <x v="11"/>
    <n v="449"/>
    <n v="0"/>
    <n v="449"/>
    <n v="2664"/>
    <x v="0"/>
    <n v="0"/>
    <x v="2"/>
    <x v="490"/>
    <x v="0"/>
  </r>
  <r>
    <x v="522"/>
    <x v="60"/>
    <x v="2"/>
    <x v="2"/>
    <x v="200"/>
    <n v="175"/>
    <n v="61"/>
    <n v="114"/>
    <n v="1371"/>
    <x v="0"/>
    <n v="0.34857142857142859"/>
    <x v="0"/>
    <x v="491"/>
    <x v="0"/>
  </r>
  <r>
    <x v="523"/>
    <x v="49"/>
    <x v="4"/>
    <x v="2"/>
    <x v="11"/>
    <n v="76"/>
    <n v="0"/>
    <n v="76"/>
    <m/>
    <x v="0"/>
    <n v="0"/>
    <x v="2"/>
    <x v="7"/>
    <x v="0"/>
  </r>
  <r>
    <x v="524"/>
    <x v="41"/>
    <x v="3"/>
    <x v="1"/>
    <x v="11"/>
    <n v="497"/>
    <n v="0"/>
    <n v="497"/>
    <n v="2944"/>
    <x v="0"/>
    <n v="0"/>
    <x v="2"/>
    <x v="492"/>
    <x v="0"/>
  </r>
  <r>
    <x v="525"/>
    <x v="19"/>
    <x v="4"/>
    <x v="1"/>
    <x v="11"/>
    <n v="253"/>
    <n v="0"/>
    <n v="253"/>
    <n v="335"/>
    <x v="0"/>
    <n v="0"/>
    <x v="2"/>
    <x v="493"/>
    <x v="0"/>
  </r>
  <r>
    <x v="526"/>
    <x v="60"/>
    <x v="2"/>
    <x v="2"/>
    <x v="201"/>
    <n v="163"/>
    <n v="114"/>
    <m/>
    <n v="2944"/>
    <x v="1"/>
    <n v="0.69938650306748462"/>
    <x v="1"/>
    <x v="7"/>
    <x v="1"/>
  </r>
  <r>
    <x v="527"/>
    <x v="69"/>
    <x v="3"/>
    <x v="2"/>
    <x v="11"/>
    <n v="404"/>
    <n v="0"/>
    <n v="404"/>
    <n v="306"/>
    <x v="0"/>
    <n v="0"/>
    <x v="2"/>
    <x v="494"/>
    <x v="0"/>
  </r>
  <r>
    <x v="528"/>
    <x v="7"/>
    <x v="1"/>
    <x v="0"/>
    <x v="160"/>
    <n v="317"/>
    <n v="49"/>
    <n v="268"/>
    <n v="2885"/>
    <x v="0"/>
    <n v="0.15457413249211358"/>
    <x v="0"/>
    <x v="495"/>
    <x v="0"/>
  </r>
  <r>
    <x v="529"/>
    <x v="18"/>
    <x v="2"/>
    <x v="2"/>
    <x v="28"/>
    <n v="151"/>
    <n v="50"/>
    <n v="101"/>
    <n v="527"/>
    <x v="0"/>
    <n v="0.33112582781456956"/>
    <x v="0"/>
    <x v="496"/>
    <x v="0"/>
  </r>
  <r>
    <x v="530"/>
    <x v="62"/>
    <x v="4"/>
    <x v="1"/>
    <x v="111"/>
    <m/>
    <n v="275"/>
    <n v="65"/>
    <n v="1889"/>
    <x v="0"/>
    <s v=""/>
    <x v="3"/>
    <x v="497"/>
    <x v="2"/>
  </r>
  <r>
    <x v="531"/>
    <x v="67"/>
    <x v="1"/>
    <x v="1"/>
    <x v="11"/>
    <n v="92"/>
    <n v="0"/>
    <n v="92"/>
    <n v="2641"/>
    <x v="0"/>
    <n v="0"/>
    <x v="2"/>
    <x v="498"/>
    <x v="0"/>
  </r>
  <r>
    <x v="532"/>
    <x v="52"/>
    <x v="3"/>
    <x v="0"/>
    <x v="11"/>
    <n v="392"/>
    <n v="0"/>
    <n v="392"/>
    <n v="2963"/>
    <x v="0"/>
    <n v="0"/>
    <x v="2"/>
    <x v="499"/>
    <x v="0"/>
  </r>
  <r>
    <x v="533"/>
    <x v="72"/>
    <x v="3"/>
    <x v="0"/>
    <x v="202"/>
    <n v="130"/>
    <m/>
    <n v="104"/>
    <n v="2784"/>
    <x v="0"/>
    <s v=""/>
    <x v="3"/>
    <x v="500"/>
    <x v="2"/>
  </r>
  <r>
    <x v="534"/>
    <x v="4"/>
    <x v="1"/>
    <x v="2"/>
    <x v="11"/>
    <n v="353"/>
    <n v="0"/>
    <n v="353"/>
    <n v="165"/>
    <x v="0"/>
    <n v="0"/>
    <x v="2"/>
    <x v="501"/>
    <x v="0"/>
  </r>
  <r>
    <x v="535"/>
    <x v="30"/>
    <x v="2"/>
    <x v="2"/>
    <x v="11"/>
    <n v="250"/>
    <n v="0"/>
    <n v="250"/>
    <n v="516"/>
    <x v="0"/>
    <n v="0"/>
    <x v="2"/>
    <x v="502"/>
    <x v="0"/>
  </r>
  <r>
    <x v="536"/>
    <x v="52"/>
    <x v="3"/>
    <x v="0"/>
    <x v="111"/>
    <n v="371"/>
    <n v="72"/>
    <n v="299"/>
    <n v="1128"/>
    <x v="0"/>
    <n v="0.19407008086253369"/>
    <x v="0"/>
    <x v="503"/>
    <x v="0"/>
  </r>
  <r>
    <x v="537"/>
    <x v="8"/>
    <x v="4"/>
    <x v="3"/>
    <x v="203"/>
    <n v="115"/>
    <n v="108"/>
    <n v="7"/>
    <n v="2741"/>
    <x v="1"/>
    <n v="0.93913043478260871"/>
    <x v="1"/>
    <x v="504"/>
    <x v="1"/>
  </r>
  <r>
    <x v="538"/>
    <x v="65"/>
    <x v="0"/>
    <x v="2"/>
    <x v="11"/>
    <n v="364"/>
    <n v="0"/>
    <n v="364"/>
    <n v="1461"/>
    <x v="0"/>
    <n v="0"/>
    <x v="2"/>
    <x v="505"/>
    <x v="0"/>
  </r>
  <r>
    <x v="539"/>
    <x v="7"/>
    <x v="1"/>
    <x v="0"/>
    <x v="11"/>
    <n v="366"/>
    <n v="0"/>
    <n v="366"/>
    <n v="77"/>
    <x v="0"/>
    <n v="0"/>
    <x v="2"/>
    <x v="506"/>
    <x v="0"/>
  </r>
  <r>
    <x v="540"/>
    <x v="63"/>
    <x v="2"/>
    <x v="1"/>
    <x v="11"/>
    <n v="250"/>
    <n v="0"/>
    <n v="250"/>
    <n v="537"/>
    <x v="0"/>
    <n v="0"/>
    <x v="2"/>
    <x v="507"/>
    <x v="0"/>
  </r>
  <r>
    <x v="541"/>
    <x v="35"/>
    <x v="2"/>
    <x v="0"/>
    <x v="204"/>
    <n v="160"/>
    <n v="40"/>
    <n v="120"/>
    <n v="2637"/>
    <x v="0"/>
    <n v="0.25"/>
    <x v="0"/>
    <x v="508"/>
    <x v="0"/>
  </r>
  <r>
    <x v="542"/>
    <x v="70"/>
    <x v="5"/>
    <x v="1"/>
    <x v="205"/>
    <n v="175"/>
    <n v="14"/>
    <n v="161"/>
    <n v="890"/>
    <x v="0"/>
    <n v="0.08"/>
    <x v="0"/>
    <x v="509"/>
    <x v="0"/>
  </r>
  <r>
    <x v="543"/>
    <x v="16"/>
    <x v="4"/>
    <x v="0"/>
    <x v="206"/>
    <n v="264"/>
    <n v="254"/>
    <n v="10"/>
    <n v="2638"/>
    <x v="1"/>
    <n v="0.96212121212121215"/>
    <x v="1"/>
    <x v="510"/>
    <x v="1"/>
  </r>
  <r>
    <x v="544"/>
    <x v="74"/>
    <x v="2"/>
    <x v="1"/>
    <x v="207"/>
    <n v="359"/>
    <n v="359"/>
    <n v="5"/>
    <n v="1521"/>
    <x v="1"/>
    <n v="1"/>
    <x v="1"/>
    <x v="511"/>
    <x v="1"/>
  </r>
  <r>
    <x v="545"/>
    <x v="47"/>
    <x v="0"/>
    <x v="3"/>
    <x v="11"/>
    <n v="317"/>
    <n v="0"/>
    <n v="317"/>
    <n v="772"/>
    <x v="0"/>
    <n v="0"/>
    <x v="2"/>
    <x v="512"/>
    <x v="0"/>
  </r>
  <r>
    <x v="546"/>
    <x v="74"/>
    <x v="2"/>
    <x v="0"/>
    <x v="196"/>
    <n v="203"/>
    <n v="67"/>
    <n v="136"/>
    <n v="324"/>
    <x v="0"/>
    <n v="0.33004926108374383"/>
    <x v="0"/>
    <x v="513"/>
    <x v="0"/>
  </r>
  <r>
    <x v="547"/>
    <x v="28"/>
    <x v="0"/>
    <x v="0"/>
    <x v="122"/>
    <n v="292"/>
    <n v="241"/>
    <n v="51"/>
    <n v="1997"/>
    <x v="1"/>
    <n v="0.82534246575342463"/>
    <x v="1"/>
    <x v="514"/>
    <x v="1"/>
  </r>
  <r>
    <x v="548"/>
    <x v="47"/>
    <x v="0"/>
    <x v="1"/>
    <x v="107"/>
    <n v="442"/>
    <n v="318"/>
    <n v="129"/>
    <n v="2283"/>
    <x v="0"/>
    <n v="0.71945701357466063"/>
    <x v="1"/>
    <x v="515"/>
    <x v="2"/>
  </r>
  <r>
    <x v="549"/>
    <x v="44"/>
    <x v="0"/>
    <x v="2"/>
    <x v="208"/>
    <n v="89"/>
    <n v="24"/>
    <n v="65"/>
    <n v="633"/>
    <x v="0"/>
    <n v="0.2696629213483146"/>
    <x v="0"/>
    <x v="516"/>
    <x v="0"/>
  </r>
  <r>
    <x v="550"/>
    <x v="64"/>
    <x v="3"/>
    <x v="2"/>
    <x v="209"/>
    <n v="55"/>
    <n v="9"/>
    <n v="46"/>
    <n v="1719"/>
    <x v="1"/>
    <n v="0.16363636363636364"/>
    <x v="0"/>
    <x v="517"/>
    <x v="2"/>
  </r>
  <r>
    <x v="551"/>
    <x v="30"/>
    <x v="2"/>
    <x v="3"/>
    <x v="74"/>
    <n v="193"/>
    <n v="176"/>
    <n v="17"/>
    <n v="2959"/>
    <x v="1"/>
    <n v="0.91191709844559588"/>
    <x v="1"/>
    <x v="518"/>
    <x v="1"/>
  </r>
  <r>
    <x v="552"/>
    <x v="19"/>
    <x v="4"/>
    <x v="2"/>
    <x v="187"/>
    <n v="478"/>
    <n v="92"/>
    <n v="386"/>
    <n v="1859"/>
    <x v="0"/>
    <n v="0.19246861924686193"/>
    <x v="0"/>
    <x v="519"/>
    <x v="0"/>
  </r>
  <r>
    <x v="553"/>
    <x v="29"/>
    <x v="1"/>
    <x v="1"/>
    <x v="53"/>
    <n v="392"/>
    <n v="43"/>
    <n v="349"/>
    <n v="2947"/>
    <x v="0"/>
    <n v="0.10969387755102041"/>
    <x v="0"/>
    <x v="520"/>
    <x v="0"/>
  </r>
  <r>
    <x v="554"/>
    <x v="44"/>
    <x v="0"/>
    <x v="1"/>
    <x v="123"/>
    <n v="258"/>
    <n v="211"/>
    <n v="47"/>
    <n v="2247"/>
    <x v="2"/>
    <n v="0.81782945736434109"/>
    <x v="1"/>
    <x v="521"/>
    <x v="2"/>
  </r>
  <r>
    <x v="555"/>
    <x v="36"/>
    <x v="3"/>
    <x v="0"/>
    <x v="210"/>
    <m/>
    <n v="50"/>
    <n v="297"/>
    <n v="2424"/>
    <x v="0"/>
    <s v=""/>
    <x v="3"/>
    <x v="522"/>
    <x v="2"/>
  </r>
  <r>
    <x v="556"/>
    <x v="71"/>
    <x v="0"/>
    <x v="2"/>
    <x v="135"/>
    <n v="390"/>
    <n v="347"/>
    <n v="43"/>
    <n v="150"/>
    <x v="1"/>
    <n v="0.88974358974358969"/>
    <x v="1"/>
    <x v="523"/>
    <x v="1"/>
  </r>
  <r>
    <x v="557"/>
    <x v="67"/>
    <x v="1"/>
    <x v="0"/>
    <x v="108"/>
    <n v="229"/>
    <n v="79"/>
    <n v="150"/>
    <n v="2785"/>
    <x v="0"/>
    <n v="0.34497816593886466"/>
    <x v="0"/>
    <x v="524"/>
    <x v="0"/>
  </r>
  <r>
    <x v="558"/>
    <x v="25"/>
    <x v="0"/>
    <x v="1"/>
    <x v="95"/>
    <n v="289"/>
    <n v="221"/>
    <n v="68"/>
    <m/>
    <x v="0"/>
    <n v="0.76470588235294112"/>
    <x v="1"/>
    <x v="7"/>
    <x v="2"/>
  </r>
  <r>
    <x v="559"/>
    <x v="65"/>
    <x v="0"/>
    <x v="3"/>
    <x v="182"/>
    <n v="374"/>
    <n v="323"/>
    <n v="51"/>
    <n v="520"/>
    <x v="1"/>
    <n v="0.86363636363636365"/>
    <x v="1"/>
    <x v="525"/>
    <x v="1"/>
  </r>
  <r>
    <x v="560"/>
    <x v="24"/>
    <x v="4"/>
    <x v="0"/>
    <x v="211"/>
    <n v="194"/>
    <n v="45"/>
    <n v="149"/>
    <n v="2098"/>
    <x v="0"/>
    <n v="0.23195876288659795"/>
    <x v="0"/>
    <x v="526"/>
    <x v="0"/>
  </r>
  <r>
    <x v="561"/>
    <x v="37"/>
    <x v="4"/>
    <x v="0"/>
    <x v="174"/>
    <n v="51"/>
    <n v="48"/>
    <n v="3"/>
    <n v="1892"/>
    <x v="2"/>
    <n v="0.94117647058823528"/>
    <x v="1"/>
    <x v="527"/>
    <x v="2"/>
  </r>
  <r>
    <x v="562"/>
    <x v="31"/>
    <x v="1"/>
    <x v="0"/>
    <x v="212"/>
    <n v="253"/>
    <n v="250"/>
    <n v="3"/>
    <n v="74"/>
    <x v="1"/>
    <n v="0.98814229249011853"/>
    <x v="1"/>
    <x v="528"/>
    <x v="1"/>
  </r>
  <r>
    <x v="563"/>
    <x v="23"/>
    <x v="1"/>
    <x v="3"/>
    <x v="213"/>
    <n v="302"/>
    <n v="21"/>
    <n v="281"/>
    <n v="2375"/>
    <x v="0"/>
    <n v="6.9536423841059597E-2"/>
    <x v="0"/>
    <x v="529"/>
    <x v="0"/>
  </r>
  <r>
    <x v="564"/>
    <x v="20"/>
    <x v="2"/>
    <x v="3"/>
    <x v="33"/>
    <n v="369"/>
    <n v="56"/>
    <n v="318"/>
    <n v="2384"/>
    <x v="0"/>
    <n v="0.15176151761517614"/>
    <x v="0"/>
    <x v="530"/>
    <x v="0"/>
  </r>
  <r>
    <x v="565"/>
    <x v="25"/>
    <x v="0"/>
    <x v="3"/>
    <x v="214"/>
    <n v="80"/>
    <n v="71"/>
    <n v="9"/>
    <n v="1789"/>
    <x v="1"/>
    <n v="0.88749999999999996"/>
    <x v="1"/>
    <x v="531"/>
    <x v="1"/>
  </r>
  <r>
    <x v="566"/>
    <x v="25"/>
    <x v="0"/>
    <x v="0"/>
    <x v="167"/>
    <n v="65"/>
    <n v="55"/>
    <n v="10"/>
    <n v="2561"/>
    <x v="2"/>
    <n v="0.84615384615384615"/>
    <x v="1"/>
    <x v="532"/>
    <x v="2"/>
  </r>
  <r>
    <x v="567"/>
    <x v="39"/>
    <x v="2"/>
    <x v="0"/>
    <x v="11"/>
    <n v="297"/>
    <n v="0"/>
    <n v="297"/>
    <n v="419"/>
    <x v="0"/>
    <n v="0"/>
    <x v="2"/>
    <x v="533"/>
    <x v="0"/>
  </r>
  <r>
    <x v="568"/>
    <x v="22"/>
    <x v="1"/>
    <x v="1"/>
    <x v="2"/>
    <n v="226"/>
    <n v="82"/>
    <n v="144"/>
    <n v="2383"/>
    <x v="0"/>
    <n v="0.36283185840707965"/>
    <x v="0"/>
    <x v="534"/>
    <x v="0"/>
  </r>
  <r>
    <x v="569"/>
    <x v="2"/>
    <x v="1"/>
    <x v="1"/>
    <x v="215"/>
    <n v="356"/>
    <n v="124"/>
    <n v="232"/>
    <n v="1170"/>
    <x v="0"/>
    <n v="0.34831460674157305"/>
    <x v="0"/>
    <x v="535"/>
    <x v="0"/>
  </r>
  <r>
    <x v="570"/>
    <x v="64"/>
    <x v="3"/>
    <x v="0"/>
    <x v="117"/>
    <n v="132"/>
    <n v="25"/>
    <n v="107"/>
    <n v="1281"/>
    <x v="0"/>
    <n v="0.18939393939393939"/>
    <x v="0"/>
    <x v="536"/>
    <x v="0"/>
  </r>
  <r>
    <x v="571"/>
    <x v="66"/>
    <x v="3"/>
    <x v="0"/>
    <x v="122"/>
    <n v="186"/>
    <n v="143"/>
    <n v="43"/>
    <n v="2084"/>
    <x v="1"/>
    <n v="0.76881720430107525"/>
    <x v="1"/>
    <x v="537"/>
    <x v="1"/>
  </r>
  <r>
    <x v="572"/>
    <x v="38"/>
    <x v="4"/>
    <x v="1"/>
    <x v="216"/>
    <n v="409"/>
    <n v="347"/>
    <n v="62"/>
    <n v="741"/>
    <x v="0"/>
    <n v="0.84841075794621024"/>
    <x v="1"/>
    <x v="538"/>
    <x v="2"/>
  </r>
  <r>
    <x v="573"/>
    <x v="60"/>
    <x v="2"/>
    <x v="3"/>
    <x v="11"/>
    <n v="473"/>
    <n v="0"/>
    <n v="473"/>
    <n v="2034"/>
    <x v="0"/>
    <n v="0"/>
    <x v="2"/>
    <x v="539"/>
    <x v="0"/>
  </r>
  <r>
    <x v="574"/>
    <x v="68"/>
    <x v="0"/>
    <x v="3"/>
    <x v="11"/>
    <n v="100"/>
    <n v="0"/>
    <n v="100"/>
    <n v="2894"/>
    <x v="0"/>
    <n v="0"/>
    <x v="2"/>
    <x v="540"/>
    <x v="0"/>
  </r>
  <r>
    <x v="575"/>
    <x v="41"/>
    <x v="3"/>
    <x v="3"/>
    <x v="150"/>
    <n v="413"/>
    <n v="94"/>
    <n v="319"/>
    <n v="835"/>
    <x v="0"/>
    <n v="0.22760290556900725"/>
    <x v="0"/>
    <x v="541"/>
    <x v="0"/>
  </r>
  <r>
    <x v="576"/>
    <x v="51"/>
    <x v="4"/>
    <x v="0"/>
    <x v="56"/>
    <n v="117"/>
    <n v="25"/>
    <n v="92"/>
    <n v="1069"/>
    <x v="0"/>
    <n v="0.21367521367521367"/>
    <x v="0"/>
    <x v="542"/>
    <x v="0"/>
  </r>
  <r>
    <x v="577"/>
    <x v="36"/>
    <x v="3"/>
    <x v="0"/>
    <x v="73"/>
    <n v="189"/>
    <n v="14"/>
    <n v="175"/>
    <n v="709"/>
    <x v="0"/>
    <n v="7.407407407407407E-2"/>
    <x v="0"/>
    <x v="543"/>
    <x v="0"/>
  </r>
  <r>
    <x v="578"/>
    <x v="46"/>
    <x v="3"/>
    <x v="2"/>
    <x v="217"/>
    <n v="250"/>
    <n v="49"/>
    <n v="201"/>
    <n v="148"/>
    <x v="0"/>
    <n v="0.19600000000000001"/>
    <x v="0"/>
    <x v="544"/>
    <x v="0"/>
  </r>
  <r>
    <x v="579"/>
    <x v="7"/>
    <x v="1"/>
    <x v="2"/>
    <x v="218"/>
    <n v="400"/>
    <n v="356"/>
    <n v="44"/>
    <n v="2170"/>
    <x v="1"/>
    <n v="0.89"/>
    <x v="1"/>
    <x v="545"/>
    <x v="1"/>
  </r>
  <r>
    <x v="580"/>
    <x v="47"/>
    <x v="0"/>
    <x v="2"/>
    <x v="11"/>
    <n v="254"/>
    <n v="0"/>
    <n v="254"/>
    <n v="219"/>
    <x v="0"/>
    <n v="0"/>
    <x v="2"/>
    <x v="546"/>
    <x v="0"/>
  </r>
  <r>
    <x v="581"/>
    <x v="50"/>
    <x v="1"/>
    <x v="2"/>
    <x v="45"/>
    <n v="290"/>
    <n v="46"/>
    <n v="244"/>
    <n v="874"/>
    <x v="0"/>
    <n v="0.15862068965517243"/>
    <x v="0"/>
    <x v="547"/>
    <x v="0"/>
  </r>
  <r>
    <x v="582"/>
    <x v="27"/>
    <x v="0"/>
    <x v="3"/>
    <x v="19"/>
    <n v="75"/>
    <n v="59"/>
    <n v="16"/>
    <n v="2548"/>
    <x v="1"/>
    <n v="0.78666666666666663"/>
    <x v="1"/>
    <x v="548"/>
    <x v="1"/>
  </r>
  <r>
    <x v="583"/>
    <x v="23"/>
    <x v="1"/>
    <x v="0"/>
    <x v="219"/>
    <n v="377"/>
    <n v="110"/>
    <m/>
    <n v="2798"/>
    <x v="0"/>
    <n v="0.29177718832891247"/>
    <x v="0"/>
    <x v="7"/>
    <x v="0"/>
  </r>
  <r>
    <x v="584"/>
    <x v="64"/>
    <x v="3"/>
    <x v="0"/>
    <x v="11"/>
    <n v="64"/>
    <n v="0"/>
    <n v="64"/>
    <n v="169"/>
    <x v="2"/>
    <n v="0"/>
    <x v="2"/>
    <x v="549"/>
    <x v="2"/>
  </r>
  <r>
    <x v="585"/>
    <x v="4"/>
    <x v="1"/>
    <x v="1"/>
    <x v="11"/>
    <n v="128"/>
    <n v="0"/>
    <n v="128"/>
    <n v="590"/>
    <x v="2"/>
    <n v="0"/>
    <x v="2"/>
    <x v="550"/>
    <x v="2"/>
  </r>
  <r>
    <x v="586"/>
    <x v="32"/>
    <x v="1"/>
    <x v="2"/>
    <x v="210"/>
    <n v="152"/>
    <n v="50"/>
    <n v="102"/>
    <n v="342"/>
    <x v="0"/>
    <n v="0.32894736842105265"/>
    <x v="0"/>
    <x v="551"/>
    <x v="0"/>
  </r>
  <r>
    <x v="587"/>
    <x v="63"/>
    <x v="2"/>
    <x v="3"/>
    <x v="21"/>
    <n v="259"/>
    <n v="183"/>
    <n v="76"/>
    <n v="1500"/>
    <x v="0"/>
    <n v="0.70656370656370659"/>
    <x v="1"/>
    <x v="552"/>
    <x v="2"/>
  </r>
  <r>
    <x v="588"/>
    <x v="72"/>
    <x v="3"/>
    <x v="1"/>
    <x v="102"/>
    <n v="286"/>
    <n v="276"/>
    <n v="10"/>
    <n v="2479"/>
    <x v="1"/>
    <n v="0.965034965034965"/>
    <x v="1"/>
    <x v="553"/>
    <x v="1"/>
  </r>
  <r>
    <x v="589"/>
    <x v="5"/>
    <x v="3"/>
    <x v="3"/>
    <x v="11"/>
    <n v="319"/>
    <n v="0"/>
    <n v="319"/>
    <m/>
    <x v="0"/>
    <n v="0"/>
    <x v="2"/>
    <x v="7"/>
    <x v="0"/>
  </r>
  <r>
    <x v="590"/>
    <x v="46"/>
    <x v="3"/>
    <x v="1"/>
    <x v="67"/>
    <n v="257"/>
    <n v="216"/>
    <n v="41"/>
    <n v="1039"/>
    <x v="1"/>
    <n v="0.84046692607003892"/>
    <x v="1"/>
    <x v="554"/>
    <x v="1"/>
  </r>
  <r>
    <x v="591"/>
    <x v="13"/>
    <x v="1"/>
    <x v="2"/>
    <x v="11"/>
    <n v="344"/>
    <n v="0"/>
    <n v="344"/>
    <n v="967"/>
    <x v="0"/>
    <n v="0"/>
    <x v="2"/>
    <x v="555"/>
    <x v="0"/>
  </r>
  <r>
    <x v="592"/>
    <x v="59"/>
    <x v="0"/>
    <x v="2"/>
    <x v="220"/>
    <n v="100"/>
    <n v="28"/>
    <n v="72"/>
    <n v="712"/>
    <x v="0"/>
    <n v="0.28000000000000003"/>
    <x v="0"/>
    <x v="556"/>
    <x v="0"/>
  </r>
  <r>
    <x v="593"/>
    <x v="14"/>
    <x v="1"/>
    <x v="0"/>
    <x v="57"/>
    <n v="425"/>
    <n v="129"/>
    <n v="296"/>
    <n v="1749"/>
    <x v="0"/>
    <n v="0.30352941176470588"/>
    <x v="0"/>
    <x v="557"/>
    <x v="0"/>
  </r>
  <r>
    <x v="594"/>
    <x v="31"/>
    <x v="1"/>
    <x v="3"/>
    <x v="11"/>
    <n v="230"/>
    <n v="0"/>
    <n v="230"/>
    <n v="1169"/>
    <x v="0"/>
    <n v="0"/>
    <x v="2"/>
    <x v="558"/>
    <x v="0"/>
  </r>
  <r>
    <x v="595"/>
    <x v="61"/>
    <x v="3"/>
    <x v="3"/>
    <x v="11"/>
    <n v="492"/>
    <n v="0"/>
    <n v="492"/>
    <n v="1821"/>
    <x v="0"/>
    <n v="0"/>
    <x v="2"/>
    <x v="559"/>
    <x v="0"/>
  </r>
  <r>
    <x v="596"/>
    <x v="42"/>
    <x v="5"/>
    <x v="0"/>
    <x v="135"/>
    <n v="437"/>
    <n v="28"/>
    <m/>
    <n v="1658"/>
    <x v="0"/>
    <n v="6.4073226544622428E-2"/>
    <x v="0"/>
    <x v="7"/>
    <x v="0"/>
  </r>
  <r>
    <x v="597"/>
    <x v="29"/>
    <x v="1"/>
    <x v="1"/>
    <x v="11"/>
    <n v="336"/>
    <n v="0"/>
    <n v="336"/>
    <n v="553"/>
    <x v="0"/>
    <n v="0"/>
    <x v="2"/>
    <x v="560"/>
    <x v="0"/>
  </r>
  <r>
    <x v="598"/>
    <x v="3"/>
    <x v="2"/>
    <x v="0"/>
    <x v="11"/>
    <n v="78"/>
    <n v="0"/>
    <n v="78"/>
    <n v="1289"/>
    <x v="0"/>
    <n v="0"/>
    <x v="2"/>
    <x v="561"/>
    <x v="0"/>
  </r>
  <r>
    <x v="599"/>
    <x v="52"/>
    <x v="3"/>
    <x v="2"/>
    <x v="172"/>
    <n v="152"/>
    <n v="150"/>
    <n v="2"/>
    <n v="965"/>
    <x v="1"/>
    <n v="0.98684210526315785"/>
    <x v="1"/>
    <x v="562"/>
    <x v="1"/>
  </r>
  <r>
    <x v="600"/>
    <x v="7"/>
    <x v="1"/>
    <x v="1"/>
    <x v="171"/>
    <n v="81"/>
    <n v="63"/>
    <n v="18"/>
    <m/>
    <x v="1"/>
    <n v="0.77777777777777779"/>
    <x v="1"/>
    <x v="7"/>
    <x v="1"/>
  </r>
  <r>
    <x v="601"/>
    <x v="4"/>
    <x v="1"/>
    <x v="3"/>
    <x v="70"/>
    <n v="412"/>
    <n v="408"/>
    <n v="4"/>
    <n v="648"/>
    <x v="2"/>
    <n v="0.99029126213592233"/>
    <x v="1"/>
    <x v="563"/>
    <x v="2"/>
  </r>
  <r>
    <x v="602"/>
    <x v="6"/>
    <x v="2"/>
    <x v="2"/>
    <x v="11"/>
    <n v="475"/>
    <n v="0"/>
    <n v="475"/>
    <n v="1894"/>
    <x v="0"/>
    <n v="0"/>
    <x v="2"/>
    <x v="564"/>
    <x v="0"/>
  </r>
  <r>
    <x v="603"/>
    <x v="33"/>
    <x v="4"/>
    <x v="3"/>
    <x v="221"/>
    <n v="158"/>
    <n v="35"/>
    <n v="123"/>
    <n v="2039"/>
    <x v="0"/>
    <n v="0.22151898734177214"/>
    <x v="0"/>
    <x v="565"/>
    <x v="0"/>
  </r>
  <r>
    <x v="604"/>
    <x v="12"/>
    <x v="3"/>
    <x v="2"/>
    <x v="222"/>
    <n v="283"/>
    <n v="231"/>
    <n v="52"/>
    <n v="2220"/>
    <x v="2"/>
    <n v="0.81625441696113077"/>
    <x v="1"/>
    <x v="566"/>
    <x v="2"/>
  </r>
  <r>
    <x v="605"/>
    <x v="66"/>
    <x v="3"/>
    <x v="3"/>
    <x v="57"/>
    <n v="60"/>
    <n v="52"/>
    <n v="8"/>
    <n v="2124"/>
    <x v="1"/>
    <n v="0.8666666666666667"/>
    <x v="1"/>
    <x v="567"/>
    <x v="1"/>
  </r>
  <r>
    <x v="606"/>
    <x v="17"/>
    <x v="3"/>
    <x v="3"/>
    <x v="95"/>
    <n v="259"/>
    <n v="92"/>
    <n v="167"/>
    <n v="1847"/>
    <x v="0"/>
    <n v="0.35521235521235522"/>
    <x v="0"/>
    <x v="568"/>
    <x v="0"/>
  </r>
  <r>
    <x v="607"/>
    <x v="60"/>
    <x v="2"/>
    <x v="3"/>
    <x v="220"/>
    <n v="270"/>
    <n v="224"/>
    <n v="46"/>
    <n v="1937"/>
    <x v="1"/>
    <n v="0.82962962962962961"/>
    <x v="1"/>
    <x v="569"/>
    <x v="1"/>
  </r>
  <r>
    <x v="608"/>
    <x v="4"/>
    <x v="1"/>
    <x v="3"/>
    <x v="204"/>
    <n v="433"/>
    <n v="69"/>
    <n v="364"/>
    <n v="1203"/>
    <x v="0"/>
    <n v="0.15935334872979215"/>
    <x v="0"/>
    <x v="570"/>
    <x v="0"/>
  </r>
  <r>
    <x v="609"/>
    <x v="28"/>
    <x v="0"/>
    <x v="1"/>
    <x v="116"/>
    <n v="409"/>
    <n v="123"/>
    <n v="286"/>
    <n v="2990"/>
    <x v="2"/>
    <n v="0.30073349633251834"/>
    <x v="0"/>
    <x v="571"/>
    <x v="2"/>
  </r>
  <r>
    <x v="610"/>
    <x v="48"/>
    <x v="0"/>
    <x v="0"/>
    <x v="18"/>
    <n v="389"/>
    <n v="105"/>
    <n v="284"/>
    <n v="316"/>
    <x v="2"/>
    <n v="0.26992287917737789"/>
    <x v="0"/>
    <x v="572"/>
    <x v="2"/>
  </r>
  <r>
    <x v="611"/>
    <x v="52"/>
    <x v="3"/>
    <x v="0"/>
    <x v="126"/>
    <n v="282"/>
    <n v="55"/>
    <n v="227"/>
    <n v="2660"/>
    <x v="0"/>
    <n v="0.19503546099290781"/>
    <x v="0"/>
    <x v="573"/>
    <x v="0"/>
  </r>
  <r>
    <x v="612"/>
    <x v="33"/>
    <x v="4"/>
    <x v="1"/>
    <x v="11"/>
    <n v="478"/>
    <n v="0"/>
    <n v="478"/>
    <n v="1563"/>
    <x v="0"/>
    <n v="0"/>
    <x v="2"/>
    <x v="574"/>
    <x v="0"/>
  </r>
  <r>
    <x v="613"/>
    <x v="37"/>
    <x v="4"/>
    <x v="0"/>
    <x v="11"/>
    <n v="473"/>
    <n v="0"/>
    <n v="473"/>
    <n v="683"/>
    <x v="0"/>
    <n v="0"/>
    <x v="2"/>
    <x v="575"/>
    <x v="0"/>
  </r>
  <r>
    <x v="614"/>
    <x v="32"/>
    <x v="1"/>
    <x v="2"/>
    <x v="11"/>
    <n v="493"/>
    <n v="0"/>
    <n v="493"/>
    <n v="1531"/>
    <x v="0"/>
    <n v="0"/>
    <x v="2"/>
    <x v="576"/>
    <x v="0"/>
  </r>
  <r>
    <x v="615"/>
    <x v="24"/>
    <x v="4"/>
    <x v="0"/>
    <x v="223"/>
    <n v="167"/>
    <n v="39"/>
    <n v="128"/>
    <n v="2650"/>
    <x v="0"/>
    <n v="0.23353293413173654"/>
    <x v="0"/>
    <x v="577"/>
    <x v="0"/>
  </r>
  <r>
    <x v="616"/>
    <x v="30"/>
    <x v="2"/>
    <x v="1"/>
    <x v="224"/>
    <n v="249"/>
    <n v="227"/>
    <n v="22"/>
    <n v="1532"/>
    <x v="1"/>
    <n v="0.91164658634538154"/>
    <x v="1"/>
    <x v="578"/>
    <x v="1"/>
  </r>
  <r>
    <x v="617"/>
    <x v="19"/>
    <x v="4"/>
    <x v="3"/>
    <x v="11"/>
    <n v="220"/>
    <m/>
    <n v="220"/>
    <n v="545"/>
    <x v="0"/>
    <s v=""/>
    <x v="3"/>
    <x v="579"/>
    <x v="2"/>
  </r>
  <r>
    <x v="618"/>
    <x v="51"/>
    <x v="5"/>
    <x v="3"/>
    <x v="11"/>
    <n v="56"/>
    <n v="0"/>
    <n v="56"/>
    <n v="953"/>
    <x v="1"/>
    <n v="0"/>
    <x v="2"/>
    <x v="580"/>
    <x v="2"/>
  </r>
  <r>
    <x v="619"/>
    <x v="42"/>
    <x v="0"/>
    <x v="2"/>
    <x v="11"/>
    <n v="167"/>
    <n v="0"/>
    <n v="167"/>
    <n v="1767"/>
    <x v="0"/>
    <n v="0"/>
    <x v="2"/>
    <x v="581"/>
    <x v="0"/>
  </r>
  <r>
    <x v="620"/>
    <x v="31"/>
    <x v="1"/>
    <x v="1"/>
    <x v="151"/>
    <n v="445"/>
    <n v="61"/>
    <n v="384"/>
    <n v="1717"/>
    <x v="0"/>
    <n v="0.13707865168539327"/>
    <x v="0"/>
    <x v="582"/>
    <x v="0"/>
  </r>
  <r>
    <x v="621"/>
    <x v="51"/>
    <x v="4"/>
    <x v="3"/>
    <x v="225"/>
    <n v="163"/>
    <n v="23"/>
    <n v="140"/>
    <n v="1021"/>
    <x v="0"/>
    <n v="0.1411042944785276"/>
    <x v="0"/>
    <x v="583"/>
    <x v="0"/>
  </r>
  <r>
    <x v="622"/>
    <x v="44"/>
    <x v="0"/>
    <x v="1"/>
    <x v="226"/>
    <n v="358"/>
    <n v="31"/>
    <n v="327"/>
    <n v="2462"/>
    <x v="0"/>
    <n v="8.6592178770949726E-2"/>
    <x v="0"/>
    <x v="584"/>
    <x v="0"/>
  </r>
  <r>
    <x v="623"/>
    <x v="73"/>
    <x v="2"/>
    <x v="1"/>
    <x v="134"/>
    <n v="267"/>
    <n v="89"/>
    <n v="178"/>
    <n v="898"/>
    <x v="0"/>
    <n v="0.33333333333333331"/>
    <x v="0"/>
    <x v="585"/>
    <x v="0"/>
  </r>
  <r>
    <x v="624"/>
    <x v="52"/>
    <x v="3"/>
    <x v="0"/>
    <x v="175"/>
    <n v="328"/>
    <n v="272"/>
    <n v="56"/>
    <n v="2657"/>
    <x v="1"/>
    <n v="0.82926829268292679"/>
    <x v="1"/>
    <x v="586"/>
    <x v="1"/>
  </r>
  <r>
    <x v="625"/>
    <x v="38"/>
    <x v="4"/>
    <x v="0"/>
    <x v="157"/>
    <n v="419"/>
    <n v="134"/>
    <n v="285"/>
    <n v="1214"/>
    <x v="0"/>
    <n v="0.31980906921241048"/>
    <x v="0"/>
    <x v="587"/>
    <x v="0"/>
  </r>
  <r>
    <x v="626"/>
    <x v="60"/>
    <x v="5"/>
    <x v="3"/>
    <x v="11"/>
    <n v="443"/>
    <n v="0"/>
    <n v="443"/>
    <n v="1872"/>
    <x v="0"/>
    <n v="0"/>
    <x v="2"/>
    <x v="588"/>
    <x v="0"/>
  </r>
  <r>
    <x v="627"/>
    <x v="68"/>
    <x v="0"/>
    <x v="1"/>
    <x v="23"/>
    <m/>
    <n v="164"/>
    <n v="58"/>
    <n v="183"/>
    <x v="1"/>
    <s v=""/>
    <x v="3"/>
    <x v="589"/>
    <x v="2"/>
  </r>
  <r>
    <x v="628"/>
    <x v="54"/>
    <x v="2"/>
    <x v="3"/>
    <x v="227"/>
    <n v="169"/>
    <n v="64"/>
    <n v="105"/>
    <n v="2839"/>
    <x v="0"/>
    <n v="0.378698224852071"/>
    <x v="0"/>
    <x v="590"/>
    <x v="0"/>
  </r>
  <r>
    <x v="629"/>
    <x v="42"/>
    <x v="0"/>
    <x v="2"/>
    <x v="84"/>
    <n v="416"/>
    <n v="369"/>
    <n v="47"/>
    <m/>
    <x v="1"/>
    <n v="0.88701923076923073"/>
    <x v="1"/>
    <x v="7"/>
    <x v="1"/>
  </r>
  <r>
    <x v="630"/>
    <x v="16"/>
    <x v="4"/>
    <x v="1"/>
    <x v="11"/>
    <n v="180"/>
    <n v="0"/>
    <n v="180"/>
    <n v="1218"/>
    <x v="0"/>
    <n v="0"/>
    <x v="2"/>
    <x v="591"/>
    <x v="0"/>
  </r>
  <r>
    <x v="631"/>
    <x v="66"/>
    <x v="3"/>
    <x v="1"/>
    <x v="174"/>
    <n v="345"/>
    <n v="280"/>
    <n v="65"/>
    <n v="444"/>
    <x v="0"/>
    <n v="0.81159420289855078"/>
    <x v="1"/>
    <x v="592"/>
    <x v="2"/>
  </r>
  <r>
    <x v="632"/>
    <x v="68"/>
    <x v="0"/>
    <x v="2"/>
    <x v="11"/>
    <n v="413"/>
    <n v="0"/>
    <n v="413"/>
    <n v="2013"/>
    <x v="0"/>
    <n v="0"/>
    <x v="2"/>
    <x v="593"/>
    <x v="0"/>
  </r>
  <r>
    <x v="633"/>
    <x v="31"/>
    <x v="1"/>
    <x v="0"/>
    <x v="11"/>
    <n v="271"/>
    <n v="0"/>
    <n v="271"/>
    <n v="1435"/>
    <x v="0"/>
    <n v="0"/>
    <x v="2"/>
    <x v="594"/>
    <x v="0"/>
  </r>
  <r>
    <x v="634"/>
    <x v="66"/>
    <x v="3"/>
    <x v="1"/>
    <x v="11"/>
    <n v="235"/>
    <n v="0"/>
    <n v="235"/>
    <n v="703"/>
    <x v="0"/>
    <n v="0"/>
    <x v="2"/>
    <x v="595"/>
    <x v="0"/>
  </r>
  <r>
    <x v="635"/>
    <x v="28"/>
    <x v="0"/>
    <x v="2"/>
    <x v="202"/>
    <n v="412"/>
    <n v="40"/>
    <n v="372"/>
    <n v="1648"/>
    <x v="2"/>
    <n v="9.7087378640776698E-2"/>
    <x v="0"/>
    <x v="596"/>
    <x v="2"/>
  </r>
  <r>
    <x v="636"/>
    <x v="2"/>
    <x v="1"/>
    <x v="2"/>
    <x v="162"/>
    <n v="448"/>
    <n v="442"/>
    <n v="6"/>
    <n v="1070"/>
    <x v="1"/>
    <n v="0.9866071428571429"/>
    <x v="1"/>
    <x v="597"/>
    <x v="1"/>
  </r>
  <r>
    <x v="637"/>
    <x v="68"/>
    <x v="5"/>
    <x v="3"/>
    <x v="11"/>
    <n v="467"/>
    <n v="0"/>
    <n v="467"/>
    <n v="2571"/>
    <x v="0"/>
    <n v="0"/>
    <x v="2"/>
    <x v="598"/>
    <x v="0"/>
  </r>
  <r>
    <x v="638"/>
    <x v="39"/>
    <x v="2"/>
    <x v="1"/>
    <x v="163"/>
    <n v="148"/>
    <n v="30"/>
    <n v="118"/>
    <n v="344"/>
    <x v="0"/>
    <n v="0.20270270270270271"/>
    <x v="0"/>
    <x v="599"/>
    <x v="0"/>
  </r>
  <r>
    <x v="639"/>
    <x v="30"/>
    <x v="2"/>
    <x v="0"/>
    <x v="148"/>
    <m/>
    <n v="200"/>
    <n v="38"/>
    <n v="75"/>
    <x v="1"/>
    <s v=""/>
    <x v="3"/>
    <x v="600"/>
    <x v="2"/>
  </r>
  <r>
    <x v="640"/>
    <x v="7"/>
    <x v="1"/>
    <x v="1"/>
    <x v="11"/>
    <n v="475"/>
    <n v="0"/>
    <n v="475"/>
    <n v="2883"/>
    <x v="0"/>
    <n v="0"/>
    <x v="2"/>
    <x v="601"/>
    <x v="0"/>
  </r>
  <r>
    <x v="641"/>
    <x v="19"/>
    <x v="4"/>
    <x v="1"/>
    <x v="228"/>
    <n v="279"/>
    <n v="50"/>
    <n v="229"/>
    <n v="777"/>
    <x v="0"/>
    <n v="0.17921146953405018"/>
    <x v="0"/>
    <x v="602"/>
    <x v="0"/>
  </r>
  <r>
    <x v="642"/>
    <x v="63"/>
    <x v="2"/>
    <x v="1"/>
    <x v="11"/>
    <n v="358"/>
    <n v="0"/>
    <n v="358"/>
    <n v="1215"/>
    <x v="0"/>
    <n v="0"/>
    <x v="2"/>
    <x v="603"/>
    <x v="0"/>
  </r>
  <r>
    <x v="643"/>
    <x v="33"/>
    <x v="4"/>
    <x v="0"/>
    <x v="115"/>
    <n v="356"/>
    <n v="108"/>
    <n v="248"/>
    <n v="587"/>
    <x v="2"/>
    <n v="0.30337078651685395"/>
    <x v="0"/>
    <x v="604"/>
    <x v="2"/>
  </r>
  <r>
    <x v="644"/>
    <x v="17"/>
    <x v="3"/>
    <x v="1"/>
    <x v="229"/>
    <n v="167"/>
    <n v="142"/>
    <n v="25"/>
    <n v="2129"/>
    <x v="1"/>
    <n v="0.85029940119760483"/>
    <x v="1"/>
    <x v="605"/>
    <x v="1"/>
  </r>
  <r>
    <x v="645"/>
    <x v="28"/>
    <x v="5"/>
    <x v="3"/>
    <x v="104"/>
    <n v="441"/>
    <n v="92"/>
    <n v="349"/>
    <n v="2520"/>
    <x v="0"/>
    <n v="0.20861678004535147"/>
    <x v="0"/>
    <x v="606"/>
    <x v="0"/>
  </r>
  <r>
    <x v="646"/>
    <x v="15"/>
    <x v="4"/>
    <x v="3"/>
    <x v="230"/>
    <n v="169"/>
    <n v="157"/>
    <n v="12"/>
    <n v="386"/>
    <x v="1"/>
    <n v="0.92899408284023666"/>
    <x v="1"/>
    <x v="607"/>
    <x v="1"/>
  </r>
  <r>
    <x v="647"/>
    <x v="13"/>
    <x v="1"/>
    <x v="1"/>
    <x v="231"/>
    <n v="256"/>
    <n v="61"/>
    <n v="195"/>
    <n v="643"/>
    <x v="0"/>
    <n v="0.23828125"/>
    <x v="0"/>
    <x v="608"/>
    <x v="0"/>
  </r>
  <r>
    <x v="648"/>
    <x v="68"/>
    <x v="0"/>
    <x v="2"/>
    <x v="85"/>
    <n v="286"/>
    <n v="68"/>
    <n v="218"/>
    <n v="923"/>
    <x v="0"/>
    <n v="0.23776223776223776"/>
    <x v="0"/>
    <x v="609"/>
    <x v="0"/>
  </r>
  <r>
    <x v="649"/>
    <x v="32"/>
    <x v="1"/>
    <x v="3"/>
    <x v="232"/>
    <n v="234"/>
    <n v="56"/>
    <n v="178"/>
    <n v="2682"/>
    <x v="0"/>
    <n v="0.23931623931623933"/>
    <x v="0"/>
    <x v="610"/>
    <x v="0"/>
  </r>
  <r>
    <x v="650"/>
    <x v="49"/>
    <x v="4"/>
    <x v="2"/>
    <x v="11"/>
    <n v="135"/>
    <n v="0"/>
    <n v="135"/>
    <n v="1159"/>
    <x v="0"/>
    <n v="0"/>
    <x v="2"/>
    <x v="611"/>
    <x v="0"/>
  </r>
  <r>
    <x v="651"/>
    <x v="59"/>
    <x v="0"/>
    <x v="0"/>
    <x v="18"/>
    <n v="408"/>
    <n v="376"/>
    <n v="32"/>
    <n v="2677"/>
    <x v="1"/>
    <n v="0.92156862745098034"/>
    <x v="1"/>
    <x v="612"/>
    <x v="1"/>
  </r>
  <r>
    <x v="652"/>
    <x v="64"/>
    <x v="3"/>
    <x v="0"/>
    <x v="233"/>
    <n v="438"/>
    <n v="311"/>
    <n v="127"/>
    <n v="1371"/>
    <x v="0"/>
    <n v="0.71004566210045661"/>
    <x v="1"/>
    <x v="613"/>
    <x v="2"/>
  </r>
  <r>
    <x v="653"/>
    <x v="55"/>
    <x v="1"/>
    <x v="1"/>
    <x v="42"/>
    <n v="474"/>
    <n v="172"/>
    <n v="302"/>
    <m/>
    <x v="0"/>
    <n v="0.3628691983122363"/>
    <x v="0"/>
    <x v="7"/>
    <x v="0"/>
  </r>
  <r>
    <x v="654"/>
    <x v="22"/>
    <x v="1"/>
    <x v="1"/>
    <x v="234"/>
    <m/>
    <n v="7"/>
    <n v="86"/>
    <n v="2352"/>
    <x v="0"/>
    <s v=""/>
    <x v="3"/>
    <x v="614"/>
    <x v="2"/>
  </r>
  <r>
    <x v="655"/>
    <x v="26"/>
    <x v="3"/>
    <x v="3"/>
    <x v="235"/>
    <n v="442"/>
    <n v="43"/>
    <n v="399"/>
    <n v="2099"/>
    <x v="0"/>
    <n v="9.7285067873303169E-2"/>
    <x v="0"/>
    <x v="615"/>
    <x v="0"/>
  </r>
  <r>
    <x v="656"/>
    <x v="58"/>
    <x v="1"/>
    <x v="3"/>
    <x v="11"/>
    <n v="317"/>
    <n v="0"/>
    <n v="317"/>
    <n v="290"/>
    <x v="0"/>
    <n v="0"/>
    <x v="2"/>
    <x v="616"/>
    <x v="0"/>
  </r>
  <r>
    <x v="657"/>
    <x v="38"/>
    <x v="4"/>
    <x v="0"/>
    <x v="236"/>
    <n v="432"/>
    <n v="31"/>
    <n v="401"/>
    <n v="731"/>
    <x v="0"/>
    <n v="7.1759259259259259E-2"/>
    <x v="0"/>
    <x v="617"/>
    <x v="0"/>
  </r>
  <r>
    <x v="658"/>
    <x v="28"/>
    <x v="0"/>
    <x v="2"/>
    <x v="11"/>
    <n v="65"/>
    <n v="0"/>
    <n v="65"/>
    <n v="990"/>
    <x v="0"/>
    <n v="0"/>
    <x v="2"/>
    <x v="618"/>
    <x v="0"/>
  </r>
  <r>
    <x v="659"/>
    <x v="6"/>
    <x v="2"/>
    <x v="1"/>
    <x v="237"/>
    <n v="226"/>
    <n v="61"/>
    <n v="165"/>
    <n v="1664"/>
    <x v="0"/>
    <n v="0.26991150442477874"/>
    <x v="0"/>
    <x v="619"/>
    <x v="0"/>
  </r>
  <r>
    <x v="660"/>
    <x v="59"/>
    <x v="0"/>
    <x v="0"/>
    <x v="158"/>
    <n v="153"/>
    <n v="45"/>
    <n v="108"/>
    <n v="1189"/>
    <x v="0"/>
    <n v="0.29411764705882354"/>
    <x v="0"/>
    <x v="620"/>
    <x v="0"/>
  </r>
  <r>
    <x v="661"/>
    <x v="10"/>
    <x v="4"/>
    <x v="1"/>
    <x v="144"/>
    <n v="61"/>
    <n v="45"/>
    <n v="16"/>
    <n v="1449"/>
    <x v="1"/>
    <n v="0.73770491803278693"/>
    <x v="1"/>
    <x v="621"/>
    <x v="1"/>
  </r>
  <r>
    <x v="662"/>
    <x v="56"/>
    <x v="5"/>
    <x v="1"/>
    <x v="185"/>
    <n v="392"/>
    <n v="305"/>
    <n v="87"/>
    <n v="2447"/>
    <x v="0"/>
    <n v="0.77806122448979587"/>
    <x v="1"/>
    <x v="622"/>
    <x v="2"/>
  </r>
  <r>
    <x v="663"/>
    <x v="11"/>
    <x v="4"/>
    <x v="2"/>
    <x v="238"/>
    <n v="65"/>
    <n v="22"/>
    <n v="43"/>
    <n v="298"/>
    <x v="1"/>
    <n v="0.33846153846153848"/>
    <x v="0"/>
    <x v="623"/>
    <x v="2"/>
  </r>
  <r>
    <x v="664"/>
    <x v="33"/>
    <x v="4"/>
    <x v="2"/>
    <x v="165"/>
    <n v="378"/>
    <n v="294"/>
    <m/>
    <n v="2245"/>
    <x v="0"/>
    <n v="0.77777777777777779"/>
    <x v="1"/>
    <x v="7"/>
    <x v="2"/>
  </r>
  <r>
    <x v="665"/>
    <x v="19"/>
    <x v="4"/>
    <x v="0"/>
    <x v="239"/>
    <n v="489"/>
    <n v="418"/>
    <n v="71"/>
    <n v="681"/>
    <x v="0"/>
    <n v="0.85480572597137017"/>
    <x v="1"/>
    <x v="624"/>
    <x v="2"/>
  </r>
  <r>
    <x v="666"/>
    <x v="37"/>
    <x v="4"/>
    <x v="3"/>
    <x v="72"/>
    <n v="52"/>
    <n v="50"/>
    <m/>
    <n v="2571"/>
    <x v="1"/>
    <n v="0.96153846153846156"/>
    <x v="1"/>
    <x v="7"/>
    <x v="1"/>
  </r>
  <r>
    <x v="667"/>
    <x v="73"/>
    <x v="2"/>
    <x v="3"/>
    <x v="68"/>
    <n v="310"/>
    <n v="50"/>
    <n v="260"/>
    <n v="1734"/>
    <x v="0"/>
    <n v="0.16129032258064516"/>
    <x v="0"/>
    <x v="625"/>
    <x v="0"/>
  </r>
  <r>
    <x v="668"/>
    <x v="26"/>
    <x v="3"/>
    <x v="0"/>
    <x v="11"/>
    <n v="259"/>
    <n v="0"/>
    <n v="259"/>
    <n v="1961"/>
    <x v="0"/>
    <n v="0"/>
    <x v="2"/>
    <x v="626"/>
    <x v="0"/>
  </r>
  <r>
    <x v="669"/>
    <x v="26"/>
    <x v="3"/>
    <x v="1"/>
    <x v="11"/>
    <m/>
    <n v="0"/>
    <n v="388"/>
    <n v="458"/>
    <x v="0"/>
    <s v=""/>
    <x v="3"/>
    <x v="627"/>
    <x v="2"/>
  </r>
  <r>
    <x v="670"/>
    <x v="68"/>
    <x v="5"/>
    <x v="0"/>
    <x v="11"/>
    <n v="261"/>
    <n v="0"/>
    <m/>
    <n v="1226"/>
    <x v="0"/>
    <n v="0"/>
    <x v="2"/>
    <x v="7"/>
    <x v="0"/>
  </r>
  <r>
    <x v="671"/>
    <x v="41"/>
    <x v="3"/>
    <x v="2"/>
    <x v="11"/>
    <n v="232"/>
    <m/>
    <n v="232"/>
    <n v="2974"/>
    <x v="0"/>
    <s v=""/>
    <x v="3"/>
    <x v="628"/>
    <x v="2"/>
  </r>
  <r>
    <x v="672"/>
    <x v="19"/>
    <x v="4"/>
    <x v="1"/>
    <x v="215"/>
    <n v="362"/>
    <n v="302"/>
    <n v="60"/>
    <n v="926"/>
    <x v="0"/>
    <n v="0.83425414364640882"/>
    <x v="1"/>
    <x v="629"/>
    <x v="2"/>
  </r>
  <r>
    <x v="673"/>
    <x v="10"/>
    <x v="4"/>
    <x v="3"/>
    <x v="240"/>
    <n v="445"/>
    <n v="101"/>
    <n v="344"/>
    <n v="2789"/>
    <x v="0"/>
    <n v="0.22696629213483147"/>
    <x v="0"/>
    <x v="630"/>
    <x v="0"/>
  </r>
  <r>
    <x v="674"/>
    <x v="4"/>
    <x v="5"/>
    <x v="1"/>
    <x v="98"/>
    <n v="353"/>
    <n v="273"/>
    <n v="80"/>
    <n v="2178"/>
    <x v="0"/>
    <n v="0.77337110481586402"/>
    <x v="1"/>
    <x v="631"/>
    <x v="2"/>
  </r>
  <r>
    <x v="675"/>
    <x v="23"/>
    <x v="5"/>
    <x v="3"/>
    <x v="54"/>
    <n v="245"/>
    <n v="71"/>
    <n v="174"/>
    <n v="2513"/>
    <x v="0"/>
    <n v="0.28979591836734692"/>
    <x v="0"/>
    <x v="632"/>
    <x v="0"/>
  </r>
  <r>
    <x v="676"/>
    <x v="35"/>
    <x v="2"/>
    <x v="0"/>
    <x v="166"/>
    <m/>
    <n v="231"/>
    <n v="75"/>
    <n v="2787"/>
    <x v="0"/>
    <s v=""/>
    <x v="3"/>
    <x v="633"/>
    <x v="2"/>
  </r>
  <r>
    <x v="677"/>
    <x v="50"/>
    <x v="1"/>
    <x v="3"/>
    <x v="241"/>
    <n v="308"/>
    <n v="283"/>
    <n v="25"/>
    <n v="2650"/>
    <x v="1"/>
    <n v="0.91883116883116878"/>
    <x v="1"/>
    <x v="634"/>
    <x v="1"/>
  </r>
  <r>
    <x v="678"/>
    <x v="67"/>
    <x v="1"/>
    <x v="3"/>
    <x v="242"/>
    <n v="352"/>
    <n v="260"/>
    <n v="92"/>
    <n v="2972"/>
    <x v="0"/>
    <n v="0.73863636363636365"/>
    <x v="1"/>
    <x v="635"/>
    <x v="2"/>
  </r>
  <r>
    <x v="679"/>
    <x v="10"/>
    <x v="4"/>
    <x v="1"/>
    <x v="243"/>
    <n v="276"/>
    <n v="196"/>
    <n v="80"/>
    <n v="2971"/>
    <x v="0"/>
    <n v="0.71014492753623193"/>
    <x v="1"/>
    <x v="636"/>
    <x v="2"/>
  </r>
  <r>
    <x v="680"/>
    <x v="57"/>
    <x v="4"/>
    <x v="0"/>
    <x v="111"/>
    <n v="310"/>
    <n v="87"/>
    <n v="223"/>
    <n v="2049"/>
    <x v="0"/>
    <n v="0.28064516129032258"/>
    <x v="0"/>
    <x v="637"/>
    <x v="0"/>
  </r>
  <r>
    <x v="681"/>
    <x v="56"/>
    <x v="1"/>
    <x v="0"/>
    <x v="151"/>
    <n v="378"/>
    <n v="54"/>
    <n v="324"/>
    <n v="1149"/>
    <x v="0"/>
    <n v="0.14285714285714285"/>
    <x v="0"/>
    <x v="638"/>
    <x v="0"/>
  </r>
  <r>
    <x v="682"/>
    <x v="73"/>
    <x v="2"/>
    <x v="1"/>
    <x v="243"/>
    <n v="356"/>
    <n v="140"/>
    <n v="216"/>
    <n v="692"/>
    <x v="0"/>
    <n v="0.39325842696629215"/>
    <x v="0"/>
    <x v="639"/>
    <x v="0"/>
  </r>
  <r>
    <x v="683"/>
    <x v="40"/>
    <x v="2"/>
    <x v="2"/>
    <x v="86"/>
    <n v="224"/>
    <n v="22"/>
    <n v="202"/>
    <n v="2458"/>
    <x v="0"/>
    <n v="9.8214285714285712E-2"/>
    <x v="0"/>
    <x v="640"/>
    <x v="0"/>
  </r>
  <r>
    <x v="684"/>
    <x v="43"/>
    <x v="4"/>
    <x v="2"/>
    <x v="18"/>
    <n v="308"/>
    <n v="289"/>
    <n v="19"/>
    <n v="2882"/>
    <x v="1"/>
    <n v="0.93831168831168832"/>
    <x v="1"/>
    <x v="641"/>
    <x v="1"/>
  </r>
  <r>
    <x v="685"/>
    <x v="43"/>
    <x v="4"/>
    <x v="0"/>
    <x v="11"/>
    <n v="90"/>
    <n v="0"/>
    <n v="90"/>
    <n v="424"/>
    <x v="0"/>
    <n v="0"/>
    <x v="2"/>
    <x v="642"/>
    <x v="0"/>
  </r>
  <r>
    <x v="686"/>
    <x v="47"/>
    <x v="0"/>
    <x v="0"/>
    <x v="218"/>
    <n v="321"/>
    <n v="253"/>
    <n v="68"/>
    <n v="2724"/>
    <x v="0"/>
    <n v="0.78816199376947038"/>
    <x v="1"/>
    <x v="643"/>
    <x v="2"/>
  </r>
  <r>
    <x v="687"/>
    <x v="55"/>
    <x v="1"/>
    <x v="3"/>
    <x v="82"/>
    <n v="64"/>
    <n v="10"/>
    <n v="54"/>
    <n v="2173"/>
    <x v="1"/>
    <n v="0.15625"/>
    <x v="0"/>
    <x v="644"/>
    <x v="2"/>
  </r>
  <r>
    <x v="688"/>
    <x v="57"/>
    <x v="4"/>
    <x v="1"/>
    <x v="11"/>
    <n v="395"/>
    <n v="0"/>
    <n v="395"/>
    <n v="2216"/>
    <x v="0"/>
    <n v="0"/>
    <x v="2"/>
    <x v="645"/>
    <x v="0"/>
  </r>
  <r>
    <x v="689"/>
    <x v="61"/>
    <x v="3"/>
    <x v="2"/>
    <x v="11"/>
    <n v="51"/>
    <n v="0"/>
    <n v="51"/>
    <n v="160"/>
    <x v="1"/>
    <n v="0"/>
    <x v="2"/>
    <x v="646"/>
    <x v="2"/>
  </r>
  <r>
    <x v="690"/>
    <x v="1"/>
    <x v="0"/>
    <x v="0"/>
    <x v="58"/>
    <n v="184"/>
    <n v="64"/>
    <n v="120"/>
    <n v="2405"/>
    <x v="0"/>
    <n v="0.34782608695652173"/>
    <x v="0"/>
    <x v="647"/>
    <x v="0"/>
  </r>
  <r>
    <x v="691"/>
    <x v="19"/>
    <x v="4"/>
    <x v="3"/>
    <x v="11"/>
    <n v="118"/>
    <n v="0"/>
    <n v="118"/>
    <n v="103"/>
    <x v="0"/>
    <n v="0"/>
    <x v="2"/>
    <x v="648"/>
    <x v="0"/>
  </r>
  <r>
    <x v="692"/>
    <x v="14"/>
    <x v="1"/>
    <x v="2"/>
    <x v="174"/>
    <n v="204"/>
    <n v="37"/>
    <n v="167"/>
    <n v="2910"/>
    <x v="0"/>
    <n v="0.18137254901960784"/>
    <x v="0"/>
    <x v="649"/>
    <x v="0"/>
  </r>
  <r>
    <x v="693"/>
    <x v="45"/>
    <x v="3"/>
    <x v="3"/>
    <x v="17"/>
    <n v="226"/>
    <m/>
    <n v="7"/>
    <n v="2959"/>
    <x v="1"/>
    <s v=""/>
    <x v="3"/>
    <x v="650"/>
    <x v="2"/>
  </r>
  <r>
    <x v="694"/>
    <x v="54"/>
    <x v="5"/>
    <x v="2"/>
    <x v="11"/>
    <n v="358"/>
    <n v="0"/>
    <n v="358"/>
    <n v="807"/>
    <x v="0"/>
    <n v="0"/>
    <x v="2"/>
    <x v="651"/>
    <x v="0"/>
  </r>
  <r>
    <x v="695"/>
    <x v="59"/>
    <x v="0"/>
    <x v="0"/>
    <x v="46"/>
    <n v="477"/>
    <n v="442"/>
    <m/>
    <n v="2603"/>
    <x v="1"/>
    <n v="0.92662473794549272"/>
    <x v="1"/>
    <x v="7"/>
    <x v="1"/>
  </r>
  <r>
    <x v="696"/>
    <x v="62"/>
    <x v="4"/>
    <x v="0"/>
    <x v="244"/>
    <n v="125"/>
    <n v="12"/>
    <n v="113"/>
    <n v="2957"/>
    <x v="0"/>
    <n v="9.6000000000000002E-2"/>
    <x v="0"/>
    <x v="652"/>
    <x v="0"/>
  </r>
  <r>
    <x v="697"/>
    <x v="58"/>
    <x v="1"/>
    <x v="3"/>
    <x v="11"/>
    <n v="332"/>
    <n v="0"/>
    <n v="332"/>
    <n v="1471"/>
    <x v="0"/>
    <n v="0"/>
    <x v="2"/>
    <x v="653"/>
    <x v="0"/>
  </r>
  <r>
    <x v="698"/>
    <x v="72"/>
    <x v="3"/>
    <x v="0"/>
    <x v="58"/>
    <n v="193"/>
    <n v="147"/>
    <n v="46"/>
    <n v="125"/>
    <x v="1"/>
    <n v="0.76165803108808294"/>
    <x v="1"/>
    <x v="654"/>
    <x v="1"/>
  </r>
  <r>
    <x v="699"/>
    <x v="21"/>
    <x v="0"/>
    <x v="3"/>
    <x v="11"/>
    <n v="303"/>
    <n v="0"/>
    <n v="303"/>
    <n v="2547"/>
    <x v="0"/>
    <n v="0"/>
    <x v="2"/>
    <x v="655"/>
    <x v="0"/>
  </r>
  <r>
    <x v="700"/>
    <x v="64"/>
    <x v="3"/>
    <x v="3"/>
    <x v="75"/>
    <n v="151"/>
    <n v="22"/>
    <n v="129"/>
    <n v="1175"/>
    <x v="0"/>
    <n v="0.14569536423841059"/>
    <x v="0"/>
    <x v="656"/>
    <x v="0"/>
  </r>
  <r>
    <x v="701"/>
    <x v="62"/>
    <x v="4"/>
    <x v="1"/>
    <x v="11"/>
    <n v="413"/>
    <n v="0"/>
    <n v="413"/>
    <n v="64"/>
    <x v="0"/>
    <n v="0"/>
    <x v="2"/>
    <x v="657"/>
    <x v="0"/>
  </r>
  <r>
    <x v="702"/>
    <x v="64"/>
    <x v="3"/>
    <x v="3"/>
    <x v="11"/>
    <n v="317"/>
    <n v="0"/>
    <n v="317"/>
    <m/>
    <x v="0"/>
    <n v="0"/>
    <x v="2"/>
    <x v="7"/>
    <x v="0"/>
  </r>
  <r>
    <x v="703"/>
    <x v="46"/>
    <x v="3"/>
    <x v="0"/>
    <x v="11"/>
    <n v="183"/>
    <n v="0"/>
    <n v="183"/>
    <n v="2252"/>
    <x v="0"/>
    <n v="0"/>
    <x v="2"/>
    <x v="658"/>
    <x v="0"/>
  </r>
  <r>
    <x v="704"/>
    <x v="6"/>
    <x v="2"/>
    <x v="3"/>
    <x v="11"/>
    <n v="496"/>
    <n v="0"/>
    <n v="496"/>
    <n v="110"/>
    <x v="0"/>
    <n v="0"/>
    <x v="2"/>
    <x v="659"/>
    <x v="0"/>
  </r>
  <r>
    <x v="705"/>
    <x v="58"/>
    <x v="1"/>
    <x v="0"/>
    <x v="41"/>
    <n v="310"/>
    <n v="244"/>
    <n v="66"/>
    <n v="890"/>
    <x v="0"/>
    <n v="0.7870967741935484"/>
    <x v="1"/>
    <x v="660"/>
    <x v="2"/>
  </r>
  <r>
    <x v="706"/>
    <x v="46"/>
    <x v="3"/>
    <x v="2"/>
    <x v="134"/>
    <n v="282"/>
    <n v="38"/>
    <m/>
    <n v="831"/>
    <x v="0"/>
    <n v="0.13475177304964539"/>
    <x v="0"/>
    <x v="7"/>
    <x v="0"/>
  </r>
  <r>
    <x v="707"/>
    <x v="65"/>
    <x v="0"/>
    <x v="3"/>
    <x v="182"/>
    <n v="316"/>
    <n v="118"/>
    <n v="198"/>
    <n v="87"/>
    <x v="0"/>
    <n v="0.37341772151898733"/>
    <x v="0"/>
    <x v="661"/>
    <x v="0"/>
  </r>
  <r>
    <x v="708"/>
    <x v="49"/>
    <x v="4"/>
    <x v="0"/>
    <x v="11"/>
    <n v="248"/>
    <n v="0"/>
    <n v="248"/>
    <n v="494"/>
    <x v="0"/>
    <n v="0"/>
    <x v="2"/>
    <x v="662"/>
    <x v="0"/>
  </r>
  <r>
    <x v="709"/>
    <x v="25"/>
    <x v="0"/>
    <x v="1"/>
    <x v="98"/>
    <n v="87"/>
    <n v="30"/>
    <n v="57"/>
    <n v="2076"/>
    <x v="1"/>
    <n v="0.34482758620689657"/>
    <x v="0"/>
    <x v="663"/>
    <x v="2"/>
  </r>
  <r>
    <x v="710"/>
    <x v="58"/>
    <x v="1"/>
    <x v="0"/>
    <x v="11"/>
    <n v="297"/>
    <n v="0"/>
    <n v="297"/>
    <n v="378"/>
    <x v="0"/>
    <n v="0"/>
    <x v="2"/>
    <x v="664"/>
    <x v="0"/>
  </r>
  <r>
    <x v="711"/>
    <x v="51"/>
    <x v="4"/>
    <x v="3"/>
    <x v="11"/>
    <n v="462"/>
    <n v="0"/>
    <n v="462"/>
    <n v="1384"/>
    <x v="0"/>
    <n v="0"/>
    <x v="2"/>
    <x v="665"/>
    <x v="0"/>
  </r>
  <r>
    <x v="712"/>
    <x v="66"/>
    <x v="3"/>
    <x v="3"/>
    <x v="96"/>
    <n v="230"/>
    <n v="28"/>
    <n v="202"/>
    <n v="1169"/>
    <x v="0"/>
    <n v="0.12173913043478261"/>
    <x v="0"/>
    <x v="666"/>
    <x v="0"/>
  </r>
  <r>
    <x v="713"/>
    <x v="45"/>
    <x v="3"/>
    <x v="3"/>
    <x v="239"/>
    <m/>
    <n v="419"/>
    <n v="24"/>
    <n v="2401"/>
    <x v="1"/>
    <s v=""/>
    <x v="3"/>
    <x v="667"/>
    <x v="2"/>
  </r>
  <r>
    <x v="714"/>
    <x v="0"/>
    <x v="0"/>
    <x v="1"/>
    <x v="44"/>
    <n v="337"/>
    <n v="254"/>
    <n v="83"/>
    <n v="212"/>
    <x v="0"/>
    <n v="0.75370919881305642"/>
    <x v="1"/>
    <x v="668"/>
    <x v="2"/>
  </r>
  <r>
    <x v="715"/>
    <x v="66"/>
    <x v="3"/>
    <x v="0"/>
    <x v="86"/>
    <n v="280"/>
    <n v="83"/>
    <n v="197"/>
    <n v="2268"/>
    <x v="0"/>
    <n v="0.29642857142857143"/>
    <x v="0"/>
    <x v="669"/>
    <x v="0"/>
  </r>
  <r>
    <x v="716"/>
    <x v="59"/>
    <x v="0"/>
    <x v="0"/>
    <x v="123"/>
    <n v="290"/>
    <n v="88"/>
    <n v="202"/>
    <n v="2565"/>
    <x v="0"/>
    <n v="0.30344827586206896"/>
    <x v="0"/>
    <x v="670"/>
    <x v="0"/>
  </r>
  <r>
    <x v="717"/>
    <x v="36"/>
    <x v="3"/>
    <x v="3"/>
    <x v="85"/>
    <n v="450"/>
    <n v="415"/>
    <n v="35"/>
    <m/>
    <x v="1"/>
    <n v="0.92222222222222228"/>
    <x v="1"/>
    <x v="7"/>
    <x v="1"/>
  </r>
  <r>
    <x v="718"/>
    <x v="32"/>
    <x v="1"/>
    <x v="3"/>
    <x v="37"/>
    <n v="199"/>
    <n v="45"/>
    <m/>
    <n v="2733"/>
    <x v="0"/>
    <n v="0.22613065326633167"/>
    <x v="0"/>
    <x v="7"/>
    <x v="0"/>
  </r>
  <r>
    <x v="719"/>
    <x v="16"/>
    <x v="4"/>
    <x v="0"/>
    <x v="245"/>
    <n v="175"/>
    <n v="28"/>
    <n v="147"/>
    <n v="2806"/>
    <x v="0"/>
    <n v="0.16"/>
    <x v="0"/>
    <x v="671"/>
    <x v="0"/>
  </r>
  <r>
    <x v="720"/>
    <x v="20"/>
    <x v="2"/>
    <x v="3"/>
    <x v="196"/>
    <m/>
    <n v="113"/>
    <n v="306"/>
    <n v="1134"/>
    <x v="0"/>
    <s v=""/>
    <x v="3"/>
    <x v="672"/>
    <x v="2"/>
  </r>
  <r>
    <x v="721"/>
    <x v="65"/>
    <x v="0"/>
    <x v="2"/>
    <x v="136"/>
    <n v="57"/>
    <n v="17"/>
    <n v="40"/>
    <n v="185"/>
    <x v="1"/>
    <n v="0.2982456140350877"/>
    <x v="0"/>
    <x v="673"/>
    <x v="2"/>
  </r>
  <r>
    <x v="722"/>
    <x v="43"/>
    <x v="4"/>
    <x v="3"/>
    <x v="3"/>
    <n v="445"/>
    <n v="411"/>
    <n v="34"/>
    <n v="1923"/>
    <x v="1"/>
    <n v="0.92359550561797754"/>
    <x v="1"/>
    <x v="674"/>
    <x v="1"/>
  </r>
  <r>
    <x v="723"/>
    <x v="23"/>
    <x v="1"/>
    <x v="0"/>
    <x v="99"/>
    <n v="336"/>
    <n v="283"/>
    <n v="53"/>
    <n v="1597"/>
    <x v="1"/>
    <n v="0.84226190476190477"/>
    <x v="1"/>
    <x v="675"/>
    <x v="1"/>
  </r>
  <r>
    <x v="724"/>
    <x v="38"/>
    <x v="4"/>
    <x v="1"/>
    <x v="11"/>
    <n v="63"/>
    <n v="0"/>
    <n v="63"/>
    <n v="2933"/>
    <x v="0"/>
    <n v="0"/>
    <x v="2"/>
    <x v="676"/>
    <x v="0"/>
  </r>
  <r>
    <x v="725"/>
    <x v="22"/>
    <x v="1"/>
    <x v="0"/>
    <x v="11"/>
    <n v="386"/>
    <n v="0"/>
    <n v="386"/>
    <n v="2093"/>
    <x v="0"/>
    <n v="0"/>
    <x v="2"/>
    <x v="677"/>
    <x v="0"/>
  </r>
  <r>
    <x v="726"/>
    <x v="52"/>
    <x v="3"/>
    <x v="2"/>
    <x v="52"/>
    <n v="260"/>
    <n v="78"/>
    <n v="182"/>
    <n v="1593"/>
    <x v="0"/>
    <n v="0.3"/>
    <x v="0"/>
    <x v="678"/>
    <x v="0"/>
  </r>
  <r>
    <x v="727"/>
    <x v="22"/>
    <x v="1"/>
    <x v="1"/>
    <x v="11"/>
    <n v="125"/>
    <n v="0"/>
    <n v="125"/>
    <n v="1537"/>
    <x v="0"/>
    <n v="0"/>
    <x v="2"/>
    <x v="679"/>
    <x v="0"/>
  </r>
  <r>
    <x v="728"/>
    <x v="20"/>
    <x v="2"/>
    <x v="3"/>
    <x v="11"/>
    <n v="475"/>
    <n v="0"/>
    <n v="475"/>
    <n v="680"/>
    <x v="0"/>
    <n v="0"/>
    <x v="2"/>
    <x v="680"/>
    <x v="0"/>
  </r>
  <r>
    <x v="729"/>
    <x v="72"/>
    <x v="3"/>
    <x v="0"/>
    <x v="4"/>
    <n v="203"/>
    <n v="184"/>
    <n v="19"/>
    <n v="2132"/>
    <x v="1"/>
    <n v="0.90640394088669951"/>
    <x v="1"/>
    <x v="681"/>
    <x v="1"/>
  </r>
  <r>
    <x v="730"/>
    <x v="74"/>
    <x v="2"/>
    <x v="1"/>
    <x v="242"/>
    <n v="193"/>
    <n v="157"/>
    <n v="36"/>
    <n v="502"/>
    <x v="1"/>
    <n v="0.81347150259067358"/>
    <x v="1"/>
    <x v="682"/>
    <x v="1"/>
  </r>
  <r>
    <x v="731"/>
    <x v="53"/>
    <x v="2"/>
    <x v="0"/>
    <x v="11"/>
    <n v="317"/>
    <n v="5"/>
    <n v="317"/>
    <n v="1040"/>
    <x v="0"/>
    <n v="1.5772870662460567E-2"/>
    <x v="0"/>
    <x v="683"/>
    <x v="0"/>
  </r>
  <r>
    <x v="732"/>
    <x v="65"/>
    <x v="0"/>
    <x v="0"/>
    <x v="107"/>
    <n v="82"/>
    <n v="76"/>
    <n v="6"/>
    <n v="1854"/>
    <x v="1"/>
    <n v="0.92682926829268297"/>
    <x v="1"/>
    <x v="684"/>
    <x v="1"/>
  </r>
  <r>
    <x v="733"/>
    <x v="7"/>
    <x v="1"/>
    <x v="1"/>
    <x v="246"/>
    <n v="302"/>
    <n v="277"/>
    <n v="25"/>
    <n v="1491"/>
    <x v="1"/>
    <n v="0.91721854304635764"/>
    <x v="1"/>
    <x v="685"/>
    <x v="1"/>
  </r>
  <r>
    <x v="734"/>
    <x v="3"/>
    <x v="2"/>
    <x v="1"/>
    <x v="7"/>
    <n v="299"/>
    <n v="47"/>
    <n v="252"/>
    <n v="1183"/>
    <x v="0"/>
    <n v="0.15719063545150502"/>
    <x v="0"/>
    <x v="686"/>
    <x v="0"/>
  </r>
  <r>
    <x v="735"/>
    <x v="39"/>
    <x v="2"/>
    <x v="2"/>
    <x v="11"/>
    <n v="203"/>
    <n v="0"/>
    <n v="203"/>
    <n v="2465"/>
    <x v="0"/>
    <n v="0"/>
    <x v="2"/>
    <x v="687"/>
    <x v="0"/>
  </r>
  <r>
    <x v="736"/>
    <x v="58"/>
    <x v="1"/>
    <x v="0"/>
    <x v="247"/>
    <n v="276"/>
    <n v="93"/>
    <n v="183"/>
    <n v="1173"/>
    <x v="0"/>
    <n v="0.33695652173913043"/>
    <x v="0"/>
    <x v="688"/>
    <x v="0"/>
  </r>
  <r>
    <x v="737"/>
    <x v="41"/>
    <x v="3"/>
    <x v="2"/>
    <x v="11"/>
    <n v="99"/>
    <n v="0"/>
    <n v="99"/>
    <n v="1923"/>
    <x v="0"/>
    <n v="0"/>
    <x v="2"/>
    <x v="689"/>
    <x v="0"/>
  </r>
  <r>
    <x v="738"/>
    <x v="20"/>
    <x v="2"/>
    <x v="3"/>
    <x v="11"/>
    <n v="372"/>
    <n v="0"/>
    <n v="372"/>
    <n v="2792"/>
    <x v="0"/>
    <n v="0"/>
    <x v="2"/>
    <x v="690"/>
    <x v="0"/>
  </r>
  <r>
    <x v="739"/>
    <x v="2"/>
    <x v="1"/>
    <x v="3"/>
    <x v="25"/>
    <n v="74"/>
    <n v="61"/>
    <n v="13"/>
    <n v="265"/>
    <x v="1"/>
    <n v="0.82432432432432434"/>
    <x v="1"/>
    <x v="691"/>
    <x v="1"/>
  </r>
  <r>
    <x v="740"/>
    <x v="29"/>
    <x v="1"/>
    <x v="0"/>
    <x v="93"/>
    <n v="101"/>
    <n v="90"/>
    <n v="11"/>
    <n v="1134"/>
    <x v="2"/>
    <n v="0.8910891089108911"/>
    <x v="1"/>
    <x v="692"/>
    <x v="2"/>
  </r>
  <r>
    <x v="741"/>
    <x v="53"/>
    <x v="2"/>
    <x v="1"/>
    <x v="11"/>
    <n v="392"/>
    <n v="0"/>
    <n v="392"/>
    <n v="157"/>
    <x v="0"/>
    <n v="0"/>
    <x v="2"/>
    <x v="693"/>
    <x v="0"/>
  </r>
  <r>
    <x v="742"/>
    <x v="0"/>
    <x v="0"/>
    <x v="3"/>
    <x v="11"/>
    <n v="334"/>
    <n v="0"/>
    <n v="334"/>
    <n v="2072"/>
    <x v="0"/>
    <n v="0"/>
    <x v="2"/>
    <x v="694"/>
    <x v="0"/>
  </r>
  <r>
    <x v="743"/>
    <x v="38"/>
    <x v="4"/>
    <x v="0"/>
    <x v="11"/>
    <n v="156"/>
    <n v="0"/>
    <n v="156"/>
    <n v="2489"/>
    <x v="0"/>
    <n v="0"/>
    <x v="2"/>
    <x v="695"/>
    <x v="0"/>
  </r>
  <r>
    <x v="744"/>
    <x v="64"/>
    <x v="3"/>
    <x v="1"/>
    <x v="81"/>
    <n v="87"/>
    <n v="21"/>
    <n v="66"/>
    <n v="1870"/>
    <x v="0"/>
    <n v="0.2413793103448276"/>
    <x v="0"/>
    <x v="696"/>
    <x v="0"/>
  </r>
  <r>
    <x v="745"/>
    <x v="35"/>
    <x v="2"/>
    <x v="0"/>
    <x v="73"/>
    <n v="200"/>
    <n v="153"/>
    <n v="47"/>
    <n v="1028"/>
    <x v="1"/>
    <n v="0.76500000000000001"/>
    <x v="1"/>
    <x v="697"/>
    <x v="1"/>
  </r>
  <r>
    <x v="746"/>
    <x v="57"/>
    <x v="4"/>
    <x v="0"/>
    <x v="130"/>
    <n v="383"/>
    <n v="129"/>
    <n v="254"/>
    <n v="889"/>
    <x v="0"/>
    <n v="0.33681462140992169"/>
    <x v="0"/>
    <x v="698"/>
    <x v="0"/>
  </r>
  <r>
    <x v="747"/>
    <x v="23"/>
    <x v="1"/>
    <x v="2"/>
    <x v="41"/>
    <n v="297"/>
    <n v="259"/>
    <n v="38"/>
    <n v="1498"/>
    <x v="1"/>
    <n v="0.87205387205387208"/>
    <x v="1"/>
    <x v="699"/>
    <x v="1"/>
  </r>
  <r>
    <x v="748"/>
    <x v="32"/>
    <x v="1"/>
    <x v="0"/>
    <x v="248"/>
    <n v="354"/>
    <n v="294"/>
    <n v="60"/>
    <n v="756"/>
    <x v="0"/>
    <n v="0.83050847457627119"/>
    <x v="1"/>
    <x v="700"/>
    <x v="2"/>
  </r>
  <r>
    <x v="749"/>
    <x v="33"/>
    <x v="4"/>
    <x v="0"/>
    <x v="11"/>
    <n v="157"/>
    <n v="0"/>
    <n v="157"/>
    <n v="1638"/>
    <x v="0"/>
    <n v="0"/>
    <x v="2"/>
    <x v="701"/>
    <x v="0"/>
  </r>
  <r>
    <x v="750"/>
    <x v="4"/>
    <x v="1"/>
    <x v="0"/>
    <x v="249"/>
    <n v="149"/>
    <n v="24"/>
    <n v="125"/>
    <n v="746"/>
    <x v="0"/>
    <n v="0.16107382550335569"/>
    <x v="0"/>
    <x v="702"/>
    <x v="0"/>
  </r>
  <r>
    <x v="751"/>
    <x v="46"/>
    <x v="3"/>
    <x v="3"/>
    <x v="127"/>
    <n v="322"/>
    <n v="321"/>
    <n v="1"/>
    <n v="1442"/>
    <x v="1"/>
    <n v="0.99689440993788825"/>
    <x v="1"/>
    <x v="703"/>
    <x v="1"/>
  </r>
  <r>
    <x v="752"/>
    <x v="26"/>
    <x v="3"/>
    <x v="2"/>
    <x v="95"/>
    <n v="400"/>
    <n v="393"/>
    <n v="7"/>
    <n v="779"/>
    <x v="1"/>
    <n v="0.98250000000000004"/>
    <x v="1"/>
    <x v="704"/>
    <x v="1"/>
  </r>
  <r>
    <x v="753"/>
    <x v="7"/>
    <x v="1"/>
    <x v="3"/>
    <x v="224"/>
    <n v="440"/>
    <n v="57"/>
    <n v="383"/>
    <n v="1722"/>
    <x v="0"/>
    <n v="0.12954545454545455"/>
    <x v="0"/>
    <x v="705"/>
    <x v="0"/>
  </r>
  <r>
    <x v="754"/>
    <x v="70"/>
    <x v="0"/>
    <x v="0"/>
    <x v="19"/>
    <n v="74"/>
    <n v="4"/>
    <n v="70"/>
    <n v="2726"/>
    <x v="0"/>
    <n v="5.4054054054054057E-2"/>
    <x v="0"/>
    <x v="706"/>
    <x v="0"/>
  </r>
  <r>
    <x v="755"/>
    <x v="24"/>
    <x v="4"/>
    <x v="0"/>
    <x v="44"/>
    <n v="343"/>
    <n v="28"/>
    <n v="315"/>
    <n v="2626"/>
    <x v="0"/>
    <n v="8.1632653061224483E-2"/>
    <x v="0"/>
    <x v="707"/>
    <x v="0"/>
  </r>
  <r>
    <x v="756"/>
    <x v="59"/>
    <x v="0"/>
    <x v="2"/>
    <x v="192"/>
    <m/>
    <n v="20"/>
    <n v="45"/>
    <n v="804"/>
    <x v="1"/>
    <s v=""/>
    <x v="3"/>
    <x v="708"/>
    <x v="2"/>
  </r>
  <r>
    <x v="757"/>
    <x v="71"/>
    <x v="0"/>
    <x v="3"/>
    <x v="160"/>
    <n v="193"/>
    <n v="171"/>
    <n v="22"/>
    <n v="2402"/>
    <x v="1"/>
    <n v="0.88601036269430056"/>
    <x v="1"/>
    <x v="709"/>
    <x v="1"/>
  </r>
  <r>
    <x v="758"/>
    <x v="35"/>
    <x v="2"/>
    <x v="1"/>
    <x v="10"/>
    <n v="379"/>
    <n v="129"/>
    <n v="250"/>
    <n v="1481"/>
    <x v="0"/>
    <n v="0.34036939313984171"/>
    <x v="0"/>
    <x v="710"/>
    <x v="0"/>
  </r>
  <r>
    <x v="759"/>
    <x v="68"/>
    <x v="0"/>
    <x v="0"/>
    <x v="11"/>
    <n v="449"/>
    <n v="5"/>
    <n v="449"/>
    <n v="1997"/>
    <x v="0"/>
    <n v="1.1135857461024499E-2"/>
    <x v="0"/>
    <x v="711"/>
    <x v="0"/>
  </r>
  <r>
    <x v="760"/>
    <x v="67"/>
    <x v="1"/>
    <x v="0"/>
    <x v="250"/>
    <n v="336"/>
    <n v="278"/>
    <n v="58"/>
    <n v="1990"/>
    <x v="1"/>
    <n v="0.82738095238095233"/>
    <x v="1"/>
    <x v="712"/>
    <x v="1"/>
  </r>
  <r>
    <x v="761"/>
    <x v="3"/>
    <x v="2"/>
    <x v="3"/>
    <x v="11"/>
    <n v="81"/>
    <n v="5"/>
    <n v="81"/>
    <n v="2340"/>
    <x v="0"/>
    <n v="6.1728395061728392E-2"/>
    <x v="0"/>
    <x v="713"/>
    <x v="0"/>
  </r>
  <r>
    <x v="762"/>
    <x v="3"/>
    <x v="2"/>
    <x v="1"/>
    <x v="182"/>
    <n v="427"/>
    <n v="49"/>
    <n v="378"/>
    <n v="2477"/>
    <x v="0"/>
    <n v="0.11475409836065574"/>
    <x v="0"/>
    <x v="714"/>
    <x v="0"/>
  </r>
  <r>
    <x v="763"/>
    <x v="71"/>
    <x v="0"/>
    <x v="2"/>
    <x v="11"/>
    <n v="89"/>
    <n v="0"/>
    <n v="89"/>
    <n v="2588"/>
    <x v="0"/>
    <n v="0"/>
    <x v="2"/>
    <x v="715"/>
    <x v="0"/>
  </r>
  <r>
    <x v="764"/>
    <x v="39"/>
    <x v="2"/>
    <x v="1"/>
    <x v="11"/>
    <n v="372"/>
    <n v="0"/>
    <n v="372"/>
    <n v="2283"/>
    <x v="0"/>
    <n v="0"/>
    <x v="2"/>
    <x v="716"/>
    <x v="0"/>
  </r>
  <r>
    <x v="765"/>
    <x v="16"/>
    <x v="4"/>
    <x v="3"/>
    <x v="107"/>
    <n v="259"/>
    <n v="82"/>
    <n v="177"/>
    <n v="2046"/>
    <x v="0"/>
    <n v="0.31660231660231658"/>
    <x v="0"/>
    <x v="717"/>
    <x v="0"/>
  </r>
  <r>
    <x v="766"/>
    <x v="67"/>
    <x v="1"/>
    <x v="2"/>
    <x v="11"/>
    <n v="218"/>
    <n v="0"/>
    <n v="218"/>
    <n v="2998"/>
    <x v="0"/>
    <n v="0"/>
    <x v="2"/>
    <x v="718"/>
    <x v="0"/>
  </r>
  <r>
    <x v="767"/>
    <x v="32"/>
    <x v="1"/>
    <x v="0"/>
    <x v="174"/>
    <n v="289"/>
    <n v="68"/>
    <n v="221"/>
    <n v="376"/>
    <x v="0"/>
    <n v="0.23529411764705882"/>
    <x v="0"/>
    <x v="719"/>
    <x v="0"/>
  </r>
  <r>
    <x v="768"/>
    <x v="53"/>
    <x v="2"/>
    <x v="3"/>
    <x v="11"/>
    <n v="383"/>
    <n v="0"/>
    <n v="383"/>
    <n v="905"/>
    <x v="0"/>
    <n v="0"/>
    <x v="2"/>
    <x v="720"/>
    <x v="0"/>
  </r>
  <r>
    <x v="769"/>
    <x v="25"/>
    <x v="0"/>
    <x v="3"/>
    <x v="251"/>
    <n v="212"/>
    <n v="191"/>
    <n v="21"/>
    <n v="2261"/>
    <x v="1"/>
    <n v="0.90094339622641506"/>
    <x v="1"/>
    <x v="721"/>
    <x v="1"/>
  </r>
  <r>
    <x v="770"/>
    <x v="25"/>
    <x v="0"/>
    <x v="0"/>
    <x v="11"/>
    <n v="123"/>
    <n v="0"/>
    <n v="123"/>
    <n v="1141"/>
    <x v="0"/>
    <n v="0"/>
    <x v="2"/>
    <x v="722"/>
    <x v="0"/>
  </r>
  <r>
    <x v="771"/>
    <x v="23"/>
    <x v="1"/>
    <x v="1"/>
    <x v="118"/>
    <n v="342"/>
    <n v="297"/>
    <n v="45"/>
    <n v="2837"/>
    <x v="1"/>
    <n v="0.86842105263157898"/>
    <x v="1"/>
    <x v="723"/>
    <x v="1"/>
  </r>
  <r>
    <x v="772"/>
    <x v="50"/>
    <x v="1"/>
    <x v="3"/>
    <x v="10"/>
    <n v="425"/>
    <n v="106"/>
    <n v="319"/>
    <n v="1615"/>
    <x v="0"/>
    <n v="0.24941176470588236"/>
    <x v="0"/>
    <x v="724"/>
    <x v="0"/>
  </r>
  <r>
    <x v="773"/>
    <x v="1"/>
    <x v="0"/>
    <x v="3"/>
    <x v="74"/>
    <n v="427"/>
    <n v="310"/>
    <n v="117"/>
    <n v="1779"/>
    <x v="0"/>
    <n v="0.72599531615925061"/>
    <x v="1"/>
    <x v="725"/>
    <x v="2"/>
  </r>
  <r>
    <x v="774"/>
    <x v="18"/>
    <x v="2"/>
    <x v="2"/>
    <x v="97"/>
    <n v="242"/>
    <n v="198"/>
    <n v="44"/>
    <n v="2943"/>
    <x v="1"/>
    <n v="0.81818181818181823"/>
    <x v="1"/>
    <x v="726"/>
    <x v="1"/>
  </r>
  <r>
    <x v="775"/>
    <x v="52"/>
    <x v="3"/>
    <x v="1"/>
    <x v="48"/>
    <n v="78"/>
    <n v="58"/>
    <n v="20"/>
    <n v="204"/>
    <x v="1"/>
    <n v="0.74358974358974361"/>
    <x v="1"/>
    <x v="727"/>
    <x v="1"/>
  </r>
  <r>
    <x v="776"/>
    <x v="28"/>
    <x v="0"/>
    <x v="3"/>
    <x v="236"/>
    <n v="102"/>
    <n v="85"/>
    <n v="17"/>
    <n v="387"/>
    <x v="1"/>
    <n v="0.83333333333333337"/>
    <x v="1"/>
    <x v="728"/>
    <x v="1"/>
  </r>
  <r>
    <x v="777"/>
    <x v="28"/>
    <x v="0"/>
    <x v="1"/>
    <x v="63"/>
    <n v="407"/>
    <n v="371"/>
    <n v="36"/>
    <n v="2479"/>
    <x v="1"/>
    <n v="0.91154791154791159"/>
    <x v="1"/>
    <x v="729"/>
    <x v="1"/>
  </r>
  <r>
    <x v="778"/>
    <x v="30"/>
    <x v="2"/>
    <x v="3"/>
    <x v="150"/>
    <n v="291"/>
    <n v="89"/>
    <n v="202"/>
    <n v="1511"/>
    <x v="0"/>
    <n v="0.30584192439862545"/>
    <x v="0"/>
    <x v="730"/>
    <x v="0"/>
  </r>
  <r>
    <x v="779"/>
    <x v="48"/>
    <x v="0"/>
    <x v="0"/>
    <x v="11"/>
    <n v="154"/>
    <n v="0"/>
    <n v="154"/>
    <n v="2822"/>
    <x v="0"/>
    <n v="0"/>
    <x v="2"/>
    <x v="731"/>
    <x v="0"/>
  </r>
  <r>
    <x v="780"/>
    <x v="3"/>
    <x v="2"/>
    <x v="3"/>
    <x v="11"/>
    <n v="75"/>
    <n v="0"/>
    <n v="75"/>
    <n v="2160"/>
    <x v="0"/>
    <n v="0"/>
    <x v="2"/>
    <x v="732"/>
    <x v="0"/>
  </r>
  <r>
    <x v="781"/>
    <x v="47"/>
    <x v="0"/>
    <x v="0"/>
    <x v="40"/>
    <n v="171"/>
    <n v="38"/>
    <n v="133"/>
    <n v="56"/>
    <x v="0"/>
    <n v="0.22222222222222221"/>
    <x v="0"/>
    <x v="733"/>
    <x v="0"/>
  </r>
  <r>
    <x v="782"/>
    <x v="64"/>
    <x v="3"/>
    <x v="3"/>
    <x v="249"/>
    <n v="97"/>
    <n v="76"/>
    <n v="21"/>
    <n v="880"/>
    <x v="1"/>
    <n v="0.78350515463917525"/>
    <x v="1"/>
    <x v="734"/>
    <x v="1"/>
  </r>
  <r>
    <x v="783"/>
    <x v="20"/>
    <x v="2"/>
    <x v="0"/>
    <x v="11"/>
    <n v="197"/>
    <n v="0"/>
    <n v="197"/>
    <n v="544"/>
    <x v="0"/>
    <n v="0"/>
    <x v="2"/>
    <x v="735"/>
    <x v="0"/>
  </r>
  <r>
    <x v="784"/>
    <x v="19"/>
    <x v="4"/>
    <x v="0"/>
    <x v="11"/>
    <n v="390"/>
    <n v="0"/>
    <n v="390"/>
    <n v="656"/>
    <x v="0"/>
    <n v="0"/>
    <x v="2"/>
    <x v="736"/>
    <x v="0"/>
  </r>
  <r>
    <x v="785"/>
    <x v="50"/>
    <x v="1"/>
    <x v="0"/>
    <x v="165"/>
    <n v="417"/>
    <n v="29"/>
    <m/>
    <n v="2064"/>
    <x v="0"/>
    <n v="6.9544364508393283E-2"/>
    <x v="0"/>
    <x v="7"/>
    <x v="0"/>
  </r>
  <r>
    <x v="786"/>
    <x v="33"/>
    <x v="4"/>
    <x v="1"/>
    <x v="136"/>
    <n v="400"/>
    <n v="298"/>
    <n v="102"/>
    <n v="1782"/>
    <x v="0"/>
    <n v="0.745"/>
    <x v="1"/>
    <x v="737"/>
    <x v="2"/>
  </r>
  <r>
    <x v="787"/>
    <x v="70"/>
    <x v="0"/>
    <x v="0"/>
    <x v="238"/>
    <n v="72"/>
    <n v="53"/>
    <n v="19"/>
    <n v="1616"/>
    <x v="1"/>
    <n v="0.73611111111111116"/>
    <x v="1"/>
    <x v="738"/>
    <x v="1"/>
  </r>
  <r>
    <x v="788"/>
    <x v="12"/>
    <x v="3"/>
    <x v="1"/>
    <x v="245"/>
    <n v="133"/>
    <n v="128"/>
    <n v="5"/>
    <n v="1263"/>
    <x v="1"/>
    <n v="0.96240601503759393"/>
    <x v="1"/>
    <x v="739"/>
    <x v="1"/>
  </r>
  <r>
    <x v="789"/>
    <x v="66"/>
    <x v="3"/>
    <x v="0"/>
    <x v="11"/>
    <n v="179"/>
    <n v="0"/>
    <n v="179"/>
    <n v="1128"/>
    <x v="0"/>
    <n v="0"/>
    <x v="2"/>
    <x v="740"/>
    <x v="0"/>
  </r>
  <r>
    <x v="790"/>
    <x v="6"/>
    <x v="2"/>
    <x v="2"/>
    <x v="119"/>
    <n v="261"/>
    <n v="72"/>
    <n v="189"/>
    <m/>
    <x v="0"/>
    <n v="0.27586206896551724"/>
    <x v="0"/>
    <x v="7"/>
    <x v="0"/>
  </r>
  <r>
    <x v="791"/>
    <x v="33"/>
    <x v="4"/>
    <x v="2"/>
    <x v="252"/>
    <n v="478"/>
    <n v="36"/>
    <n v="442"/>
    <n v="1283"/>
    <x v="0"/>
    <n v="7.5313807531380755E-2"/>
    <x v="0"/>
    <x v="741"/>
    <x v="0"/>
  </r>
  <r>
    <x v="792"/>
    <x v="62"/>
    <x v="4"/>
    <x v="3"/>
    <x v="179"/>
    <n v="300"/>
    <n v="290"/>
    <n v="10"/>
    <n v="2181"/>
    <x v="1"/>
    <n v="0.96666666666666667"/>
    <x v="1"/>
    <x v="742"/>
    <x v="1"/>
  </r>
  <r>
    <x v="793"/>
    <x v="5"/>
    <x v="3"/>
    <x v="0"/>
    <x v="8"/>
    <n v="412"/>
    <n v="66"/>
    <n v="346"/>
    <n v="966"/>
    <x v="0"/>
    <n v="0.16019417475728157"/>
    <x v="0"/>
    <x v="743"/>
    <x v="0"/>
  </r>
  <r>
    <x v="794"/>
    <x v="50"/>
    <x v="1"/>
    <x v="1"/>
    <x v="11"/>
    <n v="62"/>
    <n v="0"/>
    <n v="62"/>
    <n v="1948"/>
    <x v="0"/>
    <n v="0"/>
    <x v="2"/>
    <x v="744"/>
    <x v="0"/>
  </r>
  <r>
    <x v="795"/>
    <x v="26"/>
    <x v="3"/>
    <x v="2"/>
    <x v="11"/>
    <n v="212"/>
    <n v="0"/>
    <n v="212"/>
    <m/>
    <x v="0"/>
    <n v="0"/>
    <x v="2"/>
    <x v="7"/>
    <x v="0"/>
  </r>
  <r>
    <x v="796"/>
    <x v="16"/>
    <x v="4"/>
    <x v="3"/>
    <x v="25"/>
    <n v="185"/>
    <n v="59"/>
    <n v="126"/>
    <n v="924"/>
    <x v="0"/>
    <n v="0.31891891891891894"/>
    <x v="0"/>
    <x v="745"/>
    <x v="0"/>
  </r>
  <r>
    <x v="797"/>
    <x v="45"/>
    <x v="3"/>
    <x v="1"/>
    <x v="58"/>
    <n v="53"/>
    <n v="18"/>
    <n v="35"/>
    <n v="2133"/>
    <x v="1"/>
    <n v="0.33962264150943394"/>
    <x v="0"/>
    <x v="746"/>
    <x v="2"/>
  </r>
  <r>
    <x v="798"/>
    <x v="68"/>
    <x v="0"/>
    <x v="0"/>
    <x v="43"/>
    <n v="241"/>
    <n v="89"/>
    <n v="152"/>
    <n v="1346"/>
    <x v="0"/>
    <n v="0.36929460580912865"/>
    <x v="0"/>
    <x v="747"/>
    <x v="0"/>
  </r>
  <r>
    <x v="799"/>
    <x v="37"/>
    <x v="4"/>
    <x v="1"/>
    <x v="245"/>
    <n v="257"/>
    <n v="98"/>
    <n v="159"/>
    <m/>
    <x v="0"/>
    <n v="0.38132295719844356"/>
    <x v="0"/>
    <x v="7"/>
    <x v="0"/>
  </r>
  <r>
    <x v="800"/>
    <x v="43"/>
    <x v="5"/>
    <x v="3"/>
    <x v="165"/>
    <n v="163"/>
    <n v="137"/>
    <n v="31"/>
    <n v="2169"/>
    <x v="1"/>
    <n v="0.8404907975460123"/>
    <x v="1"/>
    <x v="748"/>
    <x v="1"/>
  </r>
  <r>
    <x v="801"/>
    <x v="8"/>
    <x v="4"/>
    <x v="2"/>
    <x v="11"/>
    <n v="394"/>
    <n v="0"/>
    <n v="394"/>
    <n v="1545"/>
    <x v="0"/>
    <n v="0"/>
    <x v="2"/>
    <x v="749"/>
    <x v="0"/>
  </r>
  <r>
    <x v="802"/>
    <x v="74"/>
    <x v="2"/>
    <x v="2"/>
    <x v="116"/>
    <m/>
    <n v="56"/>
    <n v="16"/>
    <n v="2722"/>
    <x v="1"/>
    <s v=""/>
    <x v="3"/>
    <x v="750"/>
    <x v="2"/>
  </r>
  <r>
    <x v="803"/>
    <x v="3"/>
    <x v="2"/>
    <x v="0"/>
    <x v="185"/>
    <n v="396"/>
    <n v="332"/>
    <n v="64"/>
    <n v="1268"/>
    <x v="0"/>
    <n v="0.83838383838383834"/>
    <x v="1"/>
    <x v="751"/>
    <x v="2"/>
  </r>
  <r>
    <x v="804"/>
    <x v="52"/>
    <x v="3"/>
    <x v="1"/>
    <x v="178"/>
    <n v="261"/>
    <n v="32"/>
    <n v="229"/>
    <n v="123"/>
    <x v="0"/>
    <n v="0.12260536398467432"/>
    <x v="0"/>
    <x v="752"/>
    <x v="0"/>
  </r>
  <r>
    <x v="805"/>
    <x v="7"/>
    <x v="1"/>
    <x v="3"/>
    <x v="116"/>
    <n v="346"/>
    <n v="108"/>
    <n v="238"/>
    <n v="300"/>
    <x v="0"/>
    <n v="0.31213872832369943"/>
    <x v="0"/>
    <x v="753"/>
    <x v="0"/>
  </r>
  <r>
    <x v="806"/>
    <x v="49"/>
    <x v="4"/>
    <x v="2"/>
    <x v="11"/>
    <n v="488"/>
    <n v="0"/>
    <n v="488"/>
    <n v="337"/>
    <x v="0"/>
    <n v="0"/>
    <x v="2"/>
    <x v="754"/>
    <x v="0"/>
  </r>
  <r>
    <x v="807"/>
    <x v="66"/>
    <x v="3"/>
    <x v="1"/>
    <x v="60"/>
    <n v="159"/>
    <n v="17"/>
    <n v="142"/>
    <n v="388"/>
    <x v="0"/>
    <n v="0.1069182389937107"/>
    <x v="0"/>
    <x v="755"/>
    <x v="0"/>
  </r>
  <r>
    <x v="808"/>
    <x v="19"/>
    <x v="4"/>
    <x v="2"/>
    <x v="108"/>
    <n v="122"/>
    <n v="27"/>
    <n v="95"/>
    <m/>
    <x v="0"/>
    <n v="0.22131147540983606"/>
    <x v="0"/>
    <x v="7"/>
    <x v="0"/>
  </r>
  <r>
    <x v="809"/>
    <x v="46"/>
    <x v="3"/>
    <x v="0"/>
    <x v="11"/>
    <n v="186"/>
    <n v="0"/>
    <n v="186"/>
    <n v="975"/>
    <x v="0"/>
    <n v="0"/>
    <x v="2"/>
    <x v="756"/>
    <x v="0"/>
  </r>
  <r>
    <x v="810"/>
    <x v="60"/>
    <x v="2"/>
    <x v="1"/>
    <x v="11"/>
    <m/>
    <n v="0"/>
    <n v="138"/>
    <n v="2377"/>
    <x v="0"/>
    <s v=""/>
    <x v="3"/>
    <x v="757"/>
    <x v="2"/>
  </r>
  <r>
    <x v="811"/>
    <x v="33"/>
    <x v="4"/>
    <x v="2"/>
    <x v="100"/>
    <n v="262"/>
    <n v="53"/>
    <n v="214"/>
    <n v="1326"/>
    <x v="0"/>
    <n v="0.20229007633587787"/>
    <x v="0"/>
    <x v="758"/>
    <x v="0"/>
  </r>
  <r>
    <x v="812"/>
    <x v="48"/>
    <x v="0"/>
    <x v="3"/>
    <x v="168"/>
    <n v="297"/>
    <n v="255"/>
    <n v="42"/>
    <n v="2950"/>
    <x v="1"/>
    <n v="0.85858585858585856"/>
    <x v="1"/>
    <x v="759"/>
    <x v="1"/>
  </r>
  <r>
    <x v="813"/>
    <x v="28"/>
    <x v="0"/>
    <x v="3"/>
    <x v="38"/>
    <n v="343"/>
    <n v="303"/>
    <n v="40"/>
    <n v="244"/>
    <x v="1"/>
    <n v="0.88338192419825068"/>
    <x v="1"/>
    <x v="760"/>
    <x v="1"/>
  </r>
  <r>
    <x v="814"/>
    <x v="64"/>
    <x v="3"/>
    <x v="2"/>
    <x v="253"/>
    <n v="181"/>
    <n v="150"/>
    <n v="31"/>
    <n v="2997"/>
    <x v="1"/>
    <n v="0.82872928176795579"/>
    <x v="1"/>
    <x v="761"/>
    <x v="1"/>
  </r>
  <r>
    <x v="815"/>
    <x v="31"/>
    <x v="1"/>
    <x v="1"/>
    <x v="11"/>
    <n v="258"/>
    <n v="0"/>
    <n v="258"/>
    <m/>
    <x v="0"/>
    <n v="0"/>
    <x v="2"/>
    <x v="7"/>
    <x v="0"/>
  </r>
  <r>
    <x v="816"/>
    <x v="57"/>
    <x v="4"/>
    <x v="3"/>
    <x v="11"/>
    <n v="289"/>
    <n v="0"/>
    <n v="289"/>
    <n v="983"/>
    <x v="0"/>
    <n v="0"/>
    <x v="2"/>
    <x v="762"/>
    <x v="0"/>
  </r>
  <r>
    <x v="817"/>
    <x v="53"/>
    <x v="2"/>
    <x v="3"/>
    <x v="11"/>
    <n v="188"/>
    <n v="0"/>
    <n v="188"/>
    <n v="65"/>
    <x v="0"/>
    <n v="0"/>
    <x v="2"/>
    <x v="763"/>
    <x v="0"/>
  </r>
  <r>
    <x v="818"/>
    <x v="73"/>
    <x v="2"/>
    <x v="0"/>
    <x v="11"/>
    <n v="285"/>
    <n v="0"/>
    <n v="285"/>
    <n v="1458"/>
    <x v="0"/>
    <n v="0"/>
    <x v="2"/>
    <x v="764"/>
    <x v="0"/>
  </r>
  <r>
    <x v="819"/>
    <x v="61"/>
    <x v="3"/>
    <x v="1"/>
    <x v="177"/>
    <n v="146"/>
    <n v="116"/>
    <n v="30"/>
    <m/>
    <x v="1"/>
    <n v="0.79452054794520544"/>
    <x v="1"/>
    <x v="7"/>
    <x v="1"/>
  </r>
  <r>
    <x v="820"/>
    <x v="63"/>
    <x v="2"/>
    <x v="0"/>
    <x v="114"/>
    <n v="491"/>
    <n v="392"/>
    <n v="99"/>
    <n v="188"/>
    <x v="0"/>
    <n v="0.79837067209775969"/>
    <x v="1"/>
    <x v="765"/>
    <x v="2"/>
  </r>
  <r>
    <x v="821"/>
    <x v="38"/>
    <x v="4"/>
    <x v="3"/>
    <x v="11"/>
    <n v="385"/>
    <n v="0"/>
    <n v="385"/>
    <n v="2371"/>
    <x v="0"/>
    <n v="0"/>
    <x v="2"/>
    <x v="766"/>
    <x v="0"/>
  </r>
  <r>
    <x v="822"/>
    <x v="17"/>
    <x v="3"/>
    <x v="2"/>
    <x v="227"/>
    <n v="146"/>
    <m/>
    <n v="124"/>
    <m/>
    <x v="0"/>
    <s v=""/>
    <x v="3"/>
    <x v="7"/>
    <x v="2"/>
  </r>
  <r>
    <x v="823"/>
    <x v="64"/>
    <x v="3"/>
    <x v="0"/>
    <x v="11"/>
    <n v="477"/>
    <n v="0"/>
    <n v="477"/>
    <n v="776"/>
    <x v="0"/>
    <n v="0"/>
    <x v="2"/>
    <x v="767"/>
    <x v="0"/>
  </r>
  <r>
    <x v="824"/>
    <x v="70"/>
    <x v="0"/>
    <x v="2"/>
    <x v="115"/>
    <n v="368"/>
    <m/>
    <n v="54"/>
    <n v="387"/>
    <x v="1"/>
    <s v=""/>
    <x v="3"/>
    <x v="768"/>
    <x v="2"/>
  </r>
  <r>
    <x v="825"/>
    <x v="21"/>
    <x v="0"/>
    <x v="0"/>
    <x v="149"/>
    <n v="82"/>
    <n v="70"/>
    <n v="12"/>
    <n v="1428"/>
    <x v="1"/>
    <n v="0.85365853658536583"/>
    <x v="1"/>
    <x v="769"/>
    <x v="1"/>
  </r>
  <r>
    <x v="826"/>
    <x v="8"/>
    <x v="4"/>
    <x v="0"/>
    <x v="11"/>
    <n v="134"/>
    <n v="0"/>
    <n v="134"/>
    <n v="1680"/>
    <x v="0"/>
    <n v="0"/>
    <x v="2"/>
    <x v="770"/>
    <x v="0"/>
  </r>
  <r>
    <x v="827"/>
    <x v="10"/>
    <x v="4"/>
    <x v="3"/>
    <x v="172"/>
    <n v="148"/>
    <n v="111"/>
    <n v="37"/>
    <n v="236"/>
    <x v="1"/>
    <n v="0.75"/>
    <x v="1"/>
    <x v="771"/>
    <x v="1"/>
  </r>
  <r>
    <x v="828"/>
    <x v="33"/>
    <x v="5"/>
    <x v="0"/>
    <x v="254"/>
    <n v="119"/>
    <n v="114"/>
    <n v="5"/>
    <n v="1553"/>
    <x v="1"/>
    <n v="0.95798319327731096"/>
    <x v="1"/>
    <x v="772"/>
    <x v="1"/>
  </r>
  <r>
    <x v="829"/>
    <x v="55"/>
    <x v="1"/>
    <x v="2"/>
    <x v="11"/>
    <n v="262"/>
    <n v="0"/>
    <n v="262"/>
    <n v="1177"/>
    <x v="0"/>
    <n v="0"/>
    <x v="2"/>
    <x v="773"/>
    <x v="0"/>
  </r>
  <r>
    <x v="830"/>
    <x v="16"/>
    <x v="4"/>
    <x v="0"/>
    <x v="94"/>
    <n v="274"/>
    <n v="265"/>
    <n v="9"/>
    <n v="2078"/>
    <x v="1"/>
    <n v="0.96715328467153283"/>
    <x v="1"/>
    <x v="774"/>
    <x v="1"/>
  </r>
  <r>
    <x v="831"/>
    <x v="17"/>
    <x v="3"/>
    <x v="1"/>
    <x v="61"/>
    <n v="194"/>
    <n v="65"/>
    <n v="129"/>
    <n v="113"/>
    <x v="0"/>
    <n v="0.33505154639175255"/>
    <x v="0"/>
    <x v="775"/>
    <x v="0"/>
  </r>
  <r>
    <x v="832"/>
    <x v="23"/>
    <x v="1"/>
    <x v="0"/>
    <x v="254"/>
    <n v="402"/>
    <n v="365"/>
    <n v="37"/>
    <n v="516"/>
    <x v="1"/>
    <n v="0.90796019900497515"/>
    <x v="1"/>
    <x v="776"/>
    <x v="1"/>
  </r>
  <r>
    <x v="833"/>
    <x v="29"/>
    <x v="1"/>
    <x v="0"/>
    <x v="11"/>
    <n v="254"/>
    <n v="0"/>
    <n v="254"/>
    <n v="251"/>
    <x v="0"/>
    <n v="0"/>
    <x v="2"/>
    <x v="777"/>
    <x v="0"/>
  </r>
  <r>
    <x v="834"/>
    <x v="56"/>
    <x v="1"/>
    <x v="2"/>
    <x v="246"/>
    <n v="273"/>
    <n v="249"/>
    <n v="24"/>
    <n v="645"/>
    <x v="1"/>
    <n v="0.91208791208791207"/>
    <x v="1"/>
    <x v="778"/>
    <x v="1"/>
  </r>
  <r>
    <x v="835"/>
    <x v="32"/>
    <x v="1"/>
    <x v="0"/>
    <x v="11"/>
    <n v="294"/>
    <n v="0"/>
    <n v="294"/>
    <n v="1527"/>
    <x v="0"/>
    <n v="0"/>
    <x v="2"/>
    <x v="779"/>
    <x v="0"/>
  </r>
  <r>
    <x v="836"/>
    <x v="13"/>
    <x v="1"/>
    <x v="1"/>
    <x v="231"/>
    <n v="137"/>
    <n v="21"/>
    <n v="116"/>
    <n v="2965"/>
    <x v="0"/>
    <n v="0.15328467153284672"/>
    <x v="0"/>
    <x v="780"/>
    <x v="0"/>
  </r>
  <r>
    <x v="837"/>
    <x v="38"/>
    <x v="4"/>
    <x v="2"/>
    <x v="176"/>
    <n v="79"/>
    <n v="27"/>
    <n v="52"/>
    <n v="2607"/>
    <x v="1"/>
    <n v="0.34177215189873417"/>
    <x v="0"/>
    <x v="781"/>
    <x v="2"/>
  </r>
  <r>
    <x v="838"/>
    <x v="17"/>
    <x v="3"/>
    <x v="0"/>
    <x v="11"/>
    <n v="356"/>
    <n v="0"/>
    <n v="356"/>
    <n v="773"/>
    <x v="0"/>
    <n v="0"/>
    <x v="2"/>
    <x v="782"/>
    <x v="0"/>
  </r>
  <r>
    <x v="839"/>
    <x v="11"/>
    <x v="4"/>
    <x v="1"/>
    <x v="201"/>
    <m/>
    <m/>
    <n v="343"/>
    <n v="2890"/>
    <x v="0"/>
    <s v=""/>
    <x v="3"/>
    <x v="783"/>
    <x v="2"/>
  </r>
  <r>
    <x v="840"/>
    <x v="8"/>
    <x v="4"/>
    <x v="2"/>
    <x v="82"/>
    <n v="260"/>
    <n v="42"/>
    <n v="218"/>
    <n v="2266"/>
    <x v="0"/>
    <n v="0.16153846153846155"/>
    <x v="0"/>
    <x v="784"/>
    <x v="0"/>
  </r>
  <r>
    <x v="841"/>
    <x v="48"/>
    <x v="0"/>
    <x v="2"/>
    <x v="11"/>
    <n v="384"/>
    <n v="0"/>
    <n v="384"/>
    <n v="2768"/>
    <x v="0"/>
    <n v="0"/>
    <x v="2"/>
    <x v="785"/>
    <x v="0"/>
  </r>
  <r>
    <x v="842"/>
    <x v="38"/>
    <x v="4"/>
    <x v="1"/>
    <x v="160"/>
    <n v="112"/>
    <n v="32"/>
    <n v="80"/>
    <n v="705"/>
    <x v="0"/>
    <n v="0.2857142857142857"/>
    <x v="0"/>
    <x v="786"/>
    <x v="0"/>
  </r>
  <r>
    <x v="843"/>
    <x v="70"/>
    <x v="0"/>
    <x v="0"/>
    <x v="4"/>
    <n v="54"/>
    <n v="53"/>
    <n v="1"/>
    <n v="1023"/>
    <x v="1"/>
    <n v="0.98148148148148151"/>
    <x v="1"/>
    <x v="787"/>
    <x v="1"/>
  </r>
  <r>
    <x v="844"/>
    <x v="12"/>
    <x v="3"/>
    <x v="3"/>
    <x v="31"/>
    <n v="159"/>
    <n v="45"/>
    <n v="114"/>
    <n v="686"/>
    <x v="0"/>
    <n v="0.28301886792452829"/>
    <x v="0"/>
    <x v="788"/>
    <x v="0"/>
  </r>
  <r>
    <x v="845"/>
    <x v="66"/>
    <x v="3"/>
    <x v="2"/>
    <x v="106"/>
    <n v="345"/>
    <n v="109"/>
    <n v="236"/>
    <n v="2263"/>
    <x v="0"/>
    <n v="0.31594202898550727"/>
    <x v="0"/>
    <x v="789"/>
    <x v="0"/>
  </r>
  <r>
    <x v="846"/>
    <x v="34"/>
    <x v="3"/>
    <x v="2"/>
    <x v="75"/>
    <n v="478"/>
    <n v="438"/>
    <n v="40"/>
    <n v="2377"/>
    <x v="1"/>
    <n v="0.91631799163179917"/>
    <x v="1"/>
    <x v="790"/>
    <x v="1"/>
  </r>
  <r>
    <x v="847"/>
    <x v="51"/>
    <x v="4"/>
    <x v="1"/>
    <x v="205"/>
    <n v="60"/>
    <n v="12"/>
    <n v="48"/>
    <n v="2403"/>
    <x v="1"/>
    <n v="0.2"/>
    <x v="0"/>
    <x v="791"/>
    <x v="2"/>
  </r>
  <r>
    <x v="848"/>
    <x v="68"/>
    <x v="0"/>
    <x v="0"/>
    <x v="11"/>
    <n v="238"/>
    <n v="0"/>
    <n v="238"/>
    <n v="90"/>
    <x v="0"/>
    <n v="0"/>
    <x v="2"/>
    <x v="792"/>
    <x v="0"/>
  </r>
  <r>
    <x v="849"/>
    <x v="27"/>
    <x v="0"/>
    <x v="3"/>
    <x v="11"/>
    <n v="258"/>
    <n v="0"/>
    <n v="258"/>
    <n v="1185"/>
    <x v="0"/>
    <n v="0"/>
    <x v="2"/>
    <x v="793"/>
    <x v="0"/>
  </r>
  <r>
    <x v="850"/>
    <x v="21"/>
    <x v="5"/>
    <x v="0"/>
    <x v="11"/>
    <n v="368"/>
    <n v="0"/>
    <n v="368"/>
    <m/>
    <x v="0"/>
    <n v="0"/>
    <x v="2"/>
    <x v="7"/>
    <x v="0"/>
  </r>
  <r>
    <x v="851"/>
    <x v="54"/>
    <x v="2"/>
    <x v="0"/>
    <x v="11"/>
    <n v="355"/>
    <n v="0"/>
    <n v="355"/>
    <n v="1827"/>
    <x v="2"/>
    <n v="0"/>
    <x v="2"/>
    <x v="794"/>
    <x v="2"/>
  </r>
  <r>
    <x v="852"/>
    <x v="3"/>
    <x v="2"/>
    <x v="2"/>
    <x v="218"/>
    <n v="355"/>
    <n v="281"/>
    <n v="74"/>
    <n v="2818"/>
    <x v="0"/>
    <n v="0.79154929577464783"/>
    <x v="1"/>
    <x v="795"/>
    <x v="2"/>
  </r>
  <r>
    <x v="853"/>
    <x v="23"/>
    <x v="1"/>
    <x v="2"/>
    <x v="213"/>
    <n v="344"/>
    <n v="55"/>
    <n v="289"/>
    <n v="1035"/>
    <x v="0"/>
    <n v="0.15988372093023256"/>
    <x v="0"/>
    <x v="796"/>
    <x v="0"/>
  </r>
  <r>
    <x v="854"/>
    <x v="41"/>
    <x v="3"/>
    <x v="3"/>
    <x v="188"/>
    <n v="223"/>
    <n v="73"/>
    <n v="150"/>
    <n v="1220"/>
    <x v="0"/>
    <n v="0.3273542600896861"/>
    <x v="0"/>
    <x v="797"/>
    <x v="0"/>
  </r>
  <r>
    <x v="855"/>
    <x v="28"/>
    <x v="0"/>
    <x v="1"/>
    <x v="2"/>
    <n v="323"/>
    <n v="32"/>
    <n v="291"/>
    <m/>
    <x v="0"/>
    <n v="9.9071207430340563E-2"/>
    <x v="0"/>
    <x v="7"/>
    <x v="0"/>
  </r>
  <r>
    <x v="856"/>
    <x v="0"/>
    <x v="0"/>
    <x v="3"/>
    <x v="253"/>
    <n v="214"/>
    <n v="163"/>
    <n v="51"/>
    <n v="1840"/>
    <x v="1"/>
    <n v="0.76168224299065423"/>
    <x v="1"/>
    <x v="798"/>
    <x v="1"/>
  </r>
  <r>
    <x v="857"/>
    <x v="40"/>
    <x v="2"/>
    <x v="2"/>
    <x v="106"/>
    <n v="180"/>
    <n v="25"/>
    <n v="155"/>
    <n v="249"/>
    <x v="0"/>
    <n v="0.1388888888888889"/>
    <x v="0"/>
    <x v="799"/>
    <x v="0"/>
  </r>
  <r>
    <x v="858"/>
    <x v="63"/>
    <x v="2"/>
    <x v="3"/>
    <x v="11"/>
    <n v="181"/>
    <n v="0"/>
    <n v="181"/>
    <n v="1512"/>
    <x v="0"/>
    <n v="0"/>
    <x v="2"/>
    <x v="800"/>
    <x v="0"/>
  </r>
  <r>
    <x v="859"/>
    <x v="60"/>
    <x v="2"/>
    <x v="3"/>
    <x v="6"/>
    <n v="310"/>
    <n v="56"/>
    <n v="254"/>
    <n v="847"/>
    <x v="0"/>
    <n v="0.18064516129032257"/>
    <x v="0"/>
    <x v="801"/>
    <x v="0"/>
  </r>
  <r>
    <x v="860"/>
    <x v="18"/>
    <x v="2"/>
    <x v="1"/>
    <x v="11"/>
    <n v="100"/>
    <n v="0"/>
    <n v="100"/>
    <n v="2413"/>
    <x v="0"/>
    <n v="0"/>
    <x v="2"/>
    <x v="802"/>
    <x v="0"/>
  </r>
  <r>
    <x v="861"/>
    <x v="57"/>
    <x v="4"/>
    <x v="1"/>
    <x v="70"/>
    <n v="345"/>
    <n v="80"/>
    <n v="265"/>
    <n v="2624"/>
    <x v="0"/>
    <n v="0.2318840579710145"/>
    <x v="0"/>
    <x v="803"/>
    <x v="0"/>
  </r>
  <r>
    <x v="862"/>
    <x v="27"/>
    <x v="0"/>
    <x v="0"/>
    <x v="11"/>
    <n v="105"/>
    <n v="0"/>
    <n v="105"/>
    <n v="370"/>
    <x v="0"/>
    <n v="0"/>
    <x v="2"/>
    <x v="804"/>
    <x v="0"/>
  </r>
  <r>
    <x v="863"/>
    <x v="1"/>
    <x v="0"/>
    <x v="3"/>
    <x v="130"/>
    <n v="234"/>
    <n v="181"/>
    <n v="53"/>
    <n v="2985"/>
    <x v="1"/>
    <n v="0.77350427350427353"/>
    <x v="1"/>
    <x v="805"/>
    <x v="1"/>
  </r>
  <r>
    <x v="864"/>
    <x v="60"/>
    <x v="2"/>
    <x v="2"/>
    <x v="140"/>
    <n v="110"/>
    <n v="33"/>
    <n v="77"/>
    <n v="1238"/>
    <x v="0"/>
    <n v="0.3"/>
    <x v="0"/>
    <x v="806"/>
    <x v="0"/>
  </r>
  <r>
    <x v="865"/>
    <x v="23"/>
    <x v="1"/>
    <x v="2"/>
    <x v="50"/>
    <n v="449"/>
    <n v="358"/>
    <n v="91"/>
    <n v="1968"/>
    <x v="0"/>
    <n v="0.79732739420935417"/>
    <x v="1"/>
    <x v="807"/>
    <x v="2"/>
  </r>
  <r>
    <x v="866"/>
    <x v="69"/>
    <x v="3"/>
    <x v="2"/>
    <x v="11"/>
    <n v="87"/>
    <n v="0"/>
    <n v="87"/>
    <n v="149"/>
    <x v="0"/>
    <n v="0"/>
    <x v="2"/>
    <x v="808"/>
    <x v="0"/>
  </r>
  <r>
    <x v="867"/>
    <x v="59"/>
    <x v="0"/>
    <x v="3"/>
    <x v="65"/>
    <n v="160"/>
    <n v="15"/>
    <n v="145"/>
    <n v="234"/>
    <x v="0"/>
    <n v="9.375E-2"/>
    <x v="0"/>
    <x v="809"/>
    <x v="0"/>
  </r>
  <r>
    <x v="868"/>
    <x v="63"/>
    <x v="2"/>
    <x v="0"/>
    <x v="255"/>
    <n v="400"/>
    <n v="369"/>
    <n v="31"/>
    <n v="2090"/>
    <x v="1"/>
    <n v="0.92249999999999999"/>
    <x v="1"/>
    <x v="810"/>
    <x v="1"/>
  </r>
  <r>
    <x v="869"/>
    <x v="0"/>
    <x v="0"/>
    <x v="2"/>
    <x v="130"/>
    <n v="352"/>
    <n v="123"/>
    <n v="229"/>
    <n v="669"/>
    <x v="2"/>
    <n v="0.34943181818181818"/>
    <x v="0"/>
    <x v="811"/>
    <x v="2"/>
  </r>
  <r>
    <x v="870"/>
    <x v="2"/>
    <x v="1"/>
    <x v="0"/>
    <x v="158"/>
    <n v="381"/>
    <n v="29"/>
    <n v="352"/>
    <n v="2136"/>
    <x v="0"/>
    <n v="7.6115485564304461E-2"/>
    <x v="0"/>
    <x v="812"/>
    <x v="0"/>
  </r>
  <r>
    <x v="871"/>
    <x v="64"/>
    <x v="3"/>
    <x v="3"/>
    <x v="167"/>
    <n v="405"/>
    <n v="38"/>
    <n v="367"/>
    <n v="871"/>
    <x v="0"/>
    <n v="9.3827160493827166E-2"/>
    <x v="0"/>
    <x v="813"/>
    <x v="0"/>
  </r>
  <r>
    <x v="872"/>
    <x v="13"/>
    <x v="1"/>
    <x v="3"/>
    <x v="187"/>
    <n v="324"/>
    <n v="26"/>
    <n v="298"/>
    <n v="2369"/>
    <x v="0"/>
    <n v="8.0246913580246909E-2"/>
    <x v="0"/>
    <x v="814"/>
    <x v="0"/>
  </r>
  <r>
    <x v="873"/>
    <x v="21"/>
    <x v="0"/>
    <x v="0"/>
    <x v="71"/>
    <n v="145"/>
    <n v="137"/>
    <n v="8"/>
    <n v="358"/>
    <x v="1"/>
    <n v="0.94482758620689655"/>
    <x v="1"/>
    <x v="815"/>
    <x v="1"/>
  </r>
  <r>
    <x v="874"/>
    <x v="42"/>
    <x v="0"/>
    <x v="3"/>
    <x v="11"/>
    <n v="120"/>
    <n v="5"/>
    <n v="120"/>
    <n v="1141"/>
    <x v="0"/>
    <n v="4.1666666666666664E-2"/>
    <x v="0"/>
    <x v="816"/>
    <x v="0"/>
  </r>
  <r>
    <x v="875"/>
    <x v="33"/>
    <x v="4"/>
    <x v="0"/>
    <x v="147"/>
    <n v="472"/>
    <n v="146"/>
    <n v="326"/>
    <n v="1446"/>
    <x v="0"/>
    <n v="0.30932203389830509"/>
    <x v="0"/>
    <x v="817"/>
    <x v="0"/>
  </r>
  <r>
    <x v="876"/>
    <x v="48"/>
    <x v="0"/>
    <x v="1"/>
    <x v="256"/>
    <n v="135"/>
    <n v="116"/>
    <n v="19"/>
    <m/>
    <x v="1"/>
    <n v="0.85925925925925928"/>
    <x v="1"/>
    <x v="7"/>
    <x v="1"/>
  </r>
  <r>
    <x v="877"/>
    <x v="2"/>
    <x v="1"/>
    <x v="2"/>
    <x v="162"/>
    <n v="79"/>
    <n v="10"/>
    <n v="69"/>
    <n v="349"/>
    <x v="0"/>
    <n v="0.12658227848101267"/>
    <x v="0"/>
    <x v="818"/>
    <x v="0"/>
  </r>
  <r>
    <x v="878"/>
    <x v="13"/>
    <x v="1"/>
    <x v="2"/>
    <x v="6"/>
    <n v="394"/>
    <n v="107"/>
    <n v="287"/>
    <n v="1835"/>
    <x v="0"/>
    <n v="0.27157360406091369"/>
    <x v="0"/>
    <x v="819"/>
    <x v="0"/>
  </r>
  <r>
    <x v="879"/>
    <x v="73"/>
    <x v="2"/>
    <x v="0"/>
    <x v="11"/>
    <n v="148"/>
    <n v="0"/>
    <n v="148"/>
    <n v="50"/>
    <x v="0"/>
    <n v="0"/>
    <x v="2"/>
    <x v="673"/>
    <x v="0"/>
  </r>
  <r>
    <x v="880"/>
    <x v="24"/>
    <x v="4"/>
    <x v="3"/>
    <x v="11"/>
    <n v="97"/>
    <n v="0"/>
    <n v="97"/>
    <n v="2125"/>
    <x v="0"/>
    <n v="0"/>
    <x v="2"/>
    <x v="820"/>
    <x v="0"/>
  </r>
  <r>
    <x v="881"/>
    <x v="42"/>
    <x v="0"/>
    <x v="0"/>
    <x v="68"/>
    <n v="262"/>
    <n v="230"/>
    <n v="32"/>
    <n v="2874"/>
    <x v="1"/>
    <n v="0.87786259541984735"/>
    <x v="1"/>
    <x v="821"/>
    <x v="1"/>
  </r>
  <r>
    <x v="882"/>
    <x v="15"/>
    <x v="4"/>
    <x v="1"/>
    <x v="11"/>
    <n v="425"/>
    <n v="0"/>
    <n v="425"/>
    <n v="1000"/>
    <x v="0"/>
    <n v="0"/>
    <x v="2"/>
    <x v="822"/>
    <x v="0"/>
  </r>
  <r>
    <x v="883"/>
    <x v="7"/>
    <x v="1"/>
    <x v="2"/>
    <x v="79"/>
    <n v="201"/>
    <n v="44"/>
    <n v="157"/>
    <n v="2839"/>
    <x v="0"/>
    <n v="0.21890547263681592"/>
    <x v="0"/>
    <x v="823"/>
    <x v="0"/>
  </r>
  <r>
    <x v="884"/>
    <x v="52"/>
    <x v="3"/>
    <x v="3"/>
    <x v="13"/>
    <n v="453"/>
    <n v="379"/>
    <n v="74"/>
    <n v="2978"/>
    <x v="0"/>
    <n v="0.83664459161147908"/>
    <x v="1"/>
    <x v="824"/>
    <x v="2"/>
  </r>
  <r>
    <x v="885"/>
    <x v="42"/>
    <x v="0"/>
    <x v="3"/>
    <x v="11"/>
    <n v="183"/>
    <n v="0"/>
    <n v="183"/>
    <n v="184"/>
    <x v="0"/>
    <n v="0"/>
    <x v="2"/>
    <x v="825"/>
    <x v="0"/>
  </r>
  <r>
    <x v="886"/>
    <x v="70"/>
    <x v="0"/>
    <x v="0"/>
    <x v="124"/>
    <n v="273"/>
    <n v="205"/>
    <n v="68"/>
    <n v="2833"/>
    <x v="0"/>
    <n v="0.75091575091575091"/>
    <x v="1"/>
    <x v="826"/>
    <x v="2"/>
  </r>
  <r>
    <x v="887"/>
    <x v="14"/>
    <x v="1"/>
    <x v="0"/>
    <x v="65"/>
    <n v="160"/>
    <n v="14"/>
    <n v="146"/>
    <n v="657"/>
    <x v="0"/>
    <n v="8.7499999999999994E-2"/>
    <x v="0"/>
    <x v="827"/>
    <x v="0"/>
  </r>
  <r>
    <x v="888"/>
    <x v="18"/>
    <x v="2"/>
    <x v="2"/>
    <x v="86"/>
    <n v="241"/>
    <n v="61"/>
    <n v="180"/>
    <n v="367"/>
    <x v="0"/>
    <n v="0.25311203319502074"/>
    <x v="0"/>
    <x v="828"/>
    <x v="0"/>
  </r>
  <r>
    <x v="889"/>
    <x v="63"/>
    <x v="2"/>
    <x v="1"/>
    <x v="154"/>
    <n v="116"/>
    <n v="38"/>
    <n v="78"/>
    <n v="1577"/>
    <x v="0"/>
    <n v="0.32758620689655171"/>
    <x v="0"/>
    <x v="829"/>
    <x v="0"/>
  </r>
  <r>
    <x v="890"/>
    <x v="69"/>
    <x v="3"/>
    <x v="3"/>
    <x v="114"/>
    <m/>
    <n v="110"/>
    <n v="33"/>
    <n v="1333"/>
    <x v="1"/>
    <s v=""/>
    <x v="3"/>
    <x v="830"/>
    <x v="2"/>
  </r>
  <r>
    <x v="891"/>
    <x v="16"/>
    <x v="4"/>
    <x v="2"/>
    <x v="11"/>
    <n v="380"/>
    <n v="0"/>
    <n v="380"/>
    <m/>
    <x v="0"/>
    <n v="0"/>
    <x v="2"/>
    <x v="7"/>
    <x v="0"/>
  </r>
  <r>
    <x v="892"/>
    <x v="47"/>
    <x v="0"/>
    <x v="0"/>
    <x v="19"/>
    <n v="452"/>
    <n v="30"/>
    <n v="422"/>
    <n v="2006"/>
    <x v="0"/>
    <n v="6.637168141592921E-2"/>
    <x v="0"/>
    <x v="831"/>
    <x v="0"/>
  </r>
  <r>
    <x v="893"/>
    <x v="74"/>
    <x v="2"/>
    <x v="2"/>
    <x v="251"/>
    <n v="422"/>
    <n v="28"/>
    <n v="394"/>
    <n v="2476"/>
    <x v="0"/>
    <n v="6.6350710900473939E-2"/>
    <x v="0"/>
    <x v="832"/>
    <x v="0"/>
  </r>
  <r>
    <x v="894"/>
    <x v="34"/>
    <x v="3"/>
    <x v="1"/>
    <x v="11"/>
    <n v="180"/>
    <n v="0"/>
    <n v="180"/>
    <n v="2925"/>
    <x v="0"/>
    <n v="0"/>
    <x v="2"/>
    <x v="833"/>
    <x v="0"/>
  </r>
  <r>
    <x v="895"/>
    <x v="49"/>
    <x v="4"/>
    <x v="0"/>
    <x v="11"/>
    <m/>
    <n v="0"/>
    <n v="434"/>
    <n v="2298"/>
    <x v="0"/>
    <s v=""/>
    <x v="3"/>
    <x v="834"/>
    <x v="2"/>
  </r>
  <r>
    <x v="896"/>
    <x v="50"/>
    <x v="1"/>
    <x v="3"/>
    <x v="11"/>
    <n v="95"/>
    <n v="0"/>
    <n v="95"/>
    <n v="881"/>
    <x v="0"/>
    <n v="0"/>
    <x v="2"/>
    <x v="835"/>
    <x v="0"/>
  </r>
  <r>
    <x v="897"/>
    <x v="14"/>
    <x v="1"/>
    <x v="1"/>
    <x v="166"/>
    <n v="393"/>
    <n v="370"/>
    <n v="23"/>
    <n v="821"/>
    <x v="1"/>
    <n v="0.94147582697201015"/>
    <x v="1"/>
    <x v="836"/>
    <x v="1"/>
  </r>
  <r>
    <x v="898"/>
    <x v="26"/>
    <x v="3"/>
    <x v="0"/>
    <x v="1"/>
    <n v="279"/>
    <n v="57"/>
    <n v="222"/>
    <n v="2118"/>
    <x v="0"/>
    <n v="0.20430107526881722"/>
    <x v="0"/>
    <x v="837"/>
    <x v="0"/>
  </r>
  <r>
    <x v="899"/>
    <x v="47"/>
    <x v="0"/>
    <x v="0"/>
    <x v="220"/>
    <n v="276"/>
    <n v="218"/>
    <n v="58"/>
    <n v="1593"/>
    <x v="1"/>
    <n v="0.78985507246376807"/>
    <x v="1"/>
    <x v="838"/>
    <x v="1"/>
  </r>
  <r>
    <x v="900"/>
    <x v="11"/>
    <x v="4"/>
    <x v="1"/>
    <x v="11"/>
    <n v="137"/>
    <n v="0"/>
    <n v="137"/>
    <n v="1565"/>
    <x v="0"/>
    <n v="0"/>
    <x v="2"/>
    <x v="839"/>
    <x v="0"/>
  </r>
  <r>
    <x v="901"/>
    <x v="51"/>
    <x v="4"/>
    <x v="1"/>
    <x v="77"/>
    <n v="463"/>
    <n v="45"/>
    <n v="418"/>
    <n v="2293"/>
    <x v="0"/>
    <n v="9.719222462203024E-2"/>
    <x v="0"/>
    <x v="840"/>
    <x v="0"/>
  </r>
  <r>
    <x v="902"/>
    <x v="48"/>
    <x v="0"/>
    <x v="2"/>
    <x v="37"/>
    <n v="200"/>
    <n v="16"/>
    <n v="184"/>
    <n v="2397"/>
    <x v="0"/>
    <n v="0.08"/>
    <x v="0"/>
    <x v="841"/>
    <x v="0"/>
  </r>
  <r>
    <x v="903"/>
    <x v="49"/>
    <x v="5"/>
    <x v="2"/>
    <x v="226"/>
    <n v="293"/>
    <n v="50"/>
    <n v="243"/>
    <n v="254"/>
    <x v="0"/>
    <n v="0.17064846416382254"/>
    <x v="0"/>
    <x v="842"/>
    <x v="0"/>
  </r>
  <r>
    <x v="904"/>
    <x v="39"/>
    <x v="2"/>
    <x v="3"/>
    <x v="63"/>
    <n v="184"/>
    <n v="51"/>
    <n v="133"/>
    <n v="1726"/>
    <x v="0"/>
    <n v="0.27717391304347827"/>
    <x v="0"/>
    <x v="843"/>
    <x v="0"/>
  </r>
  <r>
    <x v="905"/>
    <x v="25"/>
    <x v="0"/>
    <x v="2"/>
    <x v="254"/>
    <n v="394"/>
    <n v="135"/>
    <n v="259"/>
    <n v="502"/>
    <x v="0"/>
    <n v="0.34263959390862941"/>
    <x v="0"/>
    <x v="844"/>
    <x v="0"/>
  </r>
  <r>
    <x v="906"/>
    <x v="24"/>
    <x v="4"/>
    <x v="1"/>
    <x v="40"/>
    <n v="166"/>
    <n v="135"/>
    <n v="31"/>
    <n v="108"/>
    <x v="1"/>
    <n v="0.81325301204819278"/>
    <x v="1"/>
    <x v="845"/>
    <x v="1"/>
  </r>
  <r>
    <x v="907"/>
    <x v="64"/>
    <x v="3"/>
    <x v="2"/>
    <x v="184"/>
    <n v="277"/>
    <n v="85"/>
    <n v="192"/>
    <n v="2070"/>
    <x v="0"/>
    <n v="0.30685920577617326"/>
    <x v="0"/>
    <x v="846"/>
    <x v="0"/>
  </r>
  <r>
    <x v="908"/>
    <x v="58"/>
    <x v="1"/>
    <x v="2"/>
    <x v="206"/>
    <n v="265"/>
    <n v="246"/>
    <n v="19"/>
    <n v="411"/>
    <x v="1"/>
    <n v="0.92830188679245285"/>
    <x v="1"/>
    <x v="847"/>
    <x v="1"/>
  </r>
  <r>
    <x v="909"/>
    <x v="4"/>
    <x v="1"/>
    <x v="0"/>
    <x v="166"/>
    <n v="387"/>
    <n v="377"/>
    <n v="10"/>
    <m/>
    <x v="1"/>
    <n v="0.97416020671834624"/>
    <x v="1"/>
    <x v="7"/>
    <x v="1"/>
  </r>
  <r>
    <x v="910"/>
    <x v="54"/>
    <x v="2"/>
    <x v="2"/>
    <x v="69"/>
    <n v="383"/>
    <n v="292"/>
    <n v="91"/>
    <n v="2237"/>
    <x v="0"/>
    <n v="0.76240208877284599"/>
    <x v="1"/>
    <x v="848"/>
    <x v="2"/>
  </r>
  <r>
    <x v="911"/>
    <x v="67"/>
    <x v="1"/>
    <x v="2"/>
    <x v="89"/>
    <n v="166"/>
    <n v="153"/>
    <n v="13"/>
    <n v="1437"/>
    <x v="1"/>
    <n v="0.92168674698795183"/>
    <x v="1"/>
    <x v="849"/>
    <x v="1"/>
  </r>
  <r>
    <x v="912"/>
    <x v="26"/>
    <x v="3"/>
    <x v="2"/>
    <x v="24"/>
    <n v="163"/>
    <n v="157"/>
    <n v="6"/>
    <n v="2810"/>
    <x v="2"/>
    <n v="0.96319018404907975"/>
    <x v="1"/>
    <x v="850"/>
    <x v="2"/>
  </r>
  <r>
    <x v="913"/>
    <x v="58"/>
    <x v="1"/>
    <x v="3"/>
    <x v="11"/>
    <n v="279"/>
    <n v="0"/>
    <n v="279"/>
    <n v="2986"/>
    <x v="0"/>
    <n v="0"/>
    <x v="2"/>
    <x v="851"/>
    <x v="0"/>
  </r>
  <r>
    <x v="914"/>
    <x v="67"/>
    <x v="1"/>
    <x v="0"/>
    <x v="11"/>
    <n v="301"/>
    <n v="0"/>
    <n v="301"/>
    <n v="1908"/>
    <x v="0"/>
    <n v="0"/>
    <x v="2"/>
    <x v="852"/>
    <x v="0"/>
  </r>
  <r>
    <x v="915"/>
    <x v="53"/>
    <x v="2"/>
    <x v="3"/>
    <x v="11"/>
    <n v="296"/>
    <n v="0"/>
    <n v="296"/>
    <n v="2321"/>
    <x v="0"/>
    <n v="0"/>
    <x v="2"/>
    <x v="853"/>
    <x v="0"/>
  </r>
  <r>
    <x v="916"/>
    <x v="31"/>
    <x v="1"/>
    <x v="1"/>
    <x v="11"/>
    <n v="137"/>
    <n v="0"/>
    <n v="137"/>
    <n v="859"/>
    <x v="0"/>
    <n v="0"/>
    <x v="2"/>
    <x v="854"/>
    <x v="0"/>
  </r>
  <r>
    <x v="917"/>
    <x v="44"/>
    <x v="0"/>
    <x v="0"/>
    <x v="157"/>
    <m/>
    <n v="269"/>
    <n v="98"/>
    <n v="1986"/>
    <x v="0"/>
    <s v=""/>
    <x v="3"/>
    <x v="855"/>
    <x v="2"/>
  </r>
  <r>
    <x v="918"/>
    <x v="44"/>
    <x v="0"/>
    <x v="2"/>
    <x v="179"/>
    <n v="148"/>
    <n v="11"/>
    <m/>
    <n v="1987"/>
    <x v="0"/>
    <n v="7.4324324324324328E-2"/>
    <x v="0"/>
    <x v="7"/>
    <x v="0"/>
  </r>
  <r>
    <x v="919"/>
    <x v="38"/>
    <x v="4"/>
    <x v="2"/>
    <x v="90"/>
    <n v="130"/>
    <n v="49"/>
    <n v="81"/>
    <n v="1741"/>
    <x v="0"/>
    <n v="0.37692307692307692"/>
    <x v="0"/>
    <x v="856"/>
    <x v="0"/>
  </r>
  <r>
    <x v="920"/>
    <x v="12"/>
    <x v="3"/>
    <x v="2"/>
    <x v="11"/>
    <n v="230"/>
    <n v="0"/>
    <n v="230"/>
    <m/>
    <x v="0"/>
    <n v="0"/>
    <x v="2"/>
    <x v="7"/>
    <x v="0"/>
  </r>
  <r>
    <x v="921"/>
    <x v="49"/>
    <x v="4"/>
    <x v="1"/>
    <x v="67"/>
    <n v="385"/>
    <n v="38"/>
    <n v="347"/>
    <n v="416"/>
    <x v="0"/>
    <n v="9.8701298701298706E-2"/>
    <x v="0"/>
    <x v="857"/>
    <x v="0"/>
  </r>
  <r>
    <x v="922"/>
    <x v="54"/>
    <x v="2"/>
    <x v="0"/>
    <x v="133"/>
    <n v="297"/>
    <n v="93"/>
    <n v="204"/>
    <n v="1982"/>
    <x v="0"/>
    <n v="0.31313131313131315"/>
    <x v="0"/>
    <x v="858"/>
    <x v="0"/>
  </r>
  <r>
    <x v="923"/>
    <x v="59"/>
    <x v="0"/>
    <x v="2"/>
    <x v="11"/>
    <n v="439"/>
    <n v="0"/>
    <n v="439"/>
    <n v="1249"/>
    <x v="0"/>
    <n v="0"/>
    <x v="2"/>
    <x v="859"/>
    <x v="0"/>
  </r>
  <r>
    <x v="924"/>
    <x v="55"/>
    <x v="1"/>
    <x v="3"/>
    <x v="102"/>
    <n v="392"/>
    <n v="50"/>
    <n v="342"/>
    <n v="83"/>
    <x v="0"/>
    <n v="0.12755102040816327"/>
    <x v="0"/>
    <x v="860"/>
    <x v="0"/>
  </r>
  <r>
    <x v="925"/>
    <x v="24"/>
    <x v="4"/>
    <x v="1"/>
    <x v="11"/>
    <n v="155"/>
    <n v="0"/>
    <n v="155"/>
    <n v="2224"/>
    <x v="0"/>
    <n v="0"/>
    <x v="2"/>
    <x v="861"/>
    <x v="0"/>
  </r>
  <r>
    <x v="926"/>
    <x v="2"/>
    <x v="1"/>
    <x v="3"/>
    <x v="11"/>
    <n v="338"/>
    <n v="0"/>
    <n v="338"/>
    <n v="289"/>
    <x v="0"/>
    <n v="0"/>
    <x v="2"/>
    <x v="862"/>
    <x v="0"/>
  </r>
  <r>
    <x v="927"/>
    <x v="17"/>
    <x v="3"/>
    <x v="1"/>
    <x v="58"/>
    <n v="427"/>
    <n v="323"/>
    <n v="104"/>
    <n v="839"/>
    <x v="0"/>
    <n v="0.75644028103044492"/>
    <x v="1"/>
    <x v="863"/>
    <x v="2"/>
  </r>
  <r>
    <x v="928"/>
    <x v="73"/>
    <x v="2"/>
    <x v="1"/>
    <x v="11"/>
    <n v="356"/>
    <n v="0"/>
    <n v="356"/>
    <n v="1012"/>
    <x v="0"/>
    <n v="0"/>
    <x v="2"/>
    <x v="864"/>
    <x v="0"/>
  </r>
  <r>
    <x v="929"/>
    <x v="10"/>
    <x v="4"/>
    <x v="3"/>
    <x v="11"/>
    <n v="435"/>
    <n v="0"/>
    <n v="435"/>
    <n v="1638"/>
    <x v="0"/>
    <n v="0"/>
    <x v="2"/>
    <x v="865"/>
    <x v="0"/>
  </r>
  <r>
    <x v="930"/>
    <x v="41"/>
    <x v="3"/>
    <x v="1"/>
    <x v="11"/>
    <n v="190"/>
    <n v="0"/>
    <n v="190"/>
    <n v="2169"/>
    <x v="0"/>
    <n v="0"/>
    <x v="2"/>
    <x v="866"/>
    <x v="0"/>
  </r>
  <r>
    <x v="931"/>
    <x v="14"/>
    <x v="1"/>
    <x v="2"/>
    <x v="11"/>
    <n v="84"/>
    <n v="0"/>
    <n v="84"/>
    <n v="470"/>
    <x v="0"/>
    <n v="0"/>
    <x v="2"/>
    <x v="867"/>
    <x v="0"/>
  </r>
  <r>
    <x v="932"/>
    <x v="58"/>
    <x v="1"/>
    <x v="2"/>
    <x v="173"/>
    <n v="281"/>
    <n v="102"/>
    <n v="179"/>
    <n v="2241"/>
    <x v="0"/>
    <n v="0.36298932384341637"/>
    <x v="0"/>
    <x v="868"/>
    <x v="0"/>
  </r>
  <r>
    <x v="933"/>
    <x v="1"/>
    <x v="0"/>
    <x v="3"/>
    <x v="11"/>
    <n v="136"/>
    <n v="0"/>
    <n v="136"/>
    <n v="2004"/>
    <x v="0"/>
    <n v="0"/>
    <x v="2"/>
    <x v="869"/>
    <x v="0"/>
  </r>
  <r>
    <x v="934"/>
    <x v="56"/>
    <x v="1"/>
    <x v="2"/>
    <x v="257"/>
    <n v="161"/>
    <n v="160"/>
    <n v="1"/>
    <n v="905"/>
    <x v="1"/>
    <n v="0.99378881987577639"/>
    <x v="1"/>
    <x v="870"/>
    <x v="1"/>
  </r>
  <r>
    <x v="935"/>
    <x v="47"/>
    <x v="0"/>
    <x v="3"/>
    <x v="203"/>
    <n v="294"/>
    <n v="108"/>
    <n v="186"/>
    <n v="2350"/>
    <x v="0"/>
    <n v="0.36734693877551022"/>
    <x v="0"/>
    <x v="871"/>
    <x v="0"/>
  </r>
  <r>
    <x v="936"/>
    <x v="24"/>
    <x v="4"/>
    <x v="2"/>
    <x v="142"/>
    <n v="231"/>
    <n v="216"/>
    <n v="15"/>
    <n v="774"/>
    <x v="1"/>
    <n v="0.93506493506493504"/>
    <x v="1"/>
    <x v="872"/>
    <x v="1"/>
  </r>
  <r>
    <x v="937"/>
    <x v="68"/>
    <x v="0"/>
    <x v="2"/>
    <x v="11"/>
    <n v="336"/>
    <n v="0"/>
    <n v="336"/>
    <n v="2313"/>
    <x v="0"/>
    <n v="0"/>
    <x v="2"/>
    <x v="873"/>
    <x v="0"/>
  </r>
  <r>
    <x v="938"/>
    <x v="34"/>
    <x v="3"/>
    <x v="2"/>
    <x v="11"/>
    <n v="106"/>
    <n v="0"/>
    <n v="106"/>
    <n v="812"/>
    <x v="0"/>
    <n v="0"/>
    <x v="2"/>
    <x v="874"/>
    <x v="0"/>
  </r>
  <r>
    <x v="939"/>
    <x v="41"/>
    <x v="3"/>
    <x v="3"/>
    <x v="11"/>
    <n v="257"/>
    <n v="0"/>
    <n v="257"/>
    <n v="1921"/>
    <x v="0"/>
    <n v="0"/>
    <x v="2"/>
    <x v="875"/>
    <x v="0"/>
  </r>
  <r>
    <x v="940"/>
    <x v="24"/>
    <x v="4"/>
    <x v="3"/>
    <x v="57"/>
    <n v="200"/>
    <n v="38"/>
    <n v="162"/>
    <n v="2453"/>
    <x v="0"/>
    <n v="0.19"/>
    <x v="0"/>
    <x v="876"/>
    <x v="0"/>
  </r>
  <r>
    <x v="941"/>
    <x v="65"/>
    <x v="0"/>
    <x v="0"/>
    <x v="147"/>
    <n v="363"/>
    <n v="62"/>
    <n v="301"/>
    <n v="780"/>
    <x v="0"/>
    <n v="0.17079889807162535"/>
    <x v="0"/>
    <x v="877"/>
    <x v="0"/>
  </r>
  <r>
    <x v="942"/>
    <x v="8"/>
    <x v="4"/>
    <x v="1"/>
    <x v="11"/>
    <n v="465"/>
    <n v="0"/>
    <n v="465"/>
    <n v="2137"/>
    <x v="0"/>
    <n v="0"/>
    <x v="2"/>
    <x v="878"/>
    <x v="0"/>
  </r>
  <r>
    <x v="943"/>
    <x v="60"/>
    <x v="2"/>
    <x v="2"/>
    <x v="59"/>
    <m/>
    <m/>
    <n v="11"/>
    <n v="1425"/>
    <x v="1"/>
    <s v=""/>
    <x v="3"/>
    <x v="879"/>
    <x v="2"/>
  </r>
  <r>
    <x v="944"/>
    <x v="64"/>
    <x v="3"/>
    <x v="3"/>
    <x v="38"/>
    <n v="168"/>
    <n v="150"/>
    <n v="18"/>
    <m/>
    <x v="1"/>
    <n v="0.8928571428571429"/>
    <x v="1"/>
    <x v="7"/>
    <x v="1"/>
  </r>
  <r>
    <x v="945"/>
    <x v="70"/>
    <x v="0"/>
    <x v="0"/>
    <x v="258"/>
    <n v="165"/>
    <n v="134"/>
    <n v="31"/>
    <n v="2889"/>
    <x v="1"/>
    <n v="0.81212121212121213"/>
    <x v="1"/>
    <x v="880"/>
    <x v="1"/>
  </r>
  <r>
    <x v="946"/>
    <x v="55"/>
    <x v="1"/>
    <x v="3"/>
    <x v="177"/>
    <n v="267"/>
    <n v="245"/>
    <n v="27"/>
    <n v="834"/>
    <x v="1"/>
    <n v="0.91760299625468167"/>
    <x v="1"/>
    <x v="881"/>
    <x v="1"/>
  </r>
  <r>
    <x v="947"/>
    <x v="30"/>
    <x v="2"/>
    <x v="1"/>
    <x v="48"/>
    <n v="200"/>
    <n v="78"/>
    <m/>
    <n v="1925"/>
    <x v="0"/>
    <n v="0.39"/>
    <x v="0"/>
    <x v="7"/>
    <x v="0"/>
  </r>
  <r>
    <x v="948"/>
    <x v="39"/>
    <x v="2"/>
    <x v="0"/>
    <x v="83"/>
    <n v="71"/>
    <n v="55"/>
    <n v="16"/>
    <n v="2289"/>
    <x v="1"/>
    <n v="0.77464788732394363"/>
    <x v="1"/>
    <x v="882"/>
    <x v="1"/>
  </r>
  <r>
    <x v="949"/>
    <x v="3"/>
    <x v="2"/>
    <x v="1"/>
    <x v="11"/>
    <n v="425"/>
    <n v="0"/>
    <n v="425"/>
    <n v="1898"/>
    <x v="0"/>
    <n v="0"/>
    <x v="2"/>
    <x v="88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3C85D8-7A89-4504-8F4B-DFAAC37A4BB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20" firstHeaderRow="1" firstDataRow="1" firstDataCol="0"/>
  <pivotFields count="17">
    <pivotField showAll="0"/>
    <pivotField showAll="0">
      <items count="76">
        <item x="65"/>
        <item x="0"/>
        <item x="47"/>
        <item x="49"/>
        <item x="33"/>
        <item x="37"/>
        <item x="42"/>
        <item x="71"/>
        <item x="1"/>
        <item x="13"/>
        <item x="2"/>
        <item x="4"/>
        <item x="5"/>
        <item x="12"/>
        <item x="17"/>
        <item x="3"/>
        <item x="54"/>
        <item x="9"/>
        <item x="39"/>
        <item x="6"/>
        <item x="74"/>
        <item x="43"/>
        <item x="8"/>
        <item x="16"/>
        <item x="32"/>
        <item x="22"/>
        <item x="29"/>
        <item x="52"/>
        <item x="64"/>
        <item x="72"/>
        <item x="20"/>
        <item x="73"/>
        <item x="53"/>
        <item x="69"/>
        <item x="46"/>
        <item x="66"/>
        <item x="57"/>
        <item x="15"/>
        <item x="11"/>
        <item x="45"/>
        <item x="61"/>
        <item x="36"/>
        <item x="67"/>
        <item x="56"/>
        <item x="14"/>
        <item x="24"/>
        <item x="19"/>
        <item x="38"/>
        <item x="35"/>
        <item x="40"/>
        <item x="60"/>
        <item x="41"/>
        <item x="26"/>
        <item x="34"/>
        <item x="55"/>
        <item x="31"/>
        <item x="58"/>
        <item x="18"/>
        <item x="63"/>
        <item x="30"/>
        <item x="25"/>
        <item x="68"/>
        <item x="28"/>
        <item x="27"/>
        <item x="70"/>
        <item x="59"/>
        <item x="21"/>
        <item x="44"/>
        <item x="48"/>
        <item x="7"/>
        <item x="23"/>
        <item x="50"/>
        <item x="51"/>
        <item x="10"/>
        <item x="62"/>
        <item t="default"/>
      </items>
    </pivotField>
    <pivotField showAll="0">
      <items count="7">
        <item x="2"/>
        <item x="1"/>
        <item x="0"/>
        <item x="4"/>
        <item x="3"/>
        <item x="5"/>
        <item t="default"/>
      </items>
    </pivotField>
    <pivotField showAll="0">
      <items count="5">
        <item x="2"/>
        <item x="0"/>
        <item x="1"/>
        <item x="3"/>
        <item t="default"/>
      </items>
    </pivotField>
    <pivotField showAll="0">
      <items count="260">
        <item x="31"/>
        <item x="58"/>
        <item x="180"/>
        <item x="157"/>
        <item x="149"/>
        <item x="9"/>
        <item x="110"/>
        <item x="59"/>
        <item x="0"/>
        <item x="241"/>
        <item x="144"/>
        <item x="139"/>
        <item x="176"/>
        <item x="214"/>
        <item x="142"/>
        <item x="55"/>
        <item x="205"/>
        <item x="63"/>
        <item x="251"/>
        <item x="179"/>
        <item x="98"/>
        <item x="150"/>
        <item x="182"/>
        <item x="195"/>
        <item x="204"/>
        <item x="199"/>
        <item x="44"/>
        <item x="39"/>
        <item x="21"/>
        <item x="258"/>
        <item x="2"/>
        <item x="17"/>
        <item x="167"/>
        <item x="57"/>
        <item x="178"/>
        <item x="90"/>
        <item x="170"/>
        <item x="154"/>
        <item x="177"/>
        <item x="147"/>
        <item x="174"/>
        <item x="240"/>
        <item x="24"/>
        <item x="226"/>
        <item x="107"/>
        <item x="117"/>
        <item x="36"/>
        <item x="43"/>
        <item x="113"/>
        <item x="223"/>
        <item x="71"/>
        <item x="247"/>
        <item x="108"/>
        <item x="221"/>
        <item x="120"/>
        <item x="91"/>
        <item x="153"/>
        <item x="249"/>
        <item x="208"/>
        <item x="41"/>
        <item x="192"/>
        <item x="173"/>
        <item x="4"/>
        <item x="69"/>
        <item x="111"/>
        <item x="252"/>
        <item x="166"/>
        <item x="255"/>
        <item x="40"/>
        <item x="137"/>
        <item x="143"/>
        <item x="46"/>
        <item x="126"/>
        <item x="164"/>
        <item x="246"/>
        <item x="23"/>
        <item x="172"/>
        <item x="245"/>
        <item x="16"/>
        <item x="224"/>
        <item x="3"/>
        <item x="83"/>
        <item x="171"/>
        <item x="123"/>
        <item x="236"/>
        <item x="129"/>
        <item x="33"/>
        <item x="135"/>
        <item x="128"/>
        <item x="37"/>
        <item x="211"/>
        <item x="79"/>
        <item x="163"/>
        <item x="118"/>
        <item x="162"/>
        <item x="235"/>
        <item x="191"/>
        <item x="181"/>
        <item x="188"/>
        <item x="68"/>
        <item x="38"/>
        <item x="196"/>
        <item x="190"/>
        <item x="27"/>
        <item x="136"/>
        <item x="28"/>
        <item x="237"/>
        <item x="67"/>
        <item x="22"/>
        <item x="115"/>
        <item x="250"/>
        <item x="225"/>
        <item x="218"/>
        <item x="253"/>
        <item x="49"/>
        <item x="7"/>
        <item x="156"/>
        <item x="197"/>
        <item x="52"/>
        <item x="66"/>
        <item x="80"/>
        <item x="229"/>
        <item x="105"/>
        <item x="78"/>
        <item x="53"/>
        <item x="51"/>
        <item x="238"/>
        <item x="12"/>
        <item x="227"/>
        <item x="73"/>
        <item x="145"/>
        <item x="84"/>
        <item x="15"/>
        <item x="131"/>
        <item x="217"/>
        <item x="87"/>
        <item x="14"/>
        <item x="18"/>
        <item x="168"/>
        <item x="206"/>
        <item x="257"/>
        <item x="234"/>
        <item x="148"/>
        <item x="82"/>
        <item x="244"/>
        <item x="20"/>
        <item x="215"/>
        <item x="70"/>
        <item x="93"/>
        <item x="109"/>
        <item x="62"/>
        <item x="216"/>
        <item x="200"/>
        <item x="42"/>
        <item x="116"/>
        <item x="152"/>
        <item x="243"/>
        <item x="106"/>
        <item x="95"/>
        <item x="29"/>
        <item x="86"/>
        <item x="13"/>
        <item x="85"/>
        <item x="203"/>
        <item x="26"/>
        <item x="61"/>
        <item x="65"/>
        <item x="248"/>
        <item x="75"/>
        <item x="228"/>
        <item x="138"/>
        <item x="25"/>
        <item x="74"/>
        <item x="94"/>
        <item x="97"/>
        <item x="233"/>
        <item x="201"/>
        <item x="1"/>
        <item x="232"/>
        <item x="140"/>
        <item x="96"/>
        <item x="186"/>
        <item x="231"/>
        <item x="158"/>
        <item x="130"/>
        <item x="101"/>
        <item x="185"/>
        <item x="187"/>
        <item x="5"/>
        <item x="30"/>
        <item x="141"/>
        <item x="10"/>
        <item x="132"/>
        <item x="35"/>
        <item x="8"/>
        <item x="112"/>
        <item x="6"/>
        <item x="219"/>
        <item x="48"/>
        <item x="54"/>
        <item x="220"/>
        <item x="103"/>
        <item x="89"/>
        <item x="125"/>
        <item x="256"/>
        <item x="45"/>
        <item x="34"/>
        <item x="50"/>
        <item x="134"/>
        <item x="99"/>
        <item x="254"/>
        <item x="175"/>
        <item x="207"/>
        <item x="202"/>
        <item x="122"/>
        <item x="56"/>
        <item x="81"/>
        <item x="213"/>
        <item x="151"/>
        <item x="121"/>
        <item x="64"/>
        <item x="165"/>
        <item x="159"/>
        <item x="124"/>
        <item x="239"/>
        <item x="160"/>
        <item x="100"/>
        <item x="230"/>
        <item x="161"/>
        <item x="119"/>
        <item x="184"/>
        <item x="114"/>
        <item x="193"/>
        <item x="169"/>
        <item x="155"/>
        <item x="72"/>
        <item x="146"/>
        <item x="92"/>
        <item x="210"/>
        <item x="102"/>
        <item x="212"/>
        <item x="104"/>
        <item x="76"/>
        <item x="32"/>
        <item x="133"/>
        <item x="47"/>
        <item x="222"/>
        <item x="60"/>
        <item x="198"/>
        <item x="194"/>
        <item x="77"/>
        <item x="19"/>
        <item x="88"/>
        <item x="127"/>
        <item x="183"/>
        <item x="242"/>
        <item x="209"/>
        <item x="189"/>
        <item x="11"/>
        <item t="default"/>
      </items>
    </pivotField>
    <pivotField showAll="0"/>
    <pivotField showAll="0"/>
    <pivotField showAll="0"/>
    <pivotField showAll="0"/>
    <pivotField showAll="0"/>
    <pivotField showAll="0"/>
    <pivotField showAll="0">
      <items count="5">
        <item x="3"/>
        <item x="1"/>
        <item x="2"/>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B510EB-2A55-4E71-BD37-76349EDBDC3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3:B8" firstHeaderRow="1" firstDataRow="1" firstDataCol="1"/>
  <pivotFields count="17">
    <pivotField dataField="1" showAll="0">
      <items count="951">
        <item x="602"/>
        <item x="705"/>
        <item x="713"/>
        <item x="26"/>
        <item x="462"/>
        <item x="913"/>
        <item x="464"/>
        <item x="258"/>
        <item x="943"/>
        <item x="575"/>
        <item x="492"/>
        <item x="3"/>
        <item x="87"/>
        <item x="828"/>
        <item x="875"/>
        <item x="470"/>
        <item x="512"/>
        <item x="683"/>
        <item x="594"/>
        <item x="659"/>
        <item x="748"/>
        <item x="348"/>
        <item x="822"/>
        <item x="50"/>
        <item x="640"/>
        <item x="676"/>
        <item x="366"/>
        <item x="369"/>
        <item x="76"/>
        <item x="840"/>
        <item x="754"/>
        <item x="862"/>
        <item x="861"/>
        <item x="60"/>
        <item x="485"/>
        <item x="115"/>
        <item x="817"/>
        <item x="218"/>
        <item x="629"/>
        <item x="612"/>
        <item x="198"/>
        <item x="919"/>
        <item x="272"/>
        <item x="535"/>
        <item x="932"/>
        <item x="314"/>
        <item x="507"/>
        <item x="516"/>
        <item x="504"/>
        <item x="351"/>
        <item x="356"/>
        <item x="448"/>
        <item x="279"/>
        <item x="378"/>
        <item x="528"/>
        <item x="610"/>
        <item x="480"/>
        <item x="159"/>
        <item x="47"/>
        <item x="126"/>
        <item x="16"/>
        <item x="75"/>
        <item x="399"/>
        <item x="807"/>
        <item x="852"/>
        <item x="929"/>
        <item x="300"/>
        <item x="684"/>
        <item x="421"/>
        <item x="757"/>
        <item x="809"/>
        <item x="209"/>
        <item x="45"/>
        <item x="944"/>
        <item x="742"/>
        <item x="450"/>
        <item x="587"/>
        <item x="771"/>
        <item x="884"/>
        <item x="631"/>
        <item x="933"/>
        <item x="648"/>
        <item x="819"/>
        <item x="656"/>
        <item x="223"/>
        <item x="493"/>
        <item x="926"/>
        <item x="758"/>
        <item x="624"/>
        <item x="318"/>
        <item x="525"/>
        <item x="761"/>
        <item x="657"/>
        <item x="475"/>
        <item x="876"/>
        <item x="714"/>
        <item x="609"/>
        <item x="137"/>
        <item x="549"/>
        <item x="339"/>
        <item x="784"/>
        <item x="578"/>
        <item x="692"/>
        <item x="915"/>
        <item x="152"/>
        <item x="901"/>
        <item x="100"/>
        <item x="320"/>
        <item x="232"/>
        <item x="533"/>
        <item x="909"/>
        <item x="407"/>
        <item x="687"/>
        <item x="934"/>
        <item x="759"/>
        <item x="435"/>
        <item x="500"/>
        <item x="188"/>
        <item x="946"/>
        <item x="644"/>
        <item x="316"/>
        <item x="95"/>
        <item x="574"/>
        <item x="228"/>
        <item x="343"/>
        <item x="506"/>
        <item x="155"/>
        <item x="532"/>
        <item x="466"/>
        <item x="284"/>
        <item x="783"/>
        <item x="67"/>
        <item x="296"/>
        <item x="94"/>
        <item x="278"/>
        <item x="896"/>
        <item x="799"/>
        <item x="675"/>
        <item x="174"/>
        <item x="255"/>
        <item x="331"/>
        <item x="346"/>
        <item x="726"/>
        <item x="305"/>
        <item x="914"/>
        <item x="199"/>
        <item x="924"/>
        <item x="900"/>
        <item x="108"/>
        <item x="301"/>
        <item x="337"/>
        <item x="221"/>
        <item x="630"/>
        <item x="211"/>
        <item x="736"/>
        <item x="389"/>
        <item x="321"/>
        <item x="517"/>
        <item x="680"/>
        <item x="32"/>
        <item x="814"/>
        <item x="641"/>
        <item x="210"/>
        <item x="312"/>
        <item x="577"/>
        <item x="197"/>
        <item x="80"/>
        <item x="765"/>
        <item x="647"/>
        <item x="816"/>
        <item x="487"/>
        <item x="785"/>
        <item x="859"/>
        <item x="723"/>
        <item x="636"/>
        <item x="857"/>
        <item x="98"/>
        <item x="627"/>
        <item x="248"/>
        <item x="270"/>
        <item x="845"/>
        <item x="739"/>
        <item x="607"/>
        <item x="886"/>
        <item x="309"/>
        <item x="661"/>
        <item x="491"/>
        <item x="428"/>
        <item x="570"/>
        <item x="499"/>
        <item x="892"/>
        <item x="595"/>
        <item x="728"/>
        <item x="2"/>
        <item x="442"/>
        <item x="91"/>
        <item x="207"/>
        <item x="419"/>
        <item x="8"/>
        <item x="206"/>
        <item x="791"/>
        <item x="102"/>
        <item x="792"/>
        <item x="133"/>
        <item x="936"/>
        <item x="931"/>
        <item x="948"/>
        <item x="107"/>
        <item x="65"/>
        <item x="663"/>
        <item x="916"/>
        <item x="720"/>
        <item x="53"/>
        <item x="286"/>
        <item x="597"/>
        <item x="617"/>
        <item x="839"/>
        <item x="733"/>
        <item x="522"/>
        <item x="451"/>
        <item x="827"/>
        <item x="651"/>
        <item x="452"/>
        <item x="588"/>
        <item x="446"/>
        <item x="837"/>
        <item x="550"/>
        <item x="662"/>
        <item x="182"/>
        <item x="730"/>
        <item x="169"/>
        <item x="667"/>
        <item x="388"/>
        <item x="747"/>
        <item x="145"/>
        <item x="864"/>
        <item x="10"/>
        <item x="622"/>
        <item x="674"/>
        <item x="585"/>
        <item x="376"/>
        <item x="633"/>
        <item x="449"/>
        <item x="818"/>
        <item x="184"/>
        <item x="897"/>
        <item x="141"/>
        <item x="189"/>
        <item x="467"/>
        <item x="326"/>
        <item x="128"/>
        <item x="700"/>
        <item x="756"/>
        <item x="368"/>
        <item x="923"/>
        <item x="778"/>
        <item x="508"/>
        <item x="777"/>
        <item x="79"/>
        <item x="280"/>
        <item x="820"/>
        <item x="307"/>
        <item x="645"/>
        <item x="699"/>
        <item x="851"/>
        <item x="874"/>
        <item x="323"/>
        <item x="166"/>
        <item x="628"/>
        <item x="124"/>
        <item x="805"/>
        <item x="811"/>
        <item x="374"/>
        <item x="397"/>
        <item x="899"/>
        <item x="186"/>
        <item x="832"/>
        <item x="556"/>
        <item x="390"/>
        <item x="4"/>
        <item x="599"/>
        <item x="253"/>
        <item x="463"/>
        <item x="21"/>
        <item x="719"/>
        <item x="385"/>
        <item x="52"/>
        <item x="724"/>
        <item x="31"/>
        <item x="545"/>
        <item x="755"/>
        <item x="698"/>
        <item x="472"/>
        <item x="222"/>
        <item x="902"/>
        <item x="245"/>
        <item x="330"/>
        <item x="234"/>
        <item x="618"/>
        <item x="123"/>
        <item x="168"/>
        <item x="658"/>
        <item x="340"/>
        <item x="477"/>
        <item x="616"/>
        <item x="468"/>
        <item x="396"/>
        <item x="679"/>
        <item x="824"/>
        <item x="110"/>
        <item x="377"/>
        <item x="593"/>
        <item x="92"/>
        <item x="438"/>
        <item x="670"/>
        <item x="547"/>
        <item x="49"/>
        <item x="453"/>
        <item x="476"/>
        <item x="457"/>
        <item x="768"/>
        <item x="201"/>
        <item x="190"/>
        <item x="357"/>
        <item x="903"/>
        <item x="496"/>
        <item x="359"/>
        <item x="310"/>
        <item x="601"/>
        <item x="275"/>
        <item x="433"/>
        <item x="37"/>
        <item x="860"/>
        <item x="664"/>
        <item x="217"/>
        <item x="740"/>
        <item x="19"/>
        <item x="823"/>
        <item x="386"/>
        <item x="606"/>
        <item x="678"/>
        <item x="235"/>
        <item x="434"/>
        <item x="163"/>
        <item x="281"/>
        <item x="635"/>
        <item x="379"/>
        <item x="34"/>
        <item x="345"/>
        <item x="122"/>
        <item x="611"/>
        <item x="579"/>
        <item x="120"/>
        <item x="17"/>
        <item x="263"/>
        <item x="231"/>
        <item x="114"/>
        <item x="483"/>
        <item x="264"/>
        <item x="456"/>
        <item x="119"/>
        <item x="39"/>
        <item x="920"/>
        <item x="437"/>
        <item x="894"/>
        <item x="180"/>
        <item x="109"/>
        <item x="710"/>
        <item x="302"/>
        <item x="459"/>
        <item x="104"/>
        <item x="619"/>
        <item x="821"/>
        <item x="580"/>
        <item x="865"/>
        <item x="707"/>
        <item x="623"/>
        <item x="922"/>
        <item x="803"/>
        <item x="194"/>
        <item x="888"/>
        <item x="552"/>
        <item x="521"/>
        <item x="481"/>
        <item x="290"/>
        <item x="112"/>
        <item x="383"/>
        <item x="872"/>
        <item x="354"/>
        <item x="871"/>
        <item x="332"/>
        <item x="878"/>
        <item x="85"/>
        <item x="808"/>
        <item x="334"/>
        <item x="139"/>
        <item x="429"/>
        <item x="866"/>
        <item x="858"/>
        <item x="233"/>
        <item x="945"/>
        <item x="729"/>
        <item x="711"/>
        <item x="738"/>
        <item x="106"/>
        <item x="514"/>
        <item x="238"/>
        <item x="766"/>
        <item x="867"/>
        <item x="427"/>
        <item x="721"/>
        <item x="13"/>
        <item x="727"/>
        <item x="596"/>
        <item x="743"/>
        <item x="257"/>
        <item x="243"/>
        <item x="426"/>
        <item x="870"/>
        <item x="285"/>
        <item x="117"/>
        <item x="432"/>
        <item x="536"/>
        <item x="127"/>
        <item x="41"/>
        <item x="335"/>
        <item x="113"/>
        <item x="350"/>
        <item x="669"/>
        <item x="632"/>
        <item x="737"/>
        <item x="928"/>
        <item x="416"/>
        <item x="364"/>
        <item x="267"/>
        <item x="744"/>
        <item x="149"/>
        <item x="849"/>
        <item x="73"/>
        <item x="134"/>
        <item x="441"/>
        <item x="99"/>
        <item x="560"/>
        <item x="381"/>
        <item x="70"/>
        <item x="77"/>
        <item x="918"/>
        <item x="61"/>
        <item x="469"/>
        <item x="887"/>
        <item x="551"/>
        <item x="266"/>
        <item x="403"/>
        <item x="789"/>
        <item x="398"/>
        <item x="797"/>
        <item x="220"/>
        <item x="530"/>
        <item x="191"/>
        <item x="847"/>
        <item x="592"/>
        <item x="554"/>
        <item x="277"/>
        <item x="283"/>
        <item x="375"/>
        <item x="762"/>
        <item x="488"/>
        <item x="246"/>
        <item x="373"/>
        <item x="183"/>
        <item x="40"/>
        <item x="682"/>
        <item x="143"/>
        <item x="695"/>
        <item x="850"/>
        <item x="203"/>
        <item x="836"/>
        <item x="291"/>
        <item x="349"/>
        <item x="274"/>
        <item x="439"/>
        <item x="440"/>
        <item x="151"/>
        <item x="559"/>
        <item x="534"/>
        <item x="129"/>
        <item x="287"/>
        <item x="694"/>
        <item x="430"/>
        <item x="192"/>
        <item x="572"/>
        <item x="890"/>
        <item x="322"/>
        <item x="608"/>
        <item x="213"/>
        <item x="423"/>
        <item x="716"/>
        <item x="782"/>
        <item x="249"/>
        <item x="600"/>
        <item x="11"/>
        <item x="36"/>
        <item x="402"/>
        <item x="561"/>
        <item x="471"/>
        <item x="167"/>
        <item x="638"/>
        <item x="826"/>
        <item x="668"/>
        <item x="265"/>
        <item x="294"/>
        <item x="831"/>
        <item x="157"/>
        <item x="111"/>
        <item x="338"/>
        <item x="1"/>
        <item x="690"/>
        <item x="358"/>
        <item x="590"/>
        <item x="937"/>
        <item x="800"/>
        <item x="304"/>
        <item x="613"/>
        <item x="681"/>
        <item x="177"/>
        <item x="315"/>
        <item x="68"/>
        <item x="666"/>
        <item x="877"/>
        <item x="626"/>
        <item x="57"/>
        <item x="774"/>
        <item x="273"/>
        <item x="161"/>
        <item x="810"/>
        <item x="715"/>
        <item x="425"/>
        <item x="101"/>
        <item x="620"/>
        <item x="906"/>
        <item x="130"/>
        <item x="84"/>
        <item x="927"/>
        <item x="812"/>
        <item x="0"/>
        <item x="422"/>
        <item x="352"/>
        <item x="833"/>
        <item x="760"/>
        <item x="706"/>
        <item x="82"/>
        <item x="672"/>
        <item x="486"/>
        <item x="86"/>
        <item x="371"/>
        <item x="62"/>
        <item x="436"/>
        <item x="118"/>
        <item x="660"/>
        <item x="154"/>
        <item x="582"/>
        <item x="391"/>
        <item x="292"/>
        <item x="520"/>
        <item x="147"/>
        <item x="58"/>
        <item x="773"/>
        <item x="12"/>
        <item x="454"/>
        <item x="802"/>
        <item x="646"/>
        <item x="581"/>
        <item x="603"/>
        <item x="28"/>
        <item x="362"/>
        <item x="239"/>
        <item x="565"/>
        <item x="97"/>
        <item x="140"/>
        <item x="405"/>
        <item x="150"/>
        <item x="548"/>
        <item x="562"/>
        <item x="526"/>
        <item x="830"/>
        <item x="770"/>
        <item x="557"/>
        <item x="509"/>
        <item x="93"/>
        <item x="753"/>
        <item x="372"/>
        <item x="83"/>
        <item x="329"/>
        <item x="72"/>
        <item x="236"/>
        <item x="23"/>
        <item x="288"/>
        <item x="734"/>
        <item x="775"/>
        <item x="158"/>
        <item x="105"/>
        <item x="244"/>
        <item x="172"/>
        <item x="885"/>
        <item x="344"/>
        <item x="701"/>
        <item x="806"/>
        <item x="665"/>
        <item x="355"/>
        <item x="752"/>
        <item x="414"/>
        <item x="33"/>
        <item x="260"/>
        <item x="479"/>
        <item x="116"/>
        <item x="484"/>
        <item x="767"/>
        <item x="671"/>
        <item x="689"/>
        <item x="144"/>
        <item x="185"/>
        <item x="893"/>
        <item x="74"/>
        <item x="226"/>
        <item x="940"/>
        <item x="745"/>
        <item x="333"/>
        <item x="227"/>
        <item x="495"/>
        <item x="48"/>
        <item x="308"/>
        <item x="544"/>
        <item x="838"/>
        <item x="798"/>
        <item x="404"/>
        <item x="142"/>
        <item x="293"/>
        <item x="925"/>
        <item x="121"/>
        <item x="401"/>
        <item x="746"/>
        <item x="566"/>
        <item x="513"/>
        <item x="6"/>
        <item x="591"/>
        <item x="722"/>
        <item x="327"/>
        <item x="66"/>
        <item x="251"/>
        <item x="921"/>
        <item x="460"/>
        <item x="537"/>
        <item x="424"/>
        <item x="5"/>
        <item x="563"/>
        <item x="790"/>
        <item x="568"/>
        <item x="540"/>
        <item x="494"/>
        <item x="801"/>
        <item x="795"/>
        <item x="262"/>
        <item x="473"/>
        <item x="605"/>
        <item x="63"/>
        <item x="205"/>
        <item x="187"/>
        <item x="325"/>
        <item x="225"/>
        <item x="589"/>
        <item x="939"/>
        <item x="702"/>
        <item x="829"/>
        <item x="529"/>
        <item x="518"/>
        <item x="131"/>
        <item x="908"/>
        <item x="848"/>
        <item x="712"/>
        <item x="474"/>
        <item x="511"/>
        <item x="299"/>
        <item x="43"/>
        <item x="445"/>
        <item x="219"/>
        <item x="869"/>
        <item x="212"/>
        <item x="420"/>
        <item x="247"/>
        <item x="515"/>
        <item x="776"/>
        <item x="907"/>
        <item x="503"/>
        <item x="179"/>
        <item x="584"/>
        <item x="171"/>
        <item x="317"/>
        <item x="392"/>
        <item x="103"/>
        <item x="868"/>
        <item x="842"/>
        <item x="947"/>
        <item x="787"/>
        <item x="306"/>
        <item x="772"/>
        <item x="781"/>
        <item x="804"/>
        <item x="135"/>
        <item x="764"/>
        <item x="342"/>
        <item x="88"/>
        <item x="576"/>
        <item x="793"/>
        <item x="489"/>
        <item x="538"/>
        <item x="930"/>
        <item x="146"/>
        <item x="132"/>
        <item x="237"/>
        <item x="835"/>
        <item x="938"/>
        <item x="9"/>
        <item x="843"/>
        <item x="170"/>
        <item x="328"/>
        <item x="125"/>
        <item x="324"/>
        <item x="779"/>
        <item x="367"/>
        <item x="880"/>
        <item x="673"/>
        <item x="510"/>
        <item x="215"/>
        <item x="412"/>
        <item x="240"/>
        <item x="242"/>
        <item x="686"/>
        <item x="24"/>
        <item x="465"/>
        <item x="639"/>
        <item x="942"/>
        <item x="693"/>
        <item x="447"/>
        <item x="941"/>
        <item x="863"/>
        <item x="846"/>
        <item x="363"/>
        <item x="282"/>
        <item x="229"/>
        <item x="621"/>
        <item x="653"/>
        <item x="825"/>
        <item x="30"/>
        <item x="162"/>
        <item x="709"/>
        <item x="365"/>
        <item x="27"/>
        <item x="725"/>
        <item x="732"/>
        <item x="54"/>
        <item x="685"/>
        <item x="735"/>
        <item x="654"/>
        <item x="7"/>
        <item x="569"/>
        <item x="319"/>
        <item x="598"/>
        <item x="178"/>
        <item x="911"/>
        <item x="750"/>
        <item x="904"/>
        <item x="539"/>
        <item x="498"/>
        <item x="704"/>
        <item x="655"/>
        <item x="553"/>
        <item x="458"/>
        <item x="208"/>
        <item x="813"/>
        <item x="891"/>
        <item x="796"/>
        <item x="216"/>
        <item x="276"/>
        <item x="604"/>
        <item x="298"/>
        <item x="497"/>
        <item x="165"/>
        <item x="411"/>
        <item x="524"/>
        <item x="254"/>
        <item x="650"/>
        <item x="269"/>
        <item x="703"/>
        <item x="173"/>
        <item x="51"/>
        <item x="625"/>
        <item x="148"/>
        <item x="360"/>
        <item x="395"/>
        <item x="905"/>
        <item x="90"/>
        <item x="881"/>
        <item x="370"/>
        <item x="64"/>
        <item x="527"/>
        <item x="160"/>
        <item x="341"/>
        <item x="502"/>
        <item x="313"/>
        <item x="196"/>
        <item x="696"/>
        <item x="649"/>
        <item x="353"/>
        <item x="46"/>
        <item x="71"/>
        <item x="873"/>
        <item x="455"/>
        <item x="20"/>
        <item x="615"/>
        <item x="38"/>
        <item x="717"/>
        <item x="741"/>
        <item x="271"/>
        <item x="380"/>
        <item x="546"/>
        <item x="261"/>
        <item x="912"/>
        <item x="794"/>
        <item x="406"/>
        <item x="200"/>
        <item x="81"/>
        <item x="156"/>
        <item x="564"/>
        <item x="55"/>
        <item x="413"/>
        <item x="889"/>
        <item x="731"/>
        <item x="844"/>
        <item x="834"/>
        <item x="204"/>
        <item x="417"/>
        <item x="69"/>
        <item x="697"/>
        <item x="523"/>
        <item x="347"/>
        <item x="583"/>
        <item x="268"/>
        <item x="35"/>
        <item x="541"/>
        <item x="637"/>
        <item x="855"/>
        <item x="256"/>
        <item x="56"/>
        <item x="879"/>
        <item x="400"/>
        <item x="387"/>
        <item x="688"/>
        <item x="289"/>
        <item x="461"/>
        <item x="841"/>
        <item x="193"/>
        <item x="763"/>
        <item x="78"/>
        <item x="153"/>
        <item x="42"/>
        <item x="303"/>
        <item x="336"/>
        <item x="949"/>
        <item x="895"/>
        <item x="136"/>
        <item x="815"/>
        <item x="788"/>
        <item x="408"/>
        <item x="14"/>
        <item x="202"/>
        <item x="490"/>
        <item x="409"/>
        <item x="224"/>
        <item x="751"/>
        <item x="181"/>
        <item x="501"/>
        <item x="898"/>
        <item x="394"/>
        <item x="677"/>
        <item x="214"/>
        <item x="718"/>
        <item x="652"/>
        <item x="382"/>
        <item x="410"/>
        <item x="59"/>
        <item x="543"/>
        <item x="614"/>
        <item x="431"/>
        <item x="531"/>
        <item x="505"/>
        <item x="444"/>
        <item x="195"/>
        <item x="917"/>
        <item x="573"/>
        <item x="259"/>
        <item x="910"/>
        <item x="443"/>
        <item x="96"/>
        <item x="555"/>
        <item x="295"/>
        <item x="230"/>
        <item x="15"/>
        <item x="567"/>
        <item x="393"/>
        <item x="44"/>
        <item x="780"/>
        <item x="935"/>
        <item x="634"/>
        <item x="361"/>
        <item x="241"/>
        <item x="482"/>
        <item x="769"/>
        <item x="571"/>
        <item x="691"/>
        <item x="856"/>
        <item x="853"/>
        <item x="478"/>
        <item x="749"/>
        <item x="883"/>
        <item x="643"/>
        <item x="882"/>
        <item x="642"/>
        <item x="542"/>
        <item x="138"/>
        <item x="18"/>
        <item x="586"/>
        <item x="164"/>
        <item x="708"/>
        <item x="415"/>
        <item x="786"/>
        <item x="311"/>
        <item x="250"/>
        <item x="519"/>
        <item x="89"/>
        <item x="176"/>
        <item x="418"/>
        <item x="854"/>
        <item x="297"/>
        <item x="558"/>
        <item x="29"/>
        <item x="252"/>
        <item x="384"/>
        <item x="25"/>
        <item x="22"/>
        <item x="175"/>
        <item t="default"/>
      </items>
    </pivotField>
    <pivotField showAll="0"/>
    <pivotField showAll="0">
      <items count="7">
        <item x="2"/>
        <item x="1"/>
        <item x="0"/>
        <item x="4"/>
        <item x="3"/>
        <item x="5"/>
        <item t="default"/>
      </items>
    </pivotField>
    <pivotField showAll="0">
      <items count="5">
        <item x="2"/>
        <item x="0"/>
        <item x="1"/>
        <item x="3"/>
        <item t="default"/>
      </items>
    </pivotField>
    <pivotField showAll="0">
      <items count="260">
        <item x="31"/>
        <item x="58"/>
        <item x="180"/>
        <item x="157"/>
        <item x="149"/>
        <item x="9"/>
        <item x="110"/>
        <item x="59"/>
        <item x="0"/>
        <item x="241"/>
        <item x="144"/>
        <item x="139"/>
        <item x="176"/>
        <item x="214"/>
        <item x="142"/>
        <item x="55"/>
        <item x="205"/>
        <item x="63"/>
        <item x="251"/>
        <item x="179"/>
        <item x="98"/>
        <item x="150"/>
        <item x="182"/>
        <item x="195"/>
        <item x="204"/>
        <item x="199"/>
        <item x="44"/>
        <item x="39"/>
        <item x="21"/>
        <item x="258"/>
        <item x="2"/>
        <item x="17"/>
        <item x="167"/>
        <item x="57"/>
        <item x="178"/>
        <item x="90"/>
        <item x="170"/>
        <item x="154"/>
        <item x="177"/>
        <item x="147"/>
        <item x="174"/>
        <item x="240"/>
        <item x="24"/>
        <item x="226"/>
        <item x="107"/>
        <item x="117"/>
        <item x="36"/>
        <item x="43"/>
        <item x="113"/>
        <item x="223"/>
        <item x="71"/>
        <item x="247"/>
        <item x="108"/>
        <item x="221"/>
        <item x="120"/>
        <item x="91"/>
        <item x="153"/>
        <item x="249"/>
        <item x="208"/>
        <item x="41"/>
        <item x="192"/>
        <item x="173"/>
        <item x="4"/>
        <item x="69"/>
        <item x="111"/>
        <item x="252"/>
        <item x="166"/>
        <item x="255"/>
        <item x="40"/>
        <item x="137"/>
        <item x="143"/>
        <item x="46"/>
        <item x="126"/>
        <item x="164"/>
        <item x="246"/>
        <item x="23"/>
        <item x="172"/>
        <item x="245"/>
        <item x="16"/>
        <item x="224"/>
        <item x="3"/>
        <item x="83"/>
        <item x="171"/>
        <item x="123"/>
        <item x="236"/>
        <item x="129"/>
        <item x="33"/>
        <item x="135"/>
        <item x="128"/>
        <item x="37"/>
        <item x="211"/>
        <item x="79"/>
        <item x="163"/>
        <item x="118"/>
        <item x="162"/>
        <item x="235"/>
        <item x="191"/>
        <item x="181"/>
        <item x="188"/>
        <item x="68"/>
        <item x="38"/>
        <item x="196"/>
        <item x="190"/>
        <item x="27"/>
        <item x="136"/>
        <item x="28"/>
        <item x="237"/>
        <item x="67"/>
        <item x="22"/>
        <item x="115"/>
        <item x="250"/>
        <item x="225"/>
        <item x="218"/>
        <item x="253"/>
        <item x="49"/>
        <item x="7"/>
        <item x="156"/>
        <item x="197"/>
        <item x="52"/>
        <item x="66"/>
        <item x="80"/>
        <item x="229"/>
        <item x="105"/>
        <item x="78"/>
        <item x="53"/>
        <item x="51"/>
        <item x="238"/>
        <item x="12"/>
        <item x="227"/>
        <item x="73"/>
        <item x="145"/>
        <item x="84"/>
        <item x="15"/>
        <item x="131"/>
        <item x="217"/>
        <item x="87"/>
        <item x="14"/>
        <item x="18"/>
        <item x="168"/>
        <item x="206"/>
        <item x="257"/>
        <item x="234"/>
        <item x="148"/>
        <item x="82"/>
        <item x="244"/>
        <item x="20"/>
        <item x="215"/>
        <item x="70"/>
        <item x="93"/>
        <item x="109"/>
        <item x="62"/>
        <item x="216"/>
        <item x="200"/>
        <item x="42"/>
        <item x="116"/>
        <item x="152"/>
        <item x="243"/>
        <item x="106"/>
        <item x="95"/>
        <item x="29"/>
        <item x="86"/>
        <item x="13"/>
        <item x="85"/>
        <item x="203"/>
        <item x="26"/>
        <item x="61"/>
        <item x="65"/>
        <item x="248"/>
        <item x="75"/>
        <item x="228"/>
        <item x="138"/>
        <item x="25"/>
        <item x="74"/>
        <item x="94"/>
        <item x="97"/>
        <item x="233"/>
        <item x="201"/>
        <item x="1"/>
        <item x="232"/>
        <item x="140"/>
        <item x="96"/>
        <item x="186"/>
        <item x="231"/>
        <item x="158"/>
        <item x="130"/>
        <item x="101"/>
        <item x="185"/>
        <item x="187"/>
        <item x="5"/>
        <item x="30"/>
        <item x="141"/>
        <item x="10"/>
        <item x="132"/>
        <item x="35"/>
        <item x="8"/>
        <item x="112"/>
        <item x="6"/>
        <item x="219"/>
        <item x="48"/>
        <item x="54"/>
        <item x="220"/>
        <item x="103"/>
        <item x="89"/>
        <item x="125"/>
        <item x="256"/>
        <item x="45"/>
        <item x="34"/>
        <item x="50"/>
        <item x="134"/>
        <item x="99"/>
        <item x="254"/>
        <item x="175"/>
        <item x="207"/>
        <item x="202"/>
        <item x="122"/>
        <item x="56"/>
        <item x="81"/>
        <item x="213"/>
        <item x="151"/>
        <item x="121"/>
        <item x="64"/>
        <item x="165"/>
        <item x="159"/>
        <item x="124"/>
        <item x="239"/>
        <item x="160"/>
        <item x="100"/>
        <item x="230"/>
        <item x="161"/>
        <item x="119"/>
        <item x="184"/>
        <item x="114"/>
        <item x="193"/>
        <item x="169"/>
        <item x="155"/>
        <item x="72"/>
        <item x="146"/>
        <item x="92"/>
        <item x="210"/>
        <item x="102"/>
        <item x="212"/>
        <item x="104"/>
        <item x="76"/>
        <item x="32"/>
        <item x="133"/>
        <item x="47"/>
        <item x="222"/>
        <item x="60"/>
        <item x="198"/>
        <item x="194"/>
        <item x="77"/>
        <item x="19"/>
        <item x="88"/>
        <item x="127"/>
        <item x="183"/>
        <item x="242"/>
        <item x="209"/>
        <item x="189"/>
        <item x="11"/>
        <item t="default"/>
      </items>
    </pivotField>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5">
    <i>
      <x/>
    </i>
    <i>
      <x v="1"/>
    </i>
    <i>
      <x v="2"/>
    </i>
    <i>
      <x v="3"/>
    </i>
    <i t="grand">
      <x/>
    </i>
  </rowItems>
  <colItems count="1">
    <i/>
  </colItems>
  <dataFields count="1">
    <dataField name="Count of Product_ID" fld="0" subtotal="count" showDataAs="percentOfCol" baseField="0" baseItem="0" numFmtId="10"/>
  </dataFields>
  <chartFormats count="10">
    <chartFormat chart="2" format="0"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11" count="1" selected="0">
            <x v="0"/>
          </reference>
        </references>
      </pivotArea>
    </chartFormat>
    <chartFormat chart="26" format="8">
      <pivotArea type="data" outline="0" fieldPosition="0">
        <references count="2">
          <reference field="4294967294" count="1" selected="0">
            <x v="0"/>
          </reference>
          <reference field="11" count="1" selected="0">
            <x v="1"/>
          </reference>
        </references>
      </pivotArea>
    </chartFormat>
    <chartFormat chart="26" format="9">
      <pivotArea type="data" outline="0" fieldPosition="0">
        <references count="2">
          <reference field="4294967294" count="1" selected="0">
            <x v="0"/>
          </reference>
          <reference field="11" count="1" selected="0">
            <x v="2"/>
          </reference>
        </references>
      </pivotArea>
    </chartFormat>
    <chartFormat chart="26" format="10">
      <pivotArea type="data" outline="0" fieldPosition="0">
        <references count="2">
          <reference field="4294967294" count="1" selected="0">
            <x v="0"/>
          </reference>
          <reference field="11" count="1" selected="0">
            <x v="3"/>
          </reference>
        </references>
      </pivotArea>
    </chartFormat>
    <chartFormat chart="2" format="1">
      <pivotArea type="data" outline="0" fieldPosition="0">
        <references count="2">
          <reference field="4294967294" count="1" selected="0">
            <x v="0"/>
          </reference>
          <reference field="11" count="1" selected="0">
            <x v="0"/>
          </reference>
        </references>
      </pivotArea>
    </chartFormat>
    <chartFormat chart="2" format="2">
      <pivotArea type="data" outline="0" fieldPosition="0">
        <references count="2">
          <reference field="4294967294" count="1" selected="0">
            <x v="0"/>
          </reference>
          <reference field="11" count="1" selected="0">
            <x v="1"/>
          </reference>
        </references>
      </pivotArea>
    </chartFormat>
    <chartFormat chart="2" format="3">
      <pivotArea type="data" outline="0" fieldPosition="0">
        <references count="2">
          <reference field="4294967294" count="1" selected="0">
            <x v="0"/>
          </reference>
          <reference field="11" count="1" selected="0">
            <x v="2"/>
          </reference>
        </references>
      </pivotArea>
    </chartFormat>
    <chartFormat chart="2"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E03DC9-AB9F-4F4C-8D69-82A02902DB3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F11" firstHeaderRow="1" firstDataRow="2" firstDataCol="1"/>
  <pivotFields count="17">
    <pivotField dataField="1" showAll="0"/>
    <pivotField showAll="0"/>
    <pivotField axis="axisRow" showAll="0">
      <items count="7">
        <item x="2"/>
        <item x="1"/>
        <item x="0"/>
        <item x="4"/>
        <item x="3"/>
        <item x="5"/>
        <item t="default"/>
      </items>
    </pivotField>
    <pivotField showAll="0">
      <items count="5">
        <item x="2"/>
        <item x="0"/>
        <item x="1"/>
        <item x="3"/>
        <item t="default"/>
      </items>
    </pivotField>
    <pivotField showAll="0">
      <items count="260">
        <item x="31"/>
        <item x="58"/>
        <item x="180"/>
        <item x="157"/>
        <item x="149"/>
        <item x="9"/>
        <item x="110"/>
        <item x="59"/>
        <item x="0"/>
        <item x="241"/>
        <item x="144"/>
        <item x="139"/>
        <item x="176"/>
        <item x="214"/>
        <item x="142"/>
        <item x="55"/>
        <item x="205"/>
        <item x="63"/>
        <item x="251"/>
        <item x="179"/>
        <item x="98"/>
        <item x="150"/>
        <item x="182"/>
        <item x="195"/>
        <item x="204"/>
        <item x="199"/>
        <item x="44"/>
        <item x="39"/>
        <item x="21"/>
        <item x="258"/>
        <item x="2"/>
        <item x="17"/>
        <item x="167"/>
        <item x="57"/>
        <item x="178"/>
        <item x="90"/>
        <item x="170"/>
        <item x="154"/>
        <item x="177"/>
        <item x="147"/>
        <item x="174"/>
        <item x="240"/>
        <item x="24"/>
        <item x="226"/>
        <item x="107"/>
        <item x="117"/>
        <item x="36"/>
        <item x="43"/>
        <item x="113"/>
        <item x="223"/>
        <item x="71"/>
        <item x="247"/>
        <item x="108"/>
        <item x="221"/>
        <item x="120"/>
        <item x="91"/>
        <item x="153"/>
        <item x="249"/>
        <item x="208"/>
        <item x="41"/>
        <item x="192"/>
        <item x="173"/>
        <item x="4"/>
        <item x="69"/>
        <item x="111"/>
        <item x="252"/>
        <item x="166"/>
        <item x="255"/>
        <item x="40"/>
        <item x="137"/>
        <item x="143"/>
        <item x="46"/>
        <item x="126"/>
        <item x="164"/>
        <item x="246"/>
        <item x="23"/>
        <item x="172"/>
        <item x="245"/>
        <item x="16"/>
        <item x="224"/>
        <item x="3"/>
        <item x="83"/>
        <item x="171"/>
        <item x="123"/>
        <item x="236"/>
        <item x="129"/>
        <item x="33"/>
        <item x="135"/>
        <item x="128"/>
        <item x="37"/>
        <item x="211"/>
        <item x="79"/>
        <item x="163"/>
        <item x="118"/>
        <item x="162"/>
        <item x="235"/>
        <item x="191"/>
        <item x="181"/>
        <item x="188"/>
        <item x="68"/>
        <item x="38"/>
        <item x="196"/>
        <item x="190"/>
        <item x="27"/>
        <item x="136"/>
        <item x="28"/>
        <item x="237"/>
        <item x="67"/>
        <item x="22"/>
        <item x="115"/>
        <item x="250"/>
        <item x="225"/>
        <item x="218"/>
        <item x="253"/>
        <item x="49"/>
        <item x="7"/>
        <item x="156"/>
        <item x="197"/>
        <item x="52"/>
        <item x="66"/>
        <item x="80"/>
        <item x="229"/>
        <item x="105"/>
        <item x="78"/>
        <item x="53"/>
        <item x="51"/>
        <item x="238"/>
        <item x="12"/>
        <item x="227"/>
        <item x="73"/>
        <item x="145"/>
        <item x="84"/>
        <item x="15"/>
        <item x="131"/>
        <item x="217"/>
        <item x="87"/>
        <item x="14"/>
        <item x="18"/>
        <item x="168"/>
        <item x="206"/>
        <item x="257"/>
        <item x="234"/>
        <item x="148"/>
        <item x="82"/>
        <item x="244"/>
        <item x="20"/>
        <item x="215"/>
        <item x="70"/>
        <item x="93"/>
        <item x="109"/>
        <item x="62"/>
        <item x="216"/>
        <item x="200"/>
        <item x="42"/>
        <item x="116"/>
        <item x="152"/>
        <item x="243"/>
        <item x="106"/>
        <item x="95"/>
        <item x="29"/>
        <item x="86"/>
        <item x="13"/>
        <item x="85"/>
        <item x="203"/>
        <item x="26"/>
        <item x="61"/>
        <item x="65"/>
        <item x="248"/>
        <item x="75"/>
        <item x="228"/>
        <item x="138"/>
        <item x="25"/>
        <item x="74"/>
        <item x="94"/>
        <item x="97"/>
        <item x="233"/>
        <item x="201"/>
        <item x="1"/>
        <item x="232"/>
        <item x="140"/>
        <item x="96"/>
        <item x="186"/>
        <item x="231"/>
        <item x="158"/>
        <item x="130"/>
        <item x="101"/>
        <item x="185"/>
        <item x="187"/>
        <item x="5"/>
        <item x="30"/>
        <item x="141"/>
        <item x="10"/>
        <item x="132"/>
        <item x="35"/>
        <item x="8"/>
        <item x="112"/>
        <item x="6"/>
        <item x="219"/>
        <item x="48"/>
        <item x="54"/>
        <item x="220"/>
        <item x="103"/>
        <item x="89"/>
        <item x="125"/>
        <item x="256"/>
        <item x="45"/>
        <item x="34"/>
        <item x="50"/>
        <item x="134"/>
        <item x="99"/>
        <item x="254"/>
        <item x="175"/>
        <item x="207"/>
        <item x="202"/>
        <item x="122"/>
        <item x="56"/>
        <item x="81"/>
        <item x="213"/>
        <item x="151"/>
        <item x="121"/>
        <item x="64"/>
        <item x="165"/>
        <item x="159"/>
        <item x="124"/>
        <item x="239"/>
        <item x="160"/>
        <item x="100"/>
        <item x="230"/>
        <item x="161"/>
        <item x="119"/>
        <item x="184"/>
        <item x="114"/>
        <item x="193"/>
        <item x="169"/>
        <item x="155"/>
        <item x="72"/>
        <item x="146"/>
        <item x="92"/>
        <item x="210"/>
        <item x="102"/>
        <item x="212"/>
        <item x="104"/>
        <item x="76"/>
        <item x="32"/>
        <item x="133"/>
        <item x="47"/>
        <item x="222"/>
        <item x="60"/>
        <item x="198"/>
        <item x="194"/>
        <item x="77"/>
        <item x="19"/>
        <item x="88"/>
        <item x="127"/>
        <item x="183"/>
        <item x="242"/>
        <item x="209"/>
        <item x="189"/>
        <item x="11"/>
        <item t="default"/>
      </items>
    </pivotField>
    <pivotField showAll="0"/>
    <pivotField showAll="0"/>
    <pivotField showAll="0"/>
    <pivotField showAll="0"/>
    <pivotField showAll="0"/>
    <pivotField showAll="0"/>
    <pivotField axis="axisCol" showAll="0">
      <items count="5">
        <item x="3"/>
        <item x="1"/>
        <item x="2"/>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Fields count="1">
    <field x="11"/>
  </colFields>
  <colItems count="5">
    <i>
      <x/>
    </i>
    <i>
      <x v="1"/>
    </i>
    <i>
      <x v="2"/>
    </i>
    <i>
      <x v="3"/>
    </i>
    <i t="grand">
      <x/>
    </i>
  </colItems>
  <dataFields count="1">
    <dataField name="Count of Product_ID" fld="0" subtotal="count" baseField="0" baseItem="0"/>
  </dataField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14" format="12" series="1">
      <pivotArea type="data" outline="0" fieldPosition="0">
        <references count="2">
          <reference field="4294967294" count="1" selected="0">
            <x v="0"/>
          </reference>
          <reference field="11" count="1" selected="0">
            <x v="0"/>
          </reference>
        </references>
      </pivotArea>
    </chartFormat>
    <chartFormat chart="14" format="13" series="1">
      <pivotArea type="data" outline="0" fieldPosition="0">
        <references count="2">
          <reference field="4294967294" count="1" selected="0">
            <x v="0"/>
          </reference>
          <reference field="11" count="1" selected="0">
            <x v="1"/>
          </reference>
        </references>
      </pivotArea>
    </chartFormat>
    <chartFormat chart="14" format="14" series="1">
      <pivotArea type="data" outline="0" fieldPosition="0">
        <references count="2">
          <reference field="4294967294" count="1" selected="0">
            <x v="0"/>
          </reference>
          <reference field="11" count="1" selected="0">
            <x v="2"/>
          </reference>
        </references>
      </pivotArea>
    </chartFormat>
    <chartFormat chart="14" format="15"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0CDDCC-C2F7-4430-98F9-8BF0DA46617D}" name="PivotTable3"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6">
  <location ref="A3:C14" firstHeaderRow="1" firstDataRow="1" firstDataCol="2" rowPageCount="1" colPageCount="1"/>
  <pivotFields count="17">
    <pivotField axis="axisRow" compact="0" outline="0" showAll="0" measureFilter="1" sortType="descending" defaultSubtotal="0">
      <items count="950">
        <item x="175"/>
        <item x="22"/>
        <item x="25"/>
        <item x="384"/>
        <item x="252"/>
        <item x="29"/>
        <item x="558"/>
        <item x="297"/>
        <item x="854"/>
        <item x="418"/>
        <item x="176"/>
        <item x="89"/>
        <item x="519"/>
        <item x="250"/>
        <item x="311"/>
        <item x="786"/>
        <item x="415"/>
        <item x="708"/>
        <item x="164"/>
        <item x="586"/>
        <item x="18"/>
        <item x="138"/>
        <item x="542"/>
        <item x="642"/>
        <item x="882"/>
        <item x="643"/>
        <item x="883"/>
        <item x="749"/>
        <item x="478"/>
        <item x="853"/>
        <item x="856"/>
        <item x="691"/>
        <item x="571"/>
        <item x="769"/>
        <item x="482"/>
        <item x="241"/>
        <item x="361"/>
        <item x="634"/>
        <item x="935"/>
        <item x="780"/>
        <item x="44"/>
        <item x="393"/>
        <item x="567"/>
        <item x="15"/>
        <item x="230"/>
        <item x="295"/>
        <item x="555"/>
        <item x="96"/>
        <item x="443"/>
        <item x="910"/>
        <item x="259"/>
        <item x="573"/>
        <item x="917"/>
        <item x="195"/>
        <item x="444"/>
        <item x="505"/>
        <item x="531"/>
        <item x="431"/>
        <item x="614"/>
        <item x="543"/>
        <item x="59"/>
        <item x="410"/>
        <item x="382"/>
        <item x="652"/>
        <item x="718"/>
        <item x="214"/>
        <item x="677"/>
        <item x="394"/>
        <item x="898"/>
        <item x="501"/>
        <item x="181"/>
        <item x="751"/>
        <item x="224"/>
        <item x="409"/>
        <item x="490"/>
        <item x="202"/>
        <item x="14"/>
        <item x="408"/>
        <item x="788"/>
        <item x="815"/>
        <item x="136"/>
        <item x="895"/>
        <item x="949"/>
        <item x="336"/>
        <item x="303"/>
        <item x="42"/>
        <item x="153"/>
        <item x="78"/>
        <item x="763"/>
        <item x="193"/>
        <item x="841"/>
        <item x="461"/>
        <item x="289"/>
        <item x="688"/>
        <item x="387"/>
        <item x="400"/>
        <item x="879"/>
        <item x="56"/>
        <item x="256"/>
        <item x="855"/>
        <item x="637"/>
        <item x="541"/>
        <item x="35"/>
        <item x="268"/>
        <item x="583"/>
        <item x="347"/>
        <item x="523"/>
        <item x="697"/>
        <item x="69"/>
        <item x="417"/>
        <item x="204"/>
        <item x="834"/>
        <item x="844"/>
        <item x="731"/>
        <item x="889"/>
        <item x="413"/>
        <item x="55"/>
        <item x="564"/>
        <item x="156"/>
        <item x="81"/>
        <item x="200"/>
        <item x="406"/>
        <item x="794"/>
        <item x="912"/>
        <item x="261"/>
        <item x="546"/>
        <item x="380"/>
        <item x="271"/>
        <item x="741"/>
        <item x="717"/>
        <item x="38"/>
        <item x="615"/>
        <item x="20"/>
        <item x="455"/>
        <item x="873"/>
        <item x="71"/>
        <item x="46"/>
        <item x="353"/>
        <item x="649"/>
        <item x="696"/>
        <item x="196"/>
        <item x="313"/>
        <item x="502"/>
        <item x="341"/>
        <item x="160"/>
        <item x="527"/>
        <item x="64"/>
        <item x="370"/>
        <item x="881"/>
        <item x="90"/>
        <item x="905"/>
        <item x="395"/>
        <item x="360"/>
        <item x="148"/>
        <item x="625"/>
        <item x="51"/>
        <item x="173"/>
        <item x="703"/>
        <item x="269"/>
        <item x="650"/>
        <item x="254"/>
        <item x="524"/>
        <item x="411"/>
        <item x="165"/>
        <item x="497"/>
        <item x="298"/>
        <item x="604"/>
        <item x="276"/>
        <item x="216"/>
        <item x="796"/>
        <item x="891"/>
        <item x="813"/>
        <item x="208"/>
        <item x="458"/>
        <item x="553"/>
        <item x="655"/>
        <item x="704"/>
        <item x="498"/>
        <item x="539"/>
        <item x="904"/>
        <item x="750"/>
        <item x="911"/>
        <item x="178"/>
        <item x="598"/>
        <item x="319"/>
        <item x="569"/>
        <item x="7"/>
        <item x="654"/>
        <item x="735"/>
        <item x="685"/>
        <item x="54"/>
        <item x="732"/>
        <item x="725"/>
        <item x="27"/>
        <item x="365"/>
        <item x="709"/>
        <item x="162"/>
        <item x="30"/>
        <item x="825"/>
        <item x="653"/>
        <item x="621"/>
        <item x="229"/>
        <item x="282"/>
        <item x="363"/>
        <item x="846"/>
        <item x="863"/>
        <item x="941"/>
        <item x="447"/>
        <item x="693"/>
        <item x="942"/>
        <item x="639"/>
        <item x="465"/>
        <item x="24"/>
        <item x="686"/>
        <item x="242"/>
        <item x="240"/>
        <item x="412"/>
        <item x="215"/>
        <item x="510"/>
        <item x="673"/>
        <item x="880"/>
        <item x="367"/>
        <item x="779"/>
        <item x="324"/>
        <item x="125"/>
        <item x="328"/>
        <item x="170"/>
        <item x="843"/>
        <item x="9"/>
        <item x="938"/>
        <item x="835"/>
        <item x="237"/>
        <item x="132"/>
        <item x="146"/>
        <item x="930"/>
        <item x="538"/>
        <item x="489"/>
        <item x="793"/>
        <item x="576"/>
        <item x="88"/>
        <item x="342"/>
        <item x="764"/>
        <item x="135"/>
        <item x="804"/>
        <item x="781"/>
        <item x="772"/>
        <item x="306"/>
        <item x="787"/>
        <item x="947"/>
        <item x="842"/>
        <item x="868"/>
        <item x="103"/>
        <item x="392"/>
        <item x="317"/>
        <item x="171"/>
        <item x="584"/>
        <item x="179"/>
        <item x="503"/>
        <item x="907"/>
        <item x="776"/>
        <item x="515"/>
        <item x="247"/>
        <item x="420"/>
        <item x="212"/>
        <item x="869"/>
        <item x="219"/>
        <item x="445"/>
        <item x="43"/>
        <item x="299"/>
        <item x="511"/>
        <item x="474"/>
        <item x="712"/>
        <item x="848"/>
        <item x="908"/>
        <item x="131"/>
        <item x="518"/>
        <item x="529"/>
        <item x="829"/>
        <item x="702"/>
        <item x="939"/>
        <item x="589"/>
        <item x="225"/>
        <item x="325"/>
        <item x="187"/>
        <item x="205"/>
        <item x="63"/>
        <item x="605"/>
        <item x="473"/>
        <item x="262"/>
        <item x="795"/>
        <item x="801"/>
        <item x="494"/>
        <item x="540"/>
        <item x="568"/>
        <item x="790"/>
        <item x="563"/>
        <item x="5"/>
        <item x="424"/>
        <item x="537"/>
        <item x="460"/>
        <item x="921"/>
        <item x="251"/>
        <item x="66"/>
        <item x="327"/>
        <item x="722"/>
        <item x="591"/>
        <item x="6"/>
        <item x="513"/>
        <item x="566"/>
        <item x="746"/>
        <item x="401"/>
        <item x="121"/>
        <item x="925"/>
        <item x="293"/>
        <item x="142"/>
        <item x="404"/>
        <item x="798"/>
        <item x="838"/>
        <item x="544"/>
        <item x="308"/>
        <item x="48"/>
        <item x="495"/>
        <item x="227"/>
        <item x="333"/>
        <item x="745"/>
        <item x="940"/>
        <item x="226"/>
        <item x="74"/>
        <item x="893"/>
        <item x="185"/>
        <item x="144"/>
        <item x="689"/>
        <item x="671"/>
        <item x="767"/>
        <item x="484"/>
        <item x="116"/>
        <item x="479"/>
        <item x="260"/>
        <item x="33"/>
        <item x="414"/>
        <item x="752"/>
        <item x="355"/>
        <item x="665"/>
        <item x="806"/>
        <item x="701"/>
        <item x="344"/>
        <item x="885"/>
        <item x="172"/>
        <item x="244"/>
        <item x="105"/>
        <item x="158"/>
        <item x="775"/>
        <item x="734"/>
        <item x="288"/>
        <item x="23"/>
        <item x="236"/>
        <item x="72"/>
        <item x="329"/>
        <item x="83"/>
        <item x="372"/>
        <item x="753"/>
        <item x="93"/>
        <item x="509"/>
        <item x="557"/>
        <item x="770"/>
        <item x="830"/>
        <item x="526"/>
        <item x="562"/>
        <item x="548"/>
        <item x="150"/>
        <item x="405"/>
        <item x="140"/>
        <item x="97"/>
        <item x="565"/>
        <item x="239"/>
        <item x="362"/>
        <item x="28"/>
        <item x="603"/>
        <item x="581"/>
        <item x="646"/>
        <item x="802"/>
        <item x="454"/>
        <item x="12"/>
        <item x="773"/>
        <item x="58"/>
        <item x="147"/>
        <item x="520"/>
        <item x="292"/>
        <item x="391"/>
        <item x="582"/>
        <item x="154"/>
        <item x="660"/>
        <item x="118"/>
        <item x="436"/>
        <item x="62"/>
        <item x="371"/>
        <item x="86"/>
        <item x="486"/>
        <item x="672"/>
        <item x="82"/>
        <item x="706"/>
        <item x="760"/>
        <item x="833"/>
        <item x="352"/>
        <item x="422"/>
        <item x="0"/>
        <item x="812"/>
        <item x="927"/>
        <item x="84"/>
        <item x="130"/>
        <item x="906"/>
        <item x="620"/>
        <item x="101"/>
        <item x="425"/>
        <item x="715"/>
        <item x="810"/>
        <item x="161"/>
        <item x="273"/>
        <item x="774"/>
        <item x="57"/>
        <item x="626"/>
        <item x="877"/>
        <item x="666"/>
        <item x="68"/>
        <item x="315"/>
        <item x="177"/>
        <item x="681"/>
        <item x="613"/>
        <item x="304"/>
        <item x="800"/>
        <item x="937"/>
        <item x="590"/>
        <item x="358"/>
        <item x="690"/>
        <item x="1"/>
        <item x="338"/>
        <item x="111"/>
        <item x="157"/>
        <item x="831"/>
        <item x="294"/>
        <item x="265"/>
        <item x="668"/>
        <item x="826"/>
        <item x="638"/>
        <item x="167"/>
        <item x="471"/>
        <item x="561"/>
        <item x="402"/>
        <item x="36"/>
        <item x="11"/>
        <item x="600"/>
        <item x="249"/>
        <item x="782"/>
        <item x="716"/>
        <item x="423"/>
        <item x="213"/>
        <item x="608"/>
        <item x="322"/>
        <item x="890"/>
        <item x="572"/>
        <item x="192"/>
        <item x="430"/>
        <item x="694"/>
        <item x="287"/>
        <item x="129"/>
        <item x="534"/>
        <item x="559"/>
        <item x="151"/>
        <item x="440"/>
        <item x="439"/>
        <item x="274"/>
        <item x="349"/>
        <item x="291"/>
        <item x="836"/>
        <item x="203"/>
        <item x="850"/>
        <item x="695"/>
        <item x="143"/>
        <item x="682"/>
        <item x="40"/>
        <item x="183"/>
        <item x="373"/>
        <item x="246"/>
        <item x="488"/>
        <item x="762"/>
        <item x="375"/>
        <item x="283"/>
        <item x="277"/>
        <item x="554"/>
        <item x="592"/>
        <item x="847"/>
        <item x="191"/>
        <item x="530"/>
        <item x="220"/>
        <item x="797"/>
        <item x="398"/>
        <item x="789"/>
        <item x="403"/>
        <item x="266"/>
        <item x="551"/>
        <item x="887"/>
        <item x="469"/>
        <item x="61"/>
        <item x="918"/>
        <item x="77"/>
        <item x="70"/>
        <item x="381"/>
        <item x="560"/>
        <item x="99"/>
        <item x="441"/>
        <item x="134"/>
        <item x="73"/>
        <item x="849"/>
        <item x="149"/>
        <item x="744"/>
        <item x="267"/>
        <item x="364"/>
        <item x="416"/>
        <item x="928"/>
        <item x="737"/>
        <item x="632"/>
        <item x="669"/>
        <item x="350"/>
        <item x="113"/>
        <item x="335"/>
        <item x="41"/>
        <item x="127"/>
        <item x="536"/>
        <item x="432"/>
        <item x="117"/>
        <item x="285"/>
        <item x="870"/>
        <item x="426"/>
        <item x="243"/>
        <item x="257"/>
        <item x="743"/>
        <item x="596"/>
        <item x="727"/>
        <item x="13"/>
        <item x="721"/>
        <item x="427"/>
        <item x="867"/>
        <item x="766"/>
        <item x="238"/>
        <item x="514"/>
        <item x="106"/>
        <item x="738"/>
        <item x="711"/>
        <item x="729"/>
        <item x="945"/>
        <item x="233"/>
        <item x="858"/>
        <item x="866"/>
        <item x="429"/>
        <item x="139"/>
        <item x="334"/>
        <item x="808"/>
        <item x="85"/>
        <item x="878"/>
        <item x="332"/>
        <item x="871"/>
        <item x="354"/>
        <item x="872"/>
        <item x="383"/>
        <item x="112"/>
        <item x="290"/>
        <item x="481"/>
        <item x="521"/>
        <item x="552"/>
        <item x="888"/>
        <item x="194"/>
        <item x="803"/>
        <item x="922"/>
        <item x="623"/>
        <item x="707"/>
        <item x="865"/>
        <item x="580"/>
        <item x="821"/>
        <item x="619"/>
        <item x="104"/>
        <item x="459"/>
        <item x="302"/>
        <item x="710"/>
        <item x="109"/>
        <item x="180"/>
        <item x="894"/>
        <item x="437"/>
        <item x="920"/>
        <item x="39"/>
        <item x="119"/>
        <item x="456"/>
        <item x="264"/>
        <item x="483"/>
        <item x="114"/>
        <item x="231"/>
        <item x="263"/>
        <item x="17"/>
        <item x="120"/>
        <item x="579"/>
        <item x="611"/>
        <item x="122"/>
        <item x="345"/>
        <item x="34"/>
        <item x="379"/>
        <item x="635"/>
        <item x="281"/>
        <item x="163"/>
        <item x="434"/>
        <item x="235"/>
        <item x="678"/>
        <item x="606"/>
        <item x="386"/>
        <item x="823"/>
        <item x="19"/>
        <item x="740"/>
        <item x="217"/>
        <item x="664"/>
        <item x="860"/>
        <item x="37"/>
        <item x="433"/>
        <item x="275"/>
        <item x="601"/>
        <item x="310"/>
        <item x="359"/>
        <item x="496"/>
        <item x="903"/>
        <item x="357"/>
        <item x="190"/>
        <item x="201"/>
        <item x="768"/>
        <item x="457"/>
        <item x="476"/>
        <item x="453"/>
        <item x="49"/>
        <item x="547"/>
        <item x="670"/>
        <item x="438"/>
        <item x="92"/>
        <item x="593"/>
        <item x="377"/>
        <item x="110"/>
        <item x="824"/>
        <item x="679"/>
        <item x="396"/>
        <item x="468"/>
        <item x="616"/>
        <item x="477"/>
        <item x="340"/>
        <item x="658"/>
        <item x="168"/>
        <item x="123"/>
        <item x="618"/>
        <item x="234"/>
        <item x="330"/>
        <item x="245"/>
        <item x="902"/>
        <item x="222"/>
        <item x="472"/>
        <item x="698"/>
        <item x="755"/>
        <item x="545"/>
        <item x="31"/>
        <item x="724"/>
        <item x="52"/>
        <item x="385"/>
        <item x="719"/>
        <item x="21"/>
        <item x="463"/>
        <item x="253"/>
        <item x="599"/>
        <item x="4"/>
        <item x="390"/>
        <item x="556"/>
        <item x="832"/>
        <item x="186"/>
        <item x="899"/>
        <item x="397"/>
        <item x="374"/>
        <item x="811"/>
        <item x="805"/>
        <item x="124"/>
        <item x="628"/>
        <item x="166"/>
        <item x="323"/>
        <item x="874"/>
        <item x="851"/>
        <item x="699"/>
        <item x="645"/>
        <item x="307"/>
        <item x="820"/>
        <item x="280"/>
        <item x="79"/>
        <item x="777"/>
        <item x="508"/>
        <item x="778"/>
        <item x="923"/>
        <item x="368"/>
        <item x="756"/>
        <item x="700"/>
        <item x="128"/>
        <item x="326"/>
        <item x="467"/>
        <item x="189"/>
        <item x="141"/>
        <item x="897"/>
        <item x="184"/>
        <item x="818"/>
        <item x="449"/>
        <item x="633"/>
        <item x="376"/>
        <item x="585"/>
        <item x="674"/>
        <item x="622"/>
        <item x="10"/>
        <item x="864"/>
        <item x="145"/>
        <item x="747"/>
        <item x="388"/>
        <item x="667"/>
        <item x="169"/>
        <item x="730"/>
        <item x="182"/>
        <item x="662"/>
        <item x="550"/>
        <item x="837"/>
        <item x="446"/>
        <item x="588"/>
        <item x="452"/>
        <item x="651"/>
        <item x="827"/>
        <item x="451"/>
        <item x="522"/>
        <item x="733"/>
        <item x="839"/>
        <item x="617"/>
        <item x="597"/>
        <item x="286"/>
        <item x="53"/>
        <item x="720"/>
        <item x="916"/>
        <item x="663"/>
        <item x="65"/>
        <item x="107"/>
        <item x="948"/>
        <item x="931"/>
        <item x="936"/>
        <item x="133"/>
        <item x="792"/>
        <item x="102"/>
        <item x="791"/>
        <item x="206"/>
        <item x="8"/>
        <item x="419"/>
        <item x="207"/>
        <item x="91"/>
        <item x="442"/>
        <item x="2"/>
        <item x="728"/>
        <item x="595"/>
        <item x="892"/>
        <item x="499"/>
        <item x="570"/>
        <item x="428"/>
        <item x="491"/>
        <item x="661"/>
        <item x="309"/>
        <item x="886"/>
        <item x="607"/>
        <item x="739"/>
        <item x="845"/>
        <item x="270"/>
        <item x="248"/>
        <item x="627"/>
        <item x="98"/>
        <item x="857"/>
        <item x="636"/>
        <item x="723"/>
        <item x="859"/>
        <item x="785"/>
        <item x="487"/>
        <item x="816"/>
        <item x="647"/>
        <item x="765"/>
        <item x="80"/>
        <item x="197"/>
        <item x="577"/>
        <item x="312"/>
        <item x="210"/>
        <item x="641"/>
        <item x="814"/>
        <item x="32"/>
        <item x="680"/>
        <item x="517"/>
        <item x="321"/>
        <item x="389"/>
        <item x="736"/>
        <item x="211"/>
        <item x="630"/>
        <item x="221"/>
        <item x="337"/>
        <item x="301"/>
        <item x="108"/>
        <item x="900"/>
        <item x="924"/>
        <item x="199"/>
        <item x="914"/>
        <item x="305"/>
        <item x="726"/>
        <item x="346"/>
        <item x="331"/>
        <item x="255"/>
        <item x="174"/>
        <item x="675"/>
        <item x="799"/>
        <item x="896"/>
        <item x="278"/>
        <item x="94"/>
        <item x="296"/>
        <item x="67"/>
        <item x="783"/>
        <item x="284"/>
        <item x="466"/>
        <item x="532"/>
        <item x="155"/>
        <item x="506"/>
        <item x="343"/>
        <item x="228"/>
        <item x="574"/>
        <item x="95"/>
        <item x="316"/>
        <item x="644"/>
        <item x="946"/>
        <item x="188"/>
        <item x="500"/>
        <item x="435"/>
        <item x="759"/>
        <item x="934"/>
        <item x="687"/>
        <item x="407"/>
        <item x="909"/>
        <item x="533"/>
        <item x="232"/>
        <item x="320"/>
        <item x="100"/>
        <item x="901"/>
        <item x="152"/>
        <item x="915"/>
        <item x="692"/>
        <item x="578"/>
        <item x="784"/>
        <item x="339"/>
        <item x="549"/>
        <item x="137"/>
        <item x="609"/>
        <item x="714"/>
        <item x="876"/>
        <item x="475"/>
        <item x="657"/>
        <item x="761"/>
        <item x="525"/>
        <item x="318"/>
        <item x="624"/>
        <item x="758"/>
        <item x="926"/>
        <item x="493"/>
        <item x="223"/>
        <item x="656"/>
        <item x="819"/>
        <item x="648"/>
        <item x="933"/>
        <item x="631"/>
        <item x="884"/>
        <item x="771"/>
        <item x="587"/>
        <item x="450"/>
        <item x="742"/>
        <item x="944"/>
        <item x="45"/>
        <item x="209"/>
        <item x="809"/>
        <item x="757"/>
        <item x="421"/>
        <item x="684"/>
        <item x="300"/>
        <item x="929"/>
        <item x="852"/>
        <item x="807"/>
        <item x="399"/>
        <item x="75"/>
        <item x="16"/>
        <item x="126"/>
        <item x="47"/>
        <item x="159"/>
        <item x="480"/>
        <item x="610"/>
        <item x="528"/>
        <item x="378"/>
        <item x="279"/>
        <item x="448"/>
        <item x="356"/>
        <item x="351"/>
        <item x="504"/>
        <item x="516"/>
        <item x="507"/>
        <item x="314"/>
        <item x="932"/>
        <item x="535"/>
        <item x="272"/>
        <item x="919"/>
        <item x="198"/>
        <item x="612"/>
        <item x="629"/>
        <item x="218"/>
        <item x="817"/>
        <item x="115"/>
        <item x="485"/>
        <item x="60"/>
        <item x="861"/>
        <item x="862"/>
        <item x="754"/>
        <item x="840"/>
        <item x="76"/>
        <item x="369"/>
        <item x="366"/>
        <item x="676"/>
        <item x="640"/>
        <item x="50"/>
        <item x="822"/>
        <item x="348"/>
        <item x="748"/>
        <item x="659"/>
        <item x="594"/>
        <item x="683"/>
        <item x="512"/>
        <item x="470"/>
        <item x="875"/>
        <item x="828"/>
        <item x="87"/>
        <item x="3"/>
        <item x="492"/>
        <item x="575"/>
        <item x="943"/>
        <item x="258"/>
        <item x="464"/>
        <item x="913"/>
        <item x="462"/>
        <item x="26"/>
        <item x="713"/>
        <item x="705"/>
        <item x="602"/>
      </items>
    </pivotField>
    <pivotField axis="axisRow" compact="0" outline="0" showAll="0" sortType="descending" defaultSubtotal="0">
      <items count="75">
        <item x="65"/>
        <item x="0"/>
        <item x="47"/>
        <item x="49"/>
        <item x="33"/>
        <item x="37"/>
        <item x="42"/>
        <item x="71"/>
        <item x="1"/>
        <item x="13"/>
        <item x="2"/>
        <item x="4"/>
        <item x="5"/>
        <item x="12"/>
        <item x="17"/>
        <item x="3"/>
        <item x="54"/>
        <item x="9"/>
        <item x="39"/>
        <item x="6"/>
        <item x="74"/>
        <item x="43"/>
        <item x="8"/>
        <item x="16"/>
        <item x="32"/>
        <item x="22"/>
        <item x="29"/>
        <item x="52"/>
        <item x="64"/>
        <item x="72"/>
        <item x="20"/>
        <item x="73"/>
        <item x="53"/>
        <item x="69"/>
        <item x="46"/>
        <item x="66"/>
        <item x="57"/>
        <item x="15"/>
        <item x="11"/>
        <item x="45"/>
        <item x="61"/>
        <item x="36"/>
        <item x="67"/>
        <item x="56"/>
        <item x="14"/>
        <item x="24"/>
        <item x="19"/>
        <item x="38"/>
        <item x="35"/>
        <item x="40"/>
        <item x="60"/>
        <item x="41"/>
        <item x="26"/>
        <item x="34"/>
        <item x="55"/>
        <item x="31"/>
        <item x="58"/>
        <item x="18"/>
        <item x="63"/>
        <item x="30"/>
        <item x="25"/>
        <item x="68"/>
        <item x="28"/>
        <item x="27"/>
        <item x="70"/>
        <item x="59"/>
        <item x="21"/>
        <item x="44"/>
        <item x="48"/>
        <item x="7"/>
        <item x="23"/>
        <item x="50"/>
        <item x="51"/>
        <item x="10"/>
        <item x="62"/>
      </items>
      <autoSortScope>
        <pivotArea dataOnly="0" outline="0" fieldPosition="0">
          <references count="1">
            <reference field="4294967294" count="1" selected="0">
              <x v="0"/>
            </reference>
          </references>
        </pivotArea>
      </autoSortScope>
    </pivotField>
    <pivotField compact="0" outline="0" showAll="0" defaultSubtotal="0">
      <items count="6">
        <item x="2"/>
        <item x="1"/>
        <item x="0"/>
        <item x="4"/>
        <item x="3"/>
        <item x="5"/>
      </items>
    </pivotField>
    <pivotField compact="0" outline="0" showAll="0" defaultSubtotal="0">
      <items count="4">
        <item x="2"/>
        <item x="0"/>
        <item x="1"/>
        <item x="3"/>
      </items>
    </pivotField>
    <pivotField compact="0" outline="0" showAll="0" defaultSubtotal="0">
      <items count="259">
        <item x="31"/>
        <item x="58"/>
        <item x="180"/>
        <item x="157"/>
        <item x="149"/>
        <item x="9"/>
        <item x="110"/>
        <item x="59"/>
        <item x="0"/>
        <item x="241"/>
        <item x="144"/>
        <item x="139"/>
        <item x="176"/>
        <item x="214"/>
        <item x="142"/>
        <item x="55"/>
        <item x="205"/>
        <item x="63"/>
        <item x="251"/>
        <item x="179"/>
        <item x="98"/>
        <item x="150"/>
        <item x="182"/>
        <item x="195"/>
        <item x="204"/>
        <item x="199"/>
        <item x="44"/>
        <item x="39"/>
        <item x="21"/>
        <item x="258"/>
        <item x="2"/>
        <item x="17"/>
        <item x="167"/>
        <item x="57"/>
        <item x="178"/>
        <item x="90"/>
        <item x="170"/>
        <item x="154"/>
        <item x="177"/>
        <item x="147"/>
        <item x="174"/>
        <item x="240"/>
        <item x="24"/>
        <item x="226"/>
        <item x="107"/>
        <item x="117"/>
        <item x="36"/>
        <item x="43"/>
        <item x="113"/>
        <item x="223"/>
        <item x="71"/>
        <item x="247"/>
        <item x="108"/>
        <item x="221"/>
        <item x="120"/>
        <item x="91"/>
        <item x="153"/>
        <item x="249"/>
        <item x="208"/>
        <item x="41"/>
        <item x="192"/>
        <item x="173"/>
        <item x="4"/>
        <item x="69"/>
        <item x="111"/>
        <item x="252"/>
        <item x="166"/>
        <item x="255"/>
        <item x="40"/>
        <item x="137"/>
        <item x="143"/>
        <item x="46"/>
        <item x="126"/>
        <item x="164"/>
        <item x="246"/>
        <item x="23"/>
        <item x="172"/>
        <item x="245"/>
        <item x="16"/>
        <item x="224"/>
        <item x="3"/>
        <item x="83"/>
        <item x="171"/>
        <item x="123"/>
        <item x="236"/>
        <item x="129"/>
        <item x="33"/>
        <item x="135"/>
        <item x="128"/>
        <item x="37"/>
        <item x="211"/>
        <item x="79"/>
        <item x="163"/>
        <item x="118"/>
        <item x="162"/>
        <item x="235"/>
        <item x="191"/>
        <item x="181"/>
        <item x="188"/>
        <item x="68"/>
        <item x="38"/>
        <item x="196"/>
        <item x="190"/>
        <item x="27"/>
        <item x="136"/>
        <item x="28"/>
        <item x="237"/>
        <item x="67"/>
        <item x="22"/>
        <item x="115"/>
        <item x="250"/>
        <item x="225"/>
        <item x="218"/>
        <item x="253"/>
        <item x="49"/>
        <item x="7"/>
        <item x="156"/>
        <item x="197"/>
        <item x="52"/>
        <item x="66"/>
        <item x="80"/>
        <item x="229"/>
        <item x="105"/>
        <item x="78"/>
        <item x="53"/>
        <item x="51"/>
        <item x="238"/>
        <item x="12"/>
        <item x="227"/>
        <item x="73"/>
        <item x="145"/>
        <item x="84"/>
        <item x="15"/>
        <item x="131"/>
        <item x="217"/>
        <item x="87"/>
        <item x="14"/>
        <item x="18"/>
        <item x="168"/>
        <item x="206"/>
        <item x="257"/>
        <item x="234"/>
        <item x="148"/>
        <item x="82"/>
        <item x="244"/>
        <item x="20"/>
        <item x="215"/>
        <item x="70"/>
        <item x="93"/>
        <item x="109"/>
        <item x="62"/>
        <item x="216"/>
        <item x="200"/>
        <item x="42"/>
        <item x="116"/>
        <item x="152"/>
        <item x="243"/>
        <item x="106"/>
        <item x="95"/>
        <item x="29"/>
        <item x="86"/>
        <item x="13"/>
        <item x="85"/>
        <item x="203"/>
        <item x="26"/>
        <item x="61"/>
        <item x="65"/>
        <item x="248"/>
        <item x="75"/>
        <item x="228"/>
        <item x="138"/>
        <item x="25"/>
        <item x="74"/>
        <item x="94"/>
        <item x="97"/>
        <item x="233"/>
        <item x="201"/>
        <item x="1"/>
        <item x="232"/>
        <item x="140"/>
        <item x="96"/>
        <item x="186"/>
        <item x="231"/>
        <item x="158"/>
        <item x="130"/>
        <item x="101"/>
        <item x="185"/>
        <item x="187"/>
        <item x="5"/>
        <item x="30"/>
        <item x="141"/>
        <item x="10"/>
        <item x="132"/>
        <item x="35"/>
        <item x="8"/>
        <item x="112"/>
        <item x="6"/>
        <item x="219"/>
        <item x="48"/>
        <item x="54"/>
        <item x="220"/>
        <item x="103"/>
        <item x="89"/>
        <item x="125"/>
        <item x="256"/>
        <item x="45"/>
        <item x="34"/>
        <item x="50"/>
        <item x="134"/>
        <item x="99"/>
        <item x="254"/>
        <item x="175"/>
        <item x="207"/>
        <item x="202"/>
        <item x="122"/>
        <item x="56"/>
        <item x="81"/>
        <item x="213"/>
        <item x="151"/>
        <item x="121"/>
        <item x="64"/>
        <item x="165"/>
        <item x="159"/>
        <item x="124"/>
        <item x="239"/>
        <item x="160"/>
        <item x="100"/>
        <item x="230"/>
        <item x="161"/>
        <item x="119"/>
        <item x="184"/>
        <item x="114"/>
        <item x="193"/>
        <item x="169"/>
        <item x="155"/>
        <item x="72"/>
        <item x="146"/>
        <item x="92"/>
        <item x="210"/>
        <item x="102"/>
        <item x="212"/>
        <item x="104"/>
        <item x="76"/>
        <item x="32"/>
        <item x="133"/>
        <item x="47"/>
        <item x="222"/>
        <item x="60"/>
        <item x="198"/>
        <item x="194"/>
        <item x="77"/>
        <item x="19"/>
        <item x="88"/>
        <item x="127"/>
        <item x="183"/>
        <item x="242"/>
        <item x="209"/>
        <item x="189"/>
        <item x="1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2"/>
        <item x="0"/>
      </items>
    </pivotField>
    <pivotField dataField="1" compact="0" outline="0" showAll="0" defaultSubtotal="0">
      <items count="884">
        <item x="528"/>
        <item x="309"/>
        <item x="225"/>
        <item x="290"/>
        <item x="870"/>
        <item x="459"/>
        <item x="787"/>
        <item x="703"/>
        <item x="31"/>
        <item x="369"/>
        <item x="562"/>
        <item x="30"/>
        <item x="13"/>
        <item x="563"/>
        <item x="206"/>
        <item x="600"/>
        <item x="336"/>
        <item x="815"/>
        <item x="138"/>
        <item x="221"/>
        <item x="845"/>
        <item x="691"/>
        <item x="205"/>
        <item x="470"/>
        <item x="727"/>
        <item x="414"/>
        <item x="139"/>
        <item x="444"/>
        <item x="172"/>
        <item x="607"/>
        <item x="144"/>
        <item x="271"/>
        <item x="43"/>
        <item x="358"/>
        <item x="488"/>
        <item x="704"/>
        <item x="264"/>
        <item x="527"/>
        <item x="654"/>
        <item x="281"/>
        <item x="283"/>
        <item x="234"/>
        <item x="69"/>
        <item x="76"/>
        <item x="739"/>
        <item x="597"/>
        <item x="523"/>
        <item x="728"/>
        <item x="50"/>
        <item x="301"/>
        <item x="673"/>
        <item x="733"/>
        <item x="511"/>
        <item x="243"/>
        <item x="772"/>
        <item x="847"/>
        <item x="646"/>
        <item x="456"/>
        <item x="771"/>
        <item x="280"/>
        <item x="160"/>
        <item x="175"/>
        <item x="760"/>
        <item x="130"/>
        <item x="298"/>
        <item x="451"/>
        <item x="399"/>
        <item x="73"/>
        <item x="277"/>
        <item x="589"/>
        <item x="401"/>
        <item x="189"/>
        <item x="549"/>
        <item x="191"/>
        <item x="684"/>
        <item x="872"/>
        <item x="157"/>
        <item x="18"/>
        <item x="284"/>
        <item x="250"/>
        <item x="648"/>
        <item x="763"/>
        <item x="692"/>
        <item x="477"/>
        <item x="623"/>
        <item x="808"/>
        <item x="110"/>
        <item x="62"/>
        <item x="379"/>
        <item x="413"/>
        <item x="775"/>
        <item x="469"/>
        <item x="2"/>
        <item x="778"/>
        <item x="879"/>
        <item x="257"/>
        <item x="449"/>
        <item x="531"/>
        <item x="66"/>
        <item x="850"/>
        <item x="567"/>
        <item x="365"/>
        <item x="769"/>
        <item x="661"/>
        <item x="484"/>
        <item x="350"/>
        <item x="668"/>
        <item x="682"/>
        <item x="210"/>
        <item x="734"/>
        <item x="179"/>
        <item x="104"/>
        <item x="765"/>
        <item x="849"/>
        <item x="774"/>
        <item x="836"/>
        <item x="776"/>
        <item x="504"/>
        <item x="80"/>
        <item x="119"/>
        <item x="81"/>
        <item x="78"/>
        <item x="650"/>
        <item x="768"/>
        <item x="792"/>
        <item x="742"/>
        <item x="348"/>
        <item x="297"/>
        <item x="881"/>
        <item x="621"/>
        <item x="115"/>
        <item x="6"/>
        <item x="818"/>
        <item x="173"/>
        <item x="329"/>
        <item x="553"/>
        <item x="238"/>
        <item x="532"/>
        <item x="510"/>
        <item x="657"/>
        <item x="525"/>
        <item x="462"/>
        <item x="289"/>
        <item x="208"/>
        <item x="5"/>
        <item x="752"/>
        <item x="506"/>
        <item x="860"/>
        <item x="124"/>
        <item x="1"/>
        <item x="592"/>
        <item x="446"/>
        <item x="544"/>
        <item x="63"/>
        <item x="738"/>
        <item x="134"/>
        <item x="458"/>
        <item x="99"/>
        <item x="235"/>
        <item x="37"/>
        <item x="327"/>
        <item x="261"/>
        <item x="56"/>
        <item x="825"/>
        <item x="578"/>
        <item x="809"/>
        <item x="457"/>
        <item x="388"/>
        <item x="319"/>
        <item x="212"/>
        <item x="551"/>
        <item x="57"/>
        <item x="207"/>
        <item x="708"/>
        <item x="463"/>
        <item x="882"/>
        <item x="146"/>
        <item x="92"/>
        <item x="421"/>
        <item x="685"/>
        <item x="642"/>
        <item x="799"/>
        <item x="804"/>
        <item x="375"/>
        <item x="867"/>
        <item x="681"/>
        <item x="599"/>
        <item x="202"/>
        <item x="548"/>
        <item x="35"/>
        <item x="516"/>
        <item x="411"/>
        <item x="554"/>
        <item x="750"/>
        <item x="72"/>
        <item x="830"/>
        <item x="513"/>
        <item x="108"/>
        <item x="393"/>
        <item x="340"/>
        <item x="341"/>
        <item x="700"/>
        <item x="248"/>
        <item x="538"/>
        <item x="464"/>
        <item x="347"/>
        <item x="721"/>
        <item x="697"/>
        <item x="233"/>
        <item x="624"/>
        <item x="265"/>
        <item x="152"/>
        <item x="465"/>
        <item x="518"/>
        <item x="8"/>
        <item x="15"/>
        <item x="556"/>
        <item x="254"/>
        <item x="709"/>
        <item x="605"/>
        <item x="496"/>
        <item x="580"/>
        <item x="659"/>
        <item x="641"/>
        <item x="755"/>
        <item x="260"/>
        <item x="455"/>
        <item x="629"/>
        <item x="546"/>
        <item x="786"/>
        <item x="70"/>
        <item x="472"/>
        <item x="360"/>
        <item x="699"/>
        <item x="303"/>
        <item x="409"/>
        <item x="667"/>
        <item x="169"/>
        <item x="501"/>
        <item x="64"/>
        <item x="415"/>
        <item x="123"/>
        <item x="660"/>
        <item x="61"/>
        <item x="460"/>
        <item x="361"/>
        <item x="693"/>
        <item x="842"/>
        <item x="272"/>
        <item x="150"/>
        <item x="417"/>
        <item x="367"/>
        <item x="777"/>
        <item x="618"/>
        <item x="810"/>
        <item x="674"/>
        <item x="422"/>
        <item x="305"/>
        <item x="828"/>
        <item x="634"/>
        <item x="748"/>
        <item x="287"/>
        <item x="89"/>
        <item x="216"/>
        <item x="753"/>
        <item x="256"/>
        <item x="746"/>
        <item x="447"/>
        <item x="550"/>
        <item x="263"/>
        <item x="295"/>
        <item x="4"/>
        <item x="244"/>
        <item x="788"/>
        <item x="478"/>
        <item x="517"/>
        <item x="363"/>
        <item x="751"/>
        <item x="322"/>
        <item x="192"/>
        <item x="219"/>
        <item x="719"/>
        <item x="835"/>
        <item x="675"/>
        <item x="493"/>
        <item x="612"/>
        <item x="74"/>
        <item x="874"/>
        <item x="863"/>
        <item x="390"/>
        <item x="424"/>
        <item x="569"/>
        <item x="729"/>
        <item x="198"/>
        <item x="326"/>
        <item x="880"/>
        <item x="537"/>
        <item x="572"/>
        <item x="94"/>
        <item x="435"/>
        <item x="183"/>
        <item x="616"/>
        <item x="821"/>
        <item x="838"/>
        <item x="428"/>
        <item x="761"/>
        <item x="702"/>
        <item x="798"/>
        <item x="790"/>
        <item x="806"/>
        <item x="545"/>
        <item x="827"/>
        <item x="351"/>
        <item x="218"/>
        <item x="862"/>
        <item x="286"/>
        <item x="542"/>
        <item x="324"/>
        <item x="561"/>
        <item x="245"/>
        <item x="514"/>
        <item x="84"/>
        <item x="331"/>
        <item x="44"/>
        <item x="521"/>
        <item x="318"/>
        <item x="735"/>
        <item x="117"/>
        <item x="23"/>
        <item x="330"/>
        <item x="167"/>
        <item x="45"/>
        <item x="664"/>
        <item x="97"/>
        <item x="552"/>
        <item x="791"/>
        <item x="712"/>
        <item x="566"/>
        <item x="745"/>
        <item x="473"/>
        <item x="644"/>
        <item x="378"/>
        <item x="854"/>
        <item x="663"/>
        <item x="471"/>
        <item x="579"/>
        <item x="22"/>
        <item x="744"/>
        <item x="662"/>
        <item x="497"/>
        <item x="246"/>
        <item x="829"/>
        <item x="299"/>
        <item x="696"/>
        <item x="494"/>
        <item x="759"/>
        <item x="159"/>
        <item x="543"/>
        <item x="100"/>
        <item x="533"/>
        <item x="376"/>
        <item x="608"/>
        <item x="21"/>
        <item x="195"/>
        <item x="723"/>
        <item x="620"/>
        <item x="247"/>
        <item x="334"/>
        <item x="502"/>
        <item x="726"/>
        <item x="844"/>
        <item x="420"/>
        <item x="121"/>
        <item x="101"/>
        <item x="507"/>
        <item x="185"/>
        <item x="781"/>
        <item x="155"/>
        <item x="400"/>
        <item x="49"/>
        <item x="816"/>
        <item x="536"/>
        <item x="269"/>
        <item x="3"/>
        <item x="346"/>
        <item x="362"/>
        <item x="722"/>
        <item x="164"/>
        <item x="856"/>
        <item x="178"/>
        <item x="85"/>
        <item x="583"/>
        <item x="509"/>
        <item x="282"/>
        <item x="857"/>
        <item x="604"/>
        <item x="102"/>
        <item x="419"/>
        <item x="468"/>
        <item x="380"/>
        <item x="586"/>
        <item x="136"/>
        <item x="639"/>
        <item x="274"/>
        <item x="656"/>
        <item x="140"/>
        <item x="32"/>
        <item x="811"/>
        <item x="343"/>
        <item x="251"/>
        <item x="491"/>
        <item x="54"/>
        <item x="611"/>
        <item x="381"/>
        <item x="215"/>
        <item x="273"/>
        <item x="805"/>
        <item x="293"/>
        <item x="585"/>
        <item x="291"/>
        <item x="732"/>
        <item x="47"/>
        <item x="24"/>
        <item x="9"/>
        <item x="754"/>
        <item x="595"/>
        <item x="231"/>
        <item x="242"/>
        <item x="323"/>
        <item x="316"/>
        <item x="398"/>
        <item x="211"/>
        <item x="38"/>
        <item x="232"/>
        <item x="55"/>
        <item x="385"/>
        <item x="613"/>
        <item x="631"/>
        <item x="147"/>
        <item x="485"/>
        <item x="627"/>
        <item x="602"/>
        <item x="807"/>
        <item x="756"/>
        <item x="374"/>
        <item x="352"/>
        <item x="737"/>
        <item x="797"/>
        <item x="113"/>
        <item x="676"/>
        <item x="397"/>
        <item x="643"/>
        <item x="560"/>
        <item x="445"/>
        <item x="228"/>
        <item x="713"/>
        <item x="320"/>
        <item x="689"/>
        <item x="706"/>
        <item x="26"/>
        <item x="679"/>
        <item x="826"/>
        <item x="364"/>
        <item x="227"/>
        <item x="168"/>
        <item x="855"/>
        <item x="58"/>
        <item x="609"/>
        <item x="418"/>
        <item x="740"/>
        <item x="614"/>
        <item x="848"/>
        <item x="747"/>
        <item x="105"/>
        <item x="237"/>
        <item x="820"/>
        <item x="725"/>
        <item x="795"/>
        <item x="633"/>
        <item x="429"/>
        <item x="342"/>
        <item x="96"/>
        <item x="127"/>
        <item x="345"/>
        <item x="142"/>
        <item x="622"/>
        <item x="547"/>
        <item x="438"/>
        <item x="425"/>
        <item x="839"/>
        <item x="688"/>
        <item x="801"/>
        <item x="410"/>
        <item x="65"/>
        <item x="190"/>
        <item x="386"/>
        <item x="266"/>
        <item x="591"/>
        <item x="824"/>
        <item x="151"/>
        <item x="90"/>
        <item x="10"/>
        <item x="370"/>
        <item x="770"/>
        <item x="698"/>
        <item x="240"/>
        <item x="141"/>
        <item x="843"/>
        <item x="304"/>
        <item x="715"/>
        <item x="402"/>
        <item x="377"/>
        <item x="877"/>
        <item x="666"/>
        <item x="27"/>
        <item x="262"/>
        <item x="182"/>
        <item x="636"/>
        <item x="328"/>
        <item x="193"/>
        <item x="802"/>
        <item x="498"/>
        <item x="437"/>
        <item x="512"/>
        <item x="384"/>
        <item x="111"/>
        <item x="93"/>
        <item x="431"/>
        <item x="106"/>
        <item x="41"/>
        <item x="565"/>
        <item x="736"/>
        <item x="701"/>
        <item x="259"/>
        <item x="333"/>
        <item x="14"/>
        <item x="486"/>
        <item x="441"/>
        <item x="315"/>
        <item x="166"/>
        <item x="314"/>
        <item x="408"/>
        <item x="541"/>
        <item x="382"/>
        <item x="125"/>
        <item x="558"/>
        <item x="395"/>
        <item x="25"/>
        <item x="535"/>
        <item x="177"/>
        <item x="869"/>
        <item x="203"/>
        <item x="635"/>
        <item x="453"/>
        <item x="800"/>
        <item x="619"/>
        <item x="317"/>
        <item x="782"/>
        <item x="12"/>
        <item x="249"/>
        <item x="194"/>
        <item x="337"/>
        <item x="148"/>
        <item x="430"/>
        <item x="276"/>
        <item x="275"/>
        <item x="439"/>
        <item x="454"/>
        <item x="423"/>
        <item x="758"/>
        <item x="762"/>
        <item x="174"/>
        <item x="647"/>
        <item x="651"/>
        <item x="143"/>
        <item x="540"/>
        <item x="500"/>
        <item x="678"/>
        <item x="617"/>
        <item x="515"/>
        <item x="581"/>
        <item x="590"/>
        <item x="686"/>
        <item x="796"/>
        <item x="392"/>
        <item x="258"/>
        <item x="474"/>
        <item x="112"/>
        <item x="475"/>
        <item x="730"/>
        <item x="793"/>
        <item x="773"/>
        <item x="568"/>
        <item x="253"/>
        <item x="526"/>
        <item x="508"/>
        <item x="403"/>
        <item x="91"/>
        <item x="813"/>
        <item x="483"/>
        <item x="680"/>
        <item x="575"/>
        <item x="0"/>
        <item x="79"/>
        <item x="757"/>
        <item x="448"/>
        <item x="683"/>
        <item x="555"/>
        <item x="652"/>
        <item x="743"/>
        <item x="128"/>
        <item x="503"/>
        <item x="489"/>
        <item x="577"/>
        <item x="310"/>
        <item x="118"/>
        <item x="42"/>
        <item x="534"/>
        <item x="98"/>
        <item x="780"/>
        <item x="188"/>
        <item x="861"/>
        <item x="587"/>
        <item x="720"/>
        <item x="672"/>
        <item x="67"/>
        <item x="82"/>
        <item x="353"/>
        <item x="480"/>
        <item x="356"/>
        <item x="34"/>
        <item x="226"/>
        <item x="48"/>
        <item x="86"/>
        <item x="864"/>
        <item x="442"/>
        <item x="29"/>
        <item x="717"/>
        <item x="368"/>
        <item x="60"/>
        <item x="40"/>
        <item x="407"/>
        <item x="767"/>
        <item x="710"/>
        <item x="412"/>
        <item x="466"/>
        <item x="638"/>
        <item x="184"/>
        <item x="46"/>
        <item x="19"/>
        <item x="270"/>
        <item x="695"/>
        <item x="594"/>
        <item x="131"/>
        <item x="137"/>
        <item x="876"/>
        <item x="846"/>
        <item x="868"/>
        <item x="200"/>
        <item x="858"/>
        <item x="120"/>
        <item x="394"/>
        <item x="296"/>
        <item x="229"/>
        <item x="866"/>
        <item x="658"/>
        <item x="199"/>
        <item x="255"/>
        <item x="671"/>
        <item x="764"/>
        <item x="524"/>
        <item x="129"/>
        <item x="126"/>
        <item x="158"/>
        <item x="822"/>
        <item x="731"/>
        <item x="603"/>
        <item x="176"/>
        <item x="871"/>
        <item x="632"/>
        <item x="570"/>
        <item x="95"/>
        <item x="357"/>
        <item x="841"/>
        <item x="396"/>
        <item x="432"/>
        <item x="823"/>
        <item x="669"/>
        <item x="779"/>
        <item x="625"/>
        <item x="83"/>
        <item x="11"/>
        <item x="637"/>
        <item x="114"/>
        <item x="162"/>
        <item x="467"/>
        <item x="109"/>
        <item x="51"/>
        <item x="339"/>
        <item x="837"/>
        <item x="344"/>
        <item x="817"/>
        <item x="68"/>
        <item x="197"/>
        <item x="39"/>
        <item x="610"/>
        <item x="288"/>
        <item x="285"/>
        <item x="649"/>
        <item x="107"/>
        <item x="214"/>
        <item x="653"/>
        <item x="294"/>
        <item x="875"/>
        <item x="784"/>
        <item x="640"/>
        <item x="383"/>
        <item x="313"/>
        <item x="406"/>
        <item x="687"/>
        <item x="149"/>
        <item x="292"/>
        <item x="36"/>
        <item x="626"/>
        <item x="308"/>
        <item x="278"/>
        <item x="427"/>
        <item x="724"/>
        <item x="557"/>
        <item x="670"/>
        <item x="833"/>
        <item x="819"/>
        <item x="505"/>
        <item x="88"/>
        <item x="789"/>
        <item x="87"/>
        <item x="387"/>
        <item x="487"/>
        <item x="196"/>
        <item x="859"/>
        <item x="52"/>
        <item x="209"/>
        <item x="373"/>
        <item x="187"/>
        <item x="741"/>
        <item x="165"/>
        <item x="220"/>
        <item x="332"/>
        <item x="217"/>
        <item x="852"/>
        <item x="252"/>
        <item x="573"/>
        <item x="222"/>
        <item x="749"/>
        <item x="596"/>
        <item x="230"/>
        <item x="321"/>
        <item x="405"/>
        <item x="180"/>
        <item x="665"/>
        <item x="77"/>
        <item x="306"/>
        <item x="156"/>
        <item x="236"/>
        <item x="794"/>
        <item x="186"/>
        <item x="718"/>
        <item x="582"/>
        <item x="705"/>
        <item x="59"/>
        <item x="311"/>
        <item x="482"/>
        <item x="354"/>
        <item x="529"/>
        <item x="404"/>
        <item x="161"/>
        <item x="307"/>
        <item x="181"/>
        <item x="853"/>
        <item x="391"/>
        <item x="440"/>
        <item x="628"/>
        <item x="694"/>
        <item x="450"/>
        <item x="803"/>
        <item x="372"/>
        <item x="279"/>
        <item x="53"/>
        <item x="814"/>
        <item x="201"/>
        <item x="865"/>
        <item x="16"/>
        <item x="519"/>
        <item x="522"/>
        <item x="338"/>
        <item x="366"/>
        <item x="389"/>
        <item x="574"/>
        <item x="426"/>
        <item x="812"/>
        <item x="576"/>
        <item x="335"/>
        <item x="530"/>
        <item x="655"/>
        <item x="495"/>
        <item x="873"/>
        <item x="116"/>
        <item x="325"/>
        <item x="239"/>
        <item x="584"/>
        <item x="883"/>
        <item x="677"/>
        <item x="145"/>
        <item x="75"/>
        <item x="707"/>
        <item x="588"/>
        <item x="593"/>
        <item x="851"/>
        <item x="436"/>
        <item x="443"/>
        <item x="615"/>
        <item x="17"/>
        <item x="204"/>
        <item x="831"/>
        <item x="716"/>
        <item x="571"/>
        <item x="133"/>
        <item x="33"/>
        <item x="171"/>
        <item x="103"/>
        <item x="170"/>
        <item x="223"/>
        <item x="267"/>
        <item x="122"/>
        <item x="645"/>
        <item x="606"/>
        <item x="71"/>
        <item x="163"/>
        <item x="154"/>
        <item x="559"/>
        <item x="711"/>
        <item x="564"/>
        <item x="766"/>
        <item x="224"/>
        <item x="461"/>
        <item x="416"/>
        <item x="714"/>
        <item x="452"/>
        <item x="132"/>
        <item x="300"/>
        <item x="840"/>
        <item x="630"/>
        <item x="539"/>
        <item x="832"/>
        <item x="371"/>
        <item x="433"/>
        <item x="783"/>
        <item x="312"/>
        <item x="878"/>
        <item x="834"/>
        <item x="349"/>
        <item x="359"/>
        <item x="241"/>
        <item x="302"/>
        <item x="520"/>
        <item x="690"/>
        <item x="479"/>
        <item x="28"/>
        <item x="476"/>
        <item x="785"/>
        <item x="135"/>
        <item x="153"/>
        <item x="355"/>
        <item x="499"/>
        <item x="434"/>
        <item x="490"/>
        <item x="598"/>
        <item x="481"/>
        <item x="268"/>
        <item x="20"/>
        <item x="601"/>
        <item x="213"/>
        <item x="492"/>
        <item x="7"/>
      </items>
    </pivotField>
    <pivotField axis="axisPage" compact="0" outline="0" showAll="0" defaultSubtotal="0">
      <items count="3">
        <item x="2"/>
        <item x="0"/>
        <item x="1"/>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4">
        <item x="0"/>
        <item x="1"/>
        <item x="2"/>
        <item x="3"/>
      </items>
    </pivotField>
  </pivotFields>
  <rowFields count="2">
    <field x="0"/>
    <field x="1"/>
  </rowFields>
  <rowItems count="11">
    <i>
      <x v="100"/>
      <x v="61"/>
    </i>
    <i>
      <x v="132"/>
      <x v="57"/>
    </i>
    <i>
      <x v="161"/>
      <x v="51"/>
    </i>
    <i>
      <x v="173"/>
      <x v="43"/>
    </i>
    <i>
      <x v="269"/>
      <x v="6"/>
    </i>
    <i>
      <x v="395"/>
      <x v="44"/>
    </i>
    <i>
      <x v="493"/>
      <x v="56"/>
    </i>
    <i>
      <x v="567"/>
      <x v="48"/>
    </i>
    <i>
      <x v="822"/>
      <x v="27"/>
    </i>
    <i>
      <x v="925"/>
      <x v="69"/>
    </i>
    <i t="grand">
      <x/>
    </i>
  </rowItems>
  <colItems count="1">
    <i/>
  </colItems>
  <pageFields count="1">
    <pageField fld="13" item="1" hier="-1"/>
  </pageFields>
  <dataFields count="1">
    <dataField name="Sum of Stock_Value" fld="12"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533104-8EC4-4AE7-8404-9567BA8E81D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16" firstHeaderRow="1" firstDataRow="1" firstDataCol="1"/>
  <pivotFields count="17">
    <pivotField dataField="1" showAll="0"/>
    <pivotField showAll="0"/>
    <pivotField showAll="0">
      <items count="7">
        <item x="2"/>
        <item x="1"/>
        <item x="0"/>
        <item x="4"/>
        <item x="3"/>
        <item x="5"/>
        <item t="default"/>
      </items>
    </pivotField>
    <pivotField showAll="0">
      <items count="5">
        <item x="2"/>
        <item x="0"/>
        <item x="1"/>
        <item x="3"/>
        <item t="default"/>
      </items>
    </pivotField>
    <pivotField showAll="0">
      <items count="260">
        <item x="31"/>
        <item x="58"/>
        <item x="180"/>
        <item x="157"/>
        <item x="149"/>
        <item x="9"/>
        <item x="110"/>
        <item x="59"/>
        <item x="0"/>
        <item x="241"/>
        <item x="144"/>
        <item x="139"/>
        <item x="176"/>
        <item x="214"/>
        <item x="142"/>
        <item x="55"/>
        <item x="205"/>
        <item x="63"/>
        <item x="251"/>
        <item x="179"/>
        <item x="98"/>
        <item x="150"/>
        <item x="182"/>
        <item x="195"/>
        <item x="204"/>
        <item x="199"/>
        <item x="44"/>
        <item x="39"/>
        <item x="21"/>
        <item x="258"/>
        <item x="2"/>
        <item x="17"/>
        <item x="167"/>
        <item x="57"/>
        <item x="178"/>
        <item x="90"/>
        <item x="170"/>
        <item x="154"/>
        <item x="177"/>
        <item x="147"/>
        <item x="174"/>
        <item x="240"/>
        <item x="24"/>
        <item x="226"/>
        <item x="107"/>
        <item x="117"/>
        <item x="36"/>
        <item x="43"/>
        <item x="113"/>
        <item x="223"/>
        <item x="71"/>
        <item x="247"/>
        <item x="108"/>
        <item x="221"/>
        <item x="120"/>
        <item x="91"/>
        <item x="153"/>
        <item x="249"/>
        <item x="208"/>
        <item x="41"/>
        <item x="192"/>
        <item x="173"/>
        <item x="4"/>
        <item x="69"/>
        <item x="111"/>
        <item x="252"/>
        <item x="166"/>
        <item x="255"/>
        <item x="40"/>
        <item x="137"/>
        <item x="143"/>
        <item x="46"/>
        <item x="126"/>
        <item x="164"/>
        <item x="246"/>
        <item x="23"/>
        <item x="172"/>
        <item x="245"/>
        <item x="16"/>
        <item x="224"/>
        <item x="3"/>
        <item x="83"/>
        <item x="171"/>
        <item x="123"/>
        <item x="236"/>
        <item x="129"/>
        <item x="33"/>
        <item x="135"/>
        <item x="128"/>
        <item x="37"/>
        <item x="211"/>
        <item x="79"/>
        <item x="163"/>
        <item x="118"/>
        <item x="162"/>
        <item x="235"/>
        <item x="191"/>
        <item x="181"/>
        <item x="188"/>
        <item x="68"/>
        <item x="38"/>
        <item x="196"/>
        <item x="190"/>
        <item x="27"/>
        <item x="136"/>
        <item x="28"/>
        <item x="237"/>
        <item x="67"/>
        <item x="22"/>
        <item x="115"/>
        <item x="250"/>
        <item x="225"/>
        <item x="218"/>
        <item x="253"/>
        <item x="49"/>
        <item x="7"/>
        <item x="156"/>
        <item x="197"/>
        <item x="52"/>
        <item x="66"/>
        <item x="80"/>
        <item x="229"/>
        <item x="105"/>
        <item x="78"/>
        <item x="53"/>
        <item x="51"/>
        <item x="238"/>
        <item x="12"/>
        <item x="227"/>
        <item x="73"/>
        <item x="145"/>
        <item x="84"/>
        <item x="15"/>
        <item x="131"/>
        <item x="217"/>
        <item x="87"/>
        <item x="14"/>
        <item x="18"/>
        <item x="168"/>
        <item x="206"/>
        <item x="257"/>
        <item x="234"/>
        <item x="148"/>
        <item x="82"/>
        <item x="244"/>
        <item x="20"/>
        <item x="215"/>
        <item x="70"/>
        <item x="93"/>
        <item x="109"/>
        <item x="62"/>
        <item x="216"/>
        <item x="200"/>
        <item x="42"/>
        <item x="116"/>
        <item x="152"/>
        <item x="243"/>
        <item x="106"/>
        <item x="95"/>
        <item x="29"/>
        <item x="86"/>
        <item x="13"/>
        <item x="85"/>
        <item x="203"/>
        <item x="26"/>
        <item x="61"/>
        <item x="65"/>
        <item x="248"/>
        <item x="75"/>
        <item x="228"/>
        <item x="138"/>
        <item x="25"/>
        <item x="74"/>
        <item x="94"/>
        <item x="97"/>
        <item x="233"/>
        <item x="201"/>
        <item x="1"/>
        <item x="232"/>
        <item x="140"/>
        <item x="96"/>
        <item x="186"/>
        <item x="231"/>
        <item x="158"/>
        <item x="130"/>
        <item x="101"/>
        <item x="185"/>
        <item x="187"/>
        <item x="5"/>
        <item x="30"/>
        <item x="141"/>
        <item x="10"/>
        <item x="132"/>
        <item x="35"/>
        <item x="8"/>
        <item x="112"/>
        <item x="6"/>
        <item x="219"/>
        <item x="48"/>
        <item x="54"/>
        <item x="220"/>
        <item x="103"/>
        <item x="89"/>
        <item x="125"/>
        <item x="256"/>
        <item x="45"/>
        <item x="34"/>
        <item x="50"/>
        <item x="134"/>
        <item x="99"/>
        <item x="254"/>
        <item x="175"/>
        <item x="207"/>
        <item x="202"/>
        <item x="122"/>
        <item x="56"/>
        <item x="81"/>
        <item x="213"/>
        <item x="151"/>
        <item x="121"/>
        <item x="64"/>
        <item x="165"/>
        <item x="159"/>
        <item x="124"/>
        <item x="239"/>
        <item x="160"/>
        <item x="100"/>
        <item x="230"/>
        <item x="161"/>
        <item x="119"/>
        <item x="184"/>
        <item x="114"/>
        <item x="193"/>
        <item x="169"/>
        <item x="155"/>
        <item x="72"/>
        <item x="146"/>
        <item x="92"/>
        <item x="210"/>
        <item x="102"/>
        <item x="212"/>
        <item x="104"/>
        <item x="76"/>
        <item x="32"/>
        <item x="133"/>
        <item x="47"/>
        <item x="222"/>
        <item x="60"/>
        <item x="198"/>
        <item x="194"/>
        <item x="77"/>
        <item x="19"/>
        <item x="88"/>
        <item x="127"/>
        <item x="183"/>
        <item x="242"/>
        <item x="209"/>
        <item x="189"/>
        <item x="11"/>
        <item t="default"/>
      </items>
    </pivotField>
    <pivotField showAll="0"/>
    <pivotField showAll="0"/>
    <pivotField showAll="0"/>
    <pivotField showAll="0"/>
    <pivotField showAll="0"/>
    <pivotField showAll="0"/>
    <pivotField showAll="0">
      <items count="5">
        <item x="3"/>
        <item x="1"/>
        <item x="2"/>
        <item x="0"/>
        <item t="default"/>
      </items>
    </pivotField>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6"/>
    <field x="14"/>
  </rowFields>
  <rowItems count="13">
    <i>
      <x v="1"/>
    </i>
    <i r="1">
      <x v="12"/>
    </i>
    <i>
      <x v="2"/>
    </i>
    <i r="1">
      <x v="1"/>
    </i>
    <i r="1">
      <x v="2"/>
    </i>
    <i r="1">
      <x v="3"/>
    </i>
    <i r="1">
      <x v="4"/>
    </i>
    <i r="1">
      <x v="5"/>
    </i>
    <i r="1">
      <x v="6"/>
    </i>
    <i r="1">
      <x v="7"/>
    </i>
    <i r="1">
      <x v="8"/>
    </i>
    <i r="1">
      <x v="9"/>
    </i>
    <i t="grand">
      <x/>
    </i>
  </rowItems>
  <colItems count="1">
    <i/>
  </colItems>
  <dataFields count="1">
    <dataField name="Count of Produc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08F10B-2AA9-491D-BD6F-184FE11B697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8" firstHeaderRow="1" firstDataRow="1" firstDataCol="1"/>
  <pivotFields count="17">
    <pivotField showAll="0"/>
    <pivotField showAll="0"/>
    <pivotField showAll="0">
      <items count="7">
        <item x="2"/>
        <item x="1"/>
        <item x="0"/>
        <item x="4"/>
        <item x="3"/>
        <item x="5"/>
        <item t="default"/>
      </items>
    </pivotField>
    <pivotField showAll="0">
      <items count="5">
        <item x="2"/>
        <item x="0"/>
        <item x="1"/>
        <item x="3"/>
        <item t="default"/>
      </items>
    </pivotField>
    <pivotField showAll="0">
      <items count="260">
        <item x="31"/>
        <item x="58"/>
        <item x="180"/>
        <item x="157"/>
        <item x="149"/>
        <item x="9"/>
        <item x="110"/>
        <item x="59"/>
        <item x="0"/>
        <item x="241"/>
        <item x="144"/>
        <item x="139"/>
        <item x="176"/>
        <item x="214"/>
        <item x="142"/>
        <item x="55"/>
        <item x="205"/>
        <item x="63"/>
        <item x="251"/>
        <item x="179"/>
        <item x="98"/>
        <item x="150"/>
        <item x="182"/>
        <item x="195"/>
        <item x="204"/>
        <item x="199"/>
        <item x="44"/>
        <item x="39"/>
        <item x="21"/>
        <item x="258"/>
        <item x="2"/>
        <item x="17"/>
        <item x="167"/>
        <item x="57"/>
        <item x="178"/>
        <item x="90"/>
        <item x="170"/>
        <item x="154"/>
        <item x="177"/>
        <item x="147"/>
        <item x="174"/>
        <item x="240"/>
        <item x="24"/>
        <item x="226"/>
        <item x="107"/>
        <item x="117"/>
        <item x="36"/>
        <item x="43"/>
        <item x="113"/>
        <item x="223"/>
        <item x="71"/>
        <item x="247"/>
        <item x="108"/>
        <item x="221"/>
        <item x="120"/>
        <item x="91"/>
        <item x="153"/>
        <item x="249"/>
        <item x="208"/>
        <item x="41"/>
        <item x="192"/>
        <item x="173"/>
        <item x="4"/>
        <item x="69"/>
        <item x="111"/>
        <item x="252"/>
        <item x="166"/>
        <item x="255"/>
        <item x="40"/>
        <item x="137"/>
        <item x="143"/>
        <item x="46"/>
        <item x="126"/>
        <item x="164"/>
        <item x="246"/>
        <item x="23"/>
        <item x="172"/>
        <item x="245"/>
        <item x="16"/>
        <item x="224"/>
        <item x="3"/>
        <item x="83"/>
        <item x="171"/>
        <item x="123"/>
        <item x="236"/>
        <item x="129"/>
        <item x="33"/>
        <item x="135"/>
        <item x="128"/>
        <item x="37"/>
        <item x="211"/>
        <item x="79"/>
        <item x="163"/>
        <item x="118"/>
        <item x="162"/>
        <item x="235"/>
        <item x="191"/>
        <item x="181"/>
        <item x="188"/>
        <item x="68"/>
        <item x="38"/>
        <item x="196"/>
        <item x="190"/>
        <item x="27"/>
        <item x="136"/>
        <item x="28"/>
        <item x="237"/>
        <item x="67"/>
        <item x="22"/>
        <item x="115"/>
        <item x="250"/>
        <item x="225"/>
        <item x="218"/>
        <item x="253"/>
        <item x="49"/>
        <item x="7"/>
        <item x="156"/>
        <item x="197"/>
        <item x="52"/>
        <item x="66"/>
        <item x="80"/>
        <item x="229"/>
        <item x="105"/>
        <item x="78"/>
        <item x="53"/>
        <item x="51"/>
        <item x="238"/>
        <item x="12"/>
        <item x="227"/>
        <item x="73"/>
        <item x="145"/>
        <item x="84"/>
        <item x="15"/>
        <item x="131"/>
        <item x="217"/>
        <item x="87"/>
        <item x="14"/>
        <item x="18"/>
        <item x="168"/>
        <item x="206"/>
        <item x="257"/>
        <item x="234"/>
        <item x="148"/>
        <item x="82"/>
        <item x="244"/>
        <item x="20"/>
        <item x="215"/>
        <item x="70"/>
        <item x="93"/>
        <item x="109"/>
        <item x="62"/>
        <item x="216"/>
        <item x="200"/>
        <item x="42"/>
        <item x="116"/>
        <item x="152"/>
        <item x="243"/>
        <item x="106"/>
        <item x="95"/>
        <item x="29"/>
        <item x="86"/>
        <item x="13"/>
        <item x="85"/>
        <item x="203"/>
        <item x="26"/>
        <item x="61"/>
        <item x="65"/>
        <item x="248"/>
        <item x="75"/>
        <item x="228"/>
        <item x="138"/>
        <item x="25"/>
        <item x="74"/>
        <item x="94"/>
        <item x="97"/>
        <item x="233"/>
        <item x="201"/>
        <item x="1"/>
        <item x="232"/>
        <item x="140"/>
        <item x="96"/>
        <item x="186"/>
        <item x="231"/>
        <item x="158"/>
        <item x="130"/>
        <item x="101"/>
        <item x="185"/>
        <item x="187"/>
        <item x="5"/>
        <item x="30"/>
        <item x="141"/>
        <item x="10"/>
        <item x="132"/>
        <item x="35"/>
        <item x="8"/>
        <item x="112"/>
        <item x="6"/>
        <item x="219"/>
        <item x="48"/>
        <item x="54"/>
        <item x="220"/>
        <item x="103"/>
        <item x="89"/>
        <item x="125"/>
        <item x="256"/>
        <item x="45"/>
        <item x="34"/>
        <item x="50"/>
        <item x="134"/>
        <item x="99"/>
        <item x="254"/>
        <item x="175"/>
        <item x="207"/>
        <item x="202"/>
        <item x="122"/>
        <item x="56"/>
        <item x="81"/>
        <item x="213"/>
        <item x="151"/>
        <item x="121"/>
        <item x="64"/>
        <item x="165"/>
        <item x="159"/>
        <item x="124"/>
        <item x="239"/>
        <item x="160"/>
        <item x="100"/>
        <item x="230"/>
        <item x="161"/>
        <item x="119"/>
        <item x="184"/>
        <item x="114"/>
        <item x="193"/>
        <item x="169"/>
        <item x="155"/>
        <item x="72"/>
        <item x="146"/>
        <item x="92"/>
        <item x="210"/>
        <item x="102"/>
        <item x="212"/>
        <item x="104"/>
        <item x="76"/>
        <item x="32"/>
        <item x="133"/>
        <item x="47"/>
        <item x="222"/>
        <item x="60"/>
        <item x="198"/>
        <item x="194"/>
        <item x="77"/>
        <item x="19"/>
        <item x="88"/>
        <item x="127"/>
        <item x="183"/>
        <item x="242"/>
        <item x="209"/>
        <item x="189"/>
        <item x="11"/>
        <item t="default"/>
      </items>
    </pivotField>
    <pivotField showAll="0"/>
    <pivotField showAll="0"/>
    <pivotField showAll="0"/>
    <pivotField showAll="0"/>
    <pivotField showAll="0"/>
    <pivotField showAll="0"/>
    <pivotField axis="axisRow" showAll="0">
      <items count="5">
        <item x="3"/>
        <item x="1"/>
        <item x="2"/>
        <item x="0"/>
        <item t="default"/>
      </items>
    </pivotField>
    <pivotField dataField="1" showAll="0"/>
    <pivotField showAll="0"/>
    <pivotField showAll="0" defaultSubtotal="0"/>
    <pivotField showAll="0" defaultSubtotal="0"/>
    <pivotField showAll="0" defaultSubtotal="0">
      <items count="4">
        <item x="0"/>
        <item x="1"/>
        <item x="2"/>
        <item x="3"/>
      </items>
    </pivotField>
  </pivotFields>
  <rowFields count="1">
    <field x="11"/>
  </rowFields>
  <rowItems count="5">
    <i>
      <x/>
    </i>
    <i>
      <x v="1"/>
    </i>
    <i>
      <x v="2"/>
    </i>
    <i>
      <x v="3"/>
    </i>
    <i t="grand">
      <x/>
    </i>
  </rowItems>
  <colItems count="1">
    <i/>
  </colItems>
  <dataFields count="1">
    <dataField name="Sum of Stock_Value" fld="12" baseField="11" baseItem="0" numFmtId="165"/>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8203B1-9C02-4DF7-9A90-5A23D9B9D3C4}"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7" firstHeaderRow="1" firstDataRow="1" firstDataCol="1"/>
  <pivotFields count="17">
    <pivotField dataField="1" showAll="0"/>
    <pivotField showAll="0"/>
    <pivotField showAll="0">
      <items count="7">
        <item x="2"/>
        <item x="1"/>
        <item x="0"/>
        <item x="4"/>
        <item x="3"/>
        <item x="5"/>
        <item t="default"/>
      </items>
    </pivotField>
    <pivotField showAll="0">
      <items count="5">
        <item x="2"/>
        <item x="0"/>
        <item x="1"/>
        <item x="3"/>
        <item t="default"/>
      </items>
    </pivotField>
    <pivotField showAll="0">
      <items count="260">
        <item x="31"/>
        <item x="58"/>
        <item x="180"/>
        <item x="157"/>
        <item x="149"/>
        <item x="9"/>
        <item x="110"/>
        <item x="59"/>
        <item x="0"/>
        <item x="241"/>
        <item x="144"/>
        <item x="139"/>
        <item x="176"/>
        <item x="214"/>
        <item x="142"/>
        <item x="55"/>
        <item x="205"/>
        <item x="63"/>
        <item x="251"/>
        <item x="179"/>
        <item x="98"/>
        <item x="150"/>
        <item x="182"/>
        <item x="195"/>
        <item x="204"/>
        <item x="199"/>
        <item x="44"/>
        <item x="39"/>
        <item x="21"/>
        <item x="258"/>
        <item x="2"/>
        <item x="17"/>
        <item x="167"/>
        <item x="57"/>
        <item x="178"/>
        <item x="90"/>
        <item x="170"/>
        <item x="154"/>
        <item x="177"/>
        <item x="147"/>
        <item x="174"/>
        <item x="240"/>
        <item x="24"/>
        <item x="226"/>
        <item x="107"/>
        <item x="117"/>
        <item x="36"/>
        <item x="43"/>
        <item x="113"/>
        <item x="223"/>
        <item x="71"/>
        <item x="247"/>
        <item x="108"/>
        <item x="221"/>
        <item x="120"/>
        <item x="91"/>
        <item x="153"/>
        <item x="249"/>
        <item x="208"/>
        <item x="41"/>
        <item x="192"/>
        <item x="173"/>
        <item x="4"/>
        <item x="69"/>
        <item x="111"/>
        <item x="252"/>
        <item x="166"/>
        <item x="255"/>
        <item x="40"/>
        <item x="137"/>
        <item x="143"/>
        <item x="46"/>
        <item x="126"/>
        <item x="164"/>
        <item x="246"/>
        <item x="23"/>
        <item x="172"/>
        <item x="245"/>
        <item x="16"/>
        <item x="224"/>
        <item x="3"/>
        <item x="83"/>
        <item x="171"/>
        <item x="123"/>
        <item x="236"/>
        <item x="129"/>
        <item x="33"/>
        <item x="135"/>
        <item x="128"/>
        <item x="37"/>
        <item x="211"/>
        <item x="79"/>
        <item x="163"/>
        <item x="118"/>
        <item x="162"/>
        <item x="235"/>
        <item x="191"/>
        <item x="181"/>
        <item x="188"/>
        <item x="68"/>
        <item x="38"/>
        <item x="196"/>
        <item x="190"/>
        <item x="27"/>
        <item x="136"/>
        <item x="28"/>
        <item x="237"/>
        <item x="67"/>
        <item x="22"/>
        <item x="115"/>
        <item x="250"/>
        <item x="225"/>
        <item x="218"/>
        <item x="253"/>
        <item x="49"/>
        <item x="7"/>
        <item x="156"/>
        <item x="197"/>
        <item x="52"/>
        <item x="66"/>
        <item x="80"/>
        <item x="229"/>
        <item x="105"/>
        <item x="78"/>
        <item x="53"/>
        <item x="51"/>
        <item x="238"/>
        <item x="12"/>
        <item x="227"/>
        <item x="73"/>
        <item x="145"/>
        <item x="84"/>
        <item x="15"/>
        <item x="131"/>
        <item x="217"/>
        <item x="87"/>
        <item x="14"/>
        <item x="18"/>
        <item x="168"/>
        <item x="206"/>
        <item x="257"/>
        <item x="234"/>
        <item x="148"/>
        <item x="82"/>
        <item x="244"/>
        <item x="20"/>
        <item x="215"/>
        <item x="70"/>
        <item x="93"/>
        <item x="109"/>
        <item x="62"/>
        <item x="216"/>
        <item x="200"/>
        <item x="42"/>
        <item x="116"/>
        <item x="152"/>
        <item x="243"/>
        <item x="106"/>
        <item x="95"/>
        <item x="29"/>
        <item x="86"/>
        <item x="13"/>
        <item x="85"/>
        <item x="203"/>
        <item x="26"/>
        <item x="61"/>
        <item x="65"/>
        <item x="248"/>
        <item x="75"/>
        <item x="228"/>
        <item x="138"/>
        <item x="25"/>
        <item x="74"/>
        <item x="94"/>
        <item x="97"/>
        <item x="233"/>
        <item x="201"/>
        <item x="1"/>
        <item x="232"/>
        <item x="140"/>
        <item x="96"/>
        <item x="186"/>
        <item x="231"/>
        <item x="158"/>
        <item x="130"/>
        <item x="101"/>
        <item x="185"/>
        <item x="187"/>
        <item x="5"/>
        <item x="30"/>
        <item x="141"/>
        <item x="10"/>
        <item x="132"/>
        <item x="35"/>
        <item x="8"/>
        <item x="112"/>
        <item x="6"/>
        <item x="219"/>
        <item x="48"/>
        <item x="54"/>
        <item x="220"/>
        <item x="103"/>
        <item x="89"/>
        <item x="125"/>
        <item x="256"/>
        <item x="45"/>
        <item x="34"/>
        <item x="50"/>
        <item x="134"/>
        <item x="99"/>
        <item x="254"/>
        <item x="175"/>
        <item x="207"/>
        <item x="202"/>
        <item x="122"/>
        <item x="56"/>
        <item x="81"/>
        <item x="213"/>
        <item x="151"/>
        <item x="121"/>
        <item x="64"/>
        <item x="165"/>
        <item x="159"/>
        <item x="124"/>
        <item x="239"/>
        <item x="160"/>
        <item x="100"/>
        <item x="230"/>
        <item x="161"/>
        <item x="119"/>
        <item x="184"/>
        <item x="114"/>
        <item x="193"/>
        <item x="169"/>
        <item x="155"/>
        <item x="72"/>
        <item x="146"/>
        <item x="92"/>
        <item x="210"/>
        <item x="102"/>
        <item x="212"/>
        <item x="104"/>
        <item x="76"/>
        <item x="32"/>
        <item x="133"/>
        <item x="47"/>
        <item x="222"/>
        <item x="60"/>
        <item x="198"/>
        <item x="194"/>
        <item x="77"/>
        <item x="19"/>
        <item x="88"/>
        <item x="127"/>
        <item x="183"/>
        <item x="242"/>
        <item x="209"/>
        <item x="189"/>
        <item x="11"/>
        <item t="default"/>
      </items>
    </pivotField>
    <pivotField showAll="0"/>
    <pivotField showAll="0"/>
    <pivotField showAll="0"/>
    <pivotField showAll="0"/>
    <pivotField showAll="0"/>
    <pivotField showAll="0"/>
    <pivotField showAll="0">
      <items count="5">
        <item x="3"/>
        <item x="1"/>
        <item x="2"/>
        <item x="0"/>
        <item t="default"/>
      </items>
    </pivotField>
    <pivotField showAll="0"/>
    <pivotField axis="axisRow" showAll="0">
      <items count="4">
        <item x="2"/>
        <item x="0"/>
        <item x="1"/>
        <item t="default"/>
      </items>
    </pivotField>
    <pivotField showAll="0" defaultSubtotal="0"/>
    <pivotField showAll="0" defaultSubtotal="0"/>
    <pivotField showAll="0" defaultSubtotal="0">
      <items count="4">
        <item x="0"/>
        <item x="1"/>
        <item x="2"/>
        <item x="3"/>
      </items>
    </pivotField>
  </pivotFields>
  <rowFields count="1">
    <field x="13"/>
  </rowFields>
  <rowItems count="4">
    <i>
      <x/>
    </i>
    <i>
      <x v="1"/>
    </i>
    <i>
      <x v="2"/>
    </i>
    <i t="grand">
      <x/>
    </i>
  </rowItems>
  <colItems count="1">
    <i/>
  </colItems>
  <dataFields count="1">
    <dataField name="Count of Product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3" count="1" selected="0">
            <x v="0"/>
          </reference>
        </references>
      </pivotArea>
    </chartFormat>
    <chartFormat chart="11" format="3">
      <pivotArea type="data" outline="0" fieldPosition="0">
        <references count="2">
          <reference field="4294967294" count="1" selected="0">
            <x v="0"/>
          </reference>
          <reference field="13" count="1" selected="0">
            <x v="1"/>
          </reference>
        </references>
      </pivotArea>
    </chartFormat>
    <chartFormat chart="11" format="4">
      <pivotArea type="data" outline="0" fieldPosition="0">
        <references count="2">
          <reference field="4294967294" count="1" selected="0">
            <x v="0"/>
          </reference>
          <reference field="13" count="1" selected="0">
            <x v="2"/>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13" count="1" selected="0">
            <x v="0"/>
          </reference>
        </references>
      </pivotArea>
    </chartFormat>
    <chartFormat chart="12" format="7">
      <pivotArea type="data" outline="0" fieldPosition="0">
        <references count="2">
          <reference field="4294967294" count="1" selected="0">
            <x v="0"/>
          </reference>
          <reference field="13" count="1" selected="0">
            <x v="1"/>
          </reference>
        </references>
      </pivotArea>
    </chartFormat>
    <chartFormat chart="12" format="8">
      <pivotArea type="data" outline="0" fieldPosition="0">
        <references count="2">
          <reference field="4294967294" count="1" selected="0">
            <x v="0"/>
          </reference>
          <reference field="13" count="1" selected="0">
            <x v="2"/>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A3FDB6-5D69-4325-9CC6-DEC97821B78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4" firstHeaderRow="0" firstDataRow="1" firstDataCol="0"/>
  <pivotFields count="17">
    <pivotField showAll="0"/>
    <pivotField showAll="0"/>
    <pivotField showAll="0">
      <items count="7">
        <item x="2"/>
        <item x="1"/>
        <item x="0"/>
        <item x="4"/>
        <item x="3"/>
        <item x="5"/>
        <item t="default"/>
      </items>
    </pivotField>
    <pivotField showAll="0">
      <items count="5">
        <item x="2"/>
        <item x="0"/>
        <item x="1"/>
        <item x="3"/>
        <item t="default"/>
      </items>
    </pivotField>
    <pivotField showAll="0">
      <items count="260">
        <item x="31"/>
        <item x="58"/>
        <item x="180"/>
        <item x="157"/>
        <item x="149"/>
        <item x="9"/>
        <item x="110"/>
        <item x="59"/>
        <item x="0"/>
        <item x="241"/>
        <item x="144"/>
        <item x="139"/>
        <item x="176"/>
        <item x="214"/>
        <item x="142"/>
        <item x="55"/>
        <item x="205"/>
        <item x="63"/>
        <item x="251"/>
        <item x="179"/>
        <item x="98"/>
        <item x="150"/>
        <item x="182"/>
        <item x="195"/>
        <item x="204"/>
        <item x="199"/>
        <item x="44"/>
        <item x="39"/>
        <item x="21"/>
        <item x="258"/>
        <item x="2"/>
        <item x="17"/>
        <item x="167"/>
        <item x="57"/>
        <item x="178"/>
        <item x="90"/>
        <item x="170"/>
        <item x="154"/>
        <item x="177"/>
        <item x="147"/>
        <item x="174"/>
        <item x="240"/>
        <item x="24"/>
        <item x="226"/>
        <item x="107"/>
        <item x="117"/>
        <item x="36"/>
        <item x="43"/>
        <item x="113"/>
        <item x="223"/>
        <item x="71"/>
        <item x="247"/>
        <item x="108"/>
        <item x="221"/>
        <item x="120"/>
        <item x="91"/>
        <item x="153"/>
        <item x="249"/>
        <item x="208"/>
        <item x="41"/>
        <item x="192"/>
        <item x="173"/>
        <item x="4"/>
        <item x="69"/>
        <item x="111"/>
        <item x="252"/>
        <item x="166"/>
        <item x="255"/>
        <item x="40"/>
        <item x="137"/>
        <item x="143"/>
        <item x="46"/>
        <item x="126"/>
        <item x="164"/>
        <item x="246"/>
        <item x="23"/>
        <item x="172"/>
        <item x="245"/>
        <item x="16"/>
        <item x="224"/>
        <item x="3"/>
        <item x="83"/>
        <item x="171"/>
        <item x="123"/>
        <item x="236"/>
        <item x="129"/>
        <item x="33"/>
        <item x="135"/>
        <item x="128"/>
        <item x="37"/>
        <item x="211"/>
        <item x="79"/>
        <item x="163"/>
        <item x="118"/>
        <item x="162"/>
        <item x="235"/>
        <item x="191"/>
        <item x="181"/>
        <item x="188"/>
        <item x="68"/>
        <item x="38"/>
        <item x="196"/>
        <item x="190"/>
        <item x="27"/>
        <item x="136"/>
        <item x="28"/>
        <item x="237"/>
        <item x="67"/>
        <item x="22"/>
        <item x="115"/>
        <item x="250"/>
        <item x="225"/>
        <item x="218"/>
        <item x="253"/>
        <item x="49"/>
        <item x="7"/>
        <item x="156"/>
        <item x="197"/>
        <item x="52"/>
        <item x="66"/>
        <item x="80"/>
        <item x="229"/>
        <item x="105"/>
        <item x="78"/>
        <item x="53"/>
        <item x="51"/>
        <item x="238"/>
        <item x="12"/>
        <item x="227"/>
        <item x="73"/>
        <item x="145"/>
        <item x="84"/>
        <item x="15"/>
        <item x="131"/>
        <item x="217"/>
        <item x="87"/>
        <item x="14"/>
        <item x="18"/>
        <item x="168"/>
        <item x="206"/>
        <item x="257"/>
        <item x="234"/>
        <item x="148"/>
        <item x="82"/>
        <item x="244"/>
        <item x="20"/>
        <item x="215"/>
        <item x="70"/>
        <item x="93"/>
        <item x="109"/>
        <item x="62"/>
        <item x="216"/>
        <item x="200"/>
        <item x="42"/>
        <item x="116"/>
        <item x="152"/>
        <item x="243"/>
        <item x="106"/>
        <item x="95"/>
        <item x="29"/>
        <item x="86"/>
        <item x="13"/>
        <item x="85"/>
        <item x="203"/>
        <item x="26"/>
        <item x="61"/>
        <item x="65"/>
        <item x="248"/>
        <item x="75"/>
        <item x="228"/>
        <item x="138"/>
        <item x="25"/>
        <item x="74"/>
        <item x="94"/>
        <item x="97"/>
        <item x="233"/>
        <item x="201"/>
        <item x="1"/>
        <item x="232"/>
        <item x="140"/>
        <item x="96"/>
        <item x="186"/>
        <item x="231"/>
        <item x="158"/>
        <item x="130"/>
        <item x="101"/>
        <item x="185"/>
        <item x="187"/>
        <item x="5"/>
        <item x="30"/>
        <item x="141"/>
        <item x="10"/>
        <item x="132"/>
        <item x="35"/>
        <item x="8"/>
        <item x="112"/>
        <item x="6"/>
        <item x="219"/>
        <item x="48"/>
        <item x="54"/>
        <item x="220"/>
        <item x="103"/>
        <item x="89"/>
        <item x="125"/>
        <item x="256"/>
        <item x="45"/>
        <item x="34"/>
        <item x="50"/>
        <item x="134"/>
        <item x="99"/>
        <item x="254"/>
        <item x="175"/>
        <item x="207"/>
        <item x="202"/>
        <item x="122"/>
        <item x="56"/>
        <item x="81"/>
        <item x="213"/>
        <item x="151"/>
        <item x="121"/>
        <item x="64"/>
        <item x="165"/>
        <item x="159"/>
        <item x="124"/>
        <item x="239"/>
        <item x="160"/>
        <item x="100"/>
        <item x="230"/>
        <item x="161"/>
        <item x="119"/>
        <item x="184"/>
        <item x="114"/>
        <item x="193"/>
        <item x="169"/>
        <item x="155"/>
        <item x="72"/>
        <item x="146"/>
        <item x="92"/>
        <item x="210"/>
        <item x="102"/>
        <item x="212"/>
        <item x="104"/>
        <item x="76"/>
        <item x="32"/>
        <item x="133"/>
        <item x="47"/>
        <item x="222"/>
        <item x="60"/>
        <item x="198"/>
        <item x="194"/>
        <item x="77"/>
        <item x="19"/>
        <item x="88"/>
        <item x="127"/>
        <item x="183"/>
        <item x="242"/>
        <item x="209"/>
        <item x="189"/>
        <item x="11"/>
        <item t="default"/>
      </items>
    </pivotField>
    <pivotField dataField="1" showAll="0"/>
    <pivotField dataField="1" showAll="0"/>
    <pivotField dataField="1" showAll="0"/>
    <pivotField showAll="0"/>
    <pivotField showAll="0">
      <items count="4">
        <item x="0"/>
        <item x="1"/>
        <item x="2"/>
        <item t="default"/>
      </items>
    </pivotField>
    <pivotField dataField="1" showAll="0"/>
    <pivotField showAll="0">
      <items count="5">
        <item x="3"/>
        <item x="1"/>
        <item x="2"/>
        <item x="0"/>
        <item t="default"/>
      </items>
    </pivotField>
    <pivotField dataField="1" showAll="0"/>
    <pivotField showAll="0"/>
    <pivotField showAll="0" defaultSubtotal="0"/>
    <pivotField showAll="0" defaultSubtotal="0"/>
    <pivotField showAll="0" defaultSubtotal="0">
      <items count="4">
        <item x="0"/>
        <item x="1"/>
        <item x="2"/>
        <item x="3"/>
      </items>
    </pivotField>
  </pivotFields>
  <rowItems count="1">
    <i/>
  </rowItems>
  <colFields count="1">
    <field x="-2"/>
  </colFields>
  <colItems count="5">
    <i>
      <x/>
    </i>
    <i i="1">
      <x v="1"/>
    </i>
    <i i="2">
      <x v="2"/>
    </i>
    <i i="3">
      <x v="3"/>
    </i>
    <i i="4">
      <x v="4"/>
    </i>
  </colItems>
  <dataFields count="5">
    <dataField name=" Sell_through%" fld="10" subtotal="average" baseField="0" baseItem="0" numFmtId="10"/>
    <dataField name=" Opening_Stock" fld="5" baseField="0" baseItem="0"/>
    <dataField name=" Closing_Stock" fld="7" baseField="0" baseItem="0"/>
    <dataField name="Units Sold" fld="6" baseField="0" baseItem="3" numFmtId="1"/>
    <dataField name=" Stock Value" fld="12" baseField="0" baseItem="4" numFmtId="165"/>
  </dataFields>
  <formats count="7">
    <format dxfId="267">
      <pivotArea outline="0" collapsedLevelsAreSubtotals="1" fieldPosition="0"/>
    </format>
    <format dxfId="266">
      <pivotArea outline="0" collapsedLevelsAreSubtotals="1" fieldPosition="0">
        <references count="1">
          <reference field="4294967294" count="1" selected="0">
            <x v="1"/>
          </reference>
        </references>
      </pivotArea>
    </format>
    <format dxfId="265">
      <pivotArea outline="0" collapsedLevelsAreSubtotals="1" fieldPosition="0">
        <references count="1">
          <reference field="4294967294" count="1" selected="0">
            <x v="2"/>
          </reference>
        </references>
      </pivotArea>
    </format>
    <format dxfId="264">
      <pivotArea outline="0" fieldPosition="0">
        <references count="1">
          <reference field="4294967294" count="1">
            <x v="3"/>
          </reference>
        </references>
      </pivotArea>
    </format>
    <format dxfId="263">
      <pivotArea outline="0" collapsedLevelsAreSubtotals="1" fieldPosition="0">
        <references count="1">
          <reference field="4294967294" count="1" selected="0">
            <x v="3"/>
          </reference>
        </references>
      </pivotArea>
    </format>
    <format dxfId="262">
      <pivotArea outline="0" collapsedLevelsAreSubtotals="1" fieldPosition="0">
        <references count="1">
          <reference field="4294967294" count="1" selected="0">
            <x v="4"/>
          </reference>
        </references>
      </pivotArea>
    </format>
    <format dxfId="261">
      <pivotArea outline="0"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F40F38-DB63-4BC5-8B07-61A88838B782}" autoFormatId="16" applyNumberFormats="0" applyBorderFormats="0" applyFontFormats="0" applyPatternFormats="0" applyAlignmentFormats="0" applyWidthHeightFormats="0">
  <queryTableRefresh nextId="15" unboundColumnsRight="4">
    <queryTableFields count="14">
      <queryTableField id="1" name="Product_ID" tableColumnId="1"/>
      <queryTableField id="2" name="Product_Name" tableColumnId="2"/>
      <queryTableField id="3" name="Category" tableColumnId="3"/>
      <queryTableField id="4" name="Warehouse" tableColumnId="4"/>
      <queryTableField id="5" name="Last_Sale_Date" tableColumnId="5"/>
      <queryTableField id="6" name="Opening_Stock" tableColumnId="6"/>
      <queryTableField id="7" name="Units_Sold" tableColumnId="7"/>
      <queryTableField id="8" name="Closing_Stock" tableColumnId="8"/>
      <queryTableField id="9" name="Unit_Cost" tableColumnId="9"/>
      <queryTableField id="10" name="Stock_Status" tableColumnId="10"/>
      <queryTableField id="11" dataBound="0" tableColumnId="11"/>
      <queryTableField id="12" dataBound="0" tableColumnId="12"/>
      <queryTableField id="13" dataBound="0"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1A39ED-D611-422A-83D9-7B35A13F6EDF}" sourceName="Category">
  <pivotTables>
    <pivotTable tabId="4" name="PivotTable1"/>
    <pivotTable tabId="6" name="PivotTable1"/>
    <pivotTable tabId="5" name="PivotTable2"/>
    <pivotTable tabId="8" name="PivotTable3"/>
    <pivotTable tabId="10" name="PivotTable3"/>
    <pivotTable tabId="9" name="PivotTable1"/>
    <pivotTable tabId="11" name="PivotTable4"/>
    <pivotTable tabId="12" name="PivotTable5"/>
  </pivotTables>
  <data>
    <tabular pivotCacheId="1594664771">
      <items count="6">
        <i x="2" s="1"/>
        <i x="1" s="1"/>
        <i x="0" s="1"/>
        <i x="4" s="1"/>
        <i x="3" s="1"/>
        <i x="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50C5697D-01C6-4B4B-80D0-44D6C55AD557}" sourceName="Warehouse">
  <pivotTables>
    <pivotTable tabId="4" name="PivotTable1"/>
    <pivotTable tabId="6" name="PivotTable1"/>
    <pivotTable tabId="5" name="PivotTable2"/>
    <pivotTable tabId="8" name="PivotTable3"/>
    <pivotTable tabId="10" name="PivotTable3"/>
    <pivotTable tabId="9" name="PivotTable1"/>
    <pivotTable tabId="11" name="PivotTable4"/>
    <pivotTable tabId="12" name="PivotTable5"/>
  </pivotTables>
  <data>
    <tabular pivotCacheId="159466477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ement_Class" xr10:uid="{6EE1658B-C3D1-467D-B692-E23C7F44D41F}" sourceName="Movement_Class">
  <pivotTables>
    <pivotTable tabId="4" name="PivotTable1"/>
    <pivotTable tabId="6" name="PivotTable1"/>
    <pivotTable tabId="5" name="PivotTable2"/>
    <pivotTable tabId="8" name="PivotTable3"/>
    <pivotTable tabId="10" name="PivotTable3"/>
    <pivotTable tabId="9" name="PivotTable1"/>
    <pivotTable tabId="11" name="PivotTable4"/>
    <pivotTable tabId="12" name="PivotTable5"/>
  </pivotTables>
  <data>
    <tabular pivotCacheId="1594664771">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2F3FFED-4127-4871-A9B6-2E021AC07EF8}" cache="Slicer_Category" caption="Category" style="SlicerStyleDark2" rowHeight="234950"/>
  <slicer name="Warehouse" xr10:uid="{88EBCF8D-B1B8-451D-BF46-4939E252ECAE}" cache="Slicer_Warehouse" caption="Warehouse" style="SlicerStyleDark2" rowHeight="234950"/>
  <slicer name="Movement_Class" xr10:uid="{1D5BF41D-C701-4A62-BEC9-DE48DF81E250}" cache="Slicer_Movement_Class" caption="Movement_Class"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604EA97-4FE1-4907-BC33-627036351F4E}" cache="Slicer_Category" caption="Category" style="SlicerStyleDark2" rowHeight="234950"/>
  <slicer name="Warehouse 1" xr10:uid="{E716D5F1-6CEE-4333-AD88-FDDE49035D98}" cache="Slicer_Warehouse" caption="Warehouse" style="SlicerStyleDark2" rowHeight="234950"/>
  <slicer name="Movement_Class 1" xr10:uid="{10C63D4F-7443-402B-A379-A029AC051E96}" cache="Slicer_Movement_Class" caption="Movement_Class"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3CAD43-C114-424D-8FA9-523DDE64222C}" name="Raw_Data" displayName="Raw_Data" ref="A1:N951" tableType="queryTable" totalsRowShown="0">
  <autoFilter ref="A1:N951" xr:uid="{473CAD43-C114-424D-8FA9-523DDE64222C}"/>
  <tableColumns count="14">
    <tableColumn id="1" xr3:uid="{822DA316-0C3C-47A4-A0D9-4F8517F1B83D}" uniqueName="1" name="Product_ID" queryTableFieldId="1"/>
    <tableColumn id="2" xr3:uid="{1AF33D28-2A00-423B-AAA3-70D50F0D029D}" uniqueName="2" name="Product_Name" queryTableFieldId="2" dataDxfId="260"/>
    <tableColumn id="3" xr3:uid="{A94CC5E1-14CC-4021-8190-30AA187369A1}" uniqueName="3" name="Category" queryTableFieldId="3" dataDxfId="259"/>
    <tableColumn id="4" xr3:uid="{90ECAB01-10F6-4CCF-B458-4C9E9E5D56FA}" uniqueName="4" name="Warehouse" queryTableFieldId="4" dataDxfId="258"/>
    <tableColumn id="5" xr3:uid="{37430734-AA04-4F18-A0CE-51A718BFF487}" uniqueName="5" name="Last_Sale_Date" queryTableFieldId="5" dataDxfId="257"/>
    <tableColumn id="6" xr3:uid="{975C1172-AB32-4C45-B7BC-595CD62CE849}" uniqueName="6" name="Opening_Stock" queryTableFieldId="6"/>
    <tableColumn id="7" xr3:uid="{6BEE051E-5E74-44E9-B48B-7A56E48D9CDE}" uniqueName="7" name="Units_Sold" queryTableFieldId="7"/>
    <tableColumn id="8" xr3:uid="{FD92B0C1-ACA0-428B-870E-67BCD7723DD7}" uniqueName="8" name="Closing_Stock" queryTableFieldId="8"/>
    <tableColumn id="9" xr3:uid="{3D15E8BB-707C-475E-9703-B0E92FA875B3}" uniqueName="9" name="Unit_Cost" queryTableFieldId="9"/>
    <tableColumn id="10" xr3:uid="{0274E652-CE1A-4CF4-A741-C0955CF648BC}" uniqueName="10" name="Stock_Status" queryTableFieldId="10" dataDxfId="256"/>
    <tableColumn id="11" xr3:uid="{4FC6A0CC-273F-4C65-B7B4-A37FF0C3916E}" uniqueName="11" name="Sell_through%" queryTableFieldId="11" dataDxfId="255" dataCellStyle="Percent">
      <calculatedColumnFormula>IF(AND(ISNUMBER(Raw_Data[[#This Row],[Opening_Stock]]),ISNUMBER(Raw_Data[[#This Row],[Units_Sold]]),Raw_Data[[#This Row],[Opening_Stock]]&gt;0),Raw_Data[[#This Row],[Units_Sold]]/Raw_Data[[#This Row],[Opening_Stock]],"")</calculatedColumnFormula>
    </tableColumn>
    <tableColumn id="12" xr3:uid="{75360B2E-E040-4442-B9ED-33B492B30393}" uniqueName="12" name="Movement_Class" queryTableFieldId="12" dataDxfId="254">
      <calculatedColumnFormula>IF(NOT(ISNUMBER(Raw_Data[[#This Row],[Sell_through%]])),"Check",IF(Raw_Data[[#This Row],[Sell_through%]]=0,"Non-moving",IF(Raw_Data[[#This Row],[Sell_through%]]&gt;=0.6,"Fast","Slow")))</calculatedColumnFormula>
    </tableColumn>
    <tableColumn id="13" xr3:uid="{0797AE28-B952-43C0-AC99-8F09FD885C50}" uniqueName="13" name="Stock_Value" queryTableFieldId="13" dataDxfId="253">
      <calculatedColumnFormula>IF(AND(ISNUMBER(Raw_Data[[#This Row],[Closing_Stock]]),ISNUMBER(Raw_Data[[#This Row],[Unit_Cost]])),Raw_Data[[#This Row],[Closing_Stock]]*Raw_Data[[#This Row],[Unit_Cost]],"")</calculatedColumnFormula>
    </tableColumn>
    <tableColumn id="14" xr3:uid="{3BCDC13E-3251-454A-AAB8-A3FC5E5D42E3}" uniqueName="14" name="Stock_Flag" queryTableFieldId="14" dataDxfId="252">
      <calculatedColumnFormula>IF(AND(Raw_Data[[#This Row],[Movement_Class]]="Fast",OR(Raw_Data[[#This Row],[Stock_Status]]="Low Stock",Raw_Data[[#This Row],[Stock_Status]]="Out Of Stock")),"Shortage Risk",
 IF(AND(OR(Raw_Data[[#This Row],[Movement_Class]]="Slow",Raw_Data[[#This Row],[Movement_Class]]="Non-moving"),Raw_Data[[#This Row],[Stock_Status]]="In Stock"),"Overstock","OK"))</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ast_Sale_Date" xr10:uid="{108015D7-85A2-484D-B847-34653248B70A}" sourceName="Last_Sale_Date">
  <pivotTables>
    <pivotTable tabId="4" name="PivotTable1"/>
    <pivotTable tabId="10" name="PivotTable3"/>
    <pivotTable tabId="6" name="PivotTable1"/>
    <pivotTable tabId="9" name="PivotTable1"/>
    <pivotTable tabId="11" name="PivotTable4"/>
    <pivotTable tabId="8" name="PivotTable3"/>
    <pivotTable tabId="12" name="PivotTable5"/>
    <pivotTable tabId="5" name="PivotTable2"/>
  </pivotTables>
  <state minimalRefreshVersion="6" lastRefreshVersion="6" pivotCacheId="159466477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ast_Sale_Date" xr10:uid="{8CB10280-650C-4DCE-A73F-CBFC5420D387}" cache="NativeTimeline_Last_Sale_Date" caption="Last_Sale_Date" level="2" selectionLevel="2" scrollPosition="2025-12-04T00:00:00" style="TimeSlicerStyleLight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5F59F-BB77-47E2-B49F-FF55A00CBF26}">
  <dimension ref="A3:C20"/>
  <sheetViews>
    <sheetView workbookViewId="0">
      <selection activeCell="F2" sqref="F2"/>
    </sheetView>
  </sheetViews>
  <sheetFormatPr defaultRowHeight="14.4" x14ac:dyDescent="0.3"/>
  <sheetData>
    <row r="3" spans="1:3" x14ac:dyDescent="0.3">
      <c r="A3" s="5"/>
      <c r="B3" s="6"/>
      <c r="C3" s="7"/>
    </row>
    <row r="4" spans="1:3" x14ac:dyDescent="0.3">
      <c r="A4" s="8"/>
      <c r="B4" s="9"/>
      <c r="C4" s="10"/>
    </row>
    <row r="5" spans="1:3" x14ac:dyDescent="0.3">
      <c r="A5" s="8"/>
      <c r="B5" s="9"/>
      <c r="C5" s="10"/>
    </row>
    <row r="6" spans="1:3" x14ac:dyDescent="0.3">
      <c r="A6" s="8"/>
      <c r="B6" s="9"/>
      <c r="C6" s="10"/>
    </row>
    <row r="7" spans="1:3" x14ac:dyDescent="0.3">
      <c r="A7" s="8"/>
      <c r="B7" s="9"/>
      <c r="C7" s="10"/>
    </row>
    <row r="8" spans="1:3" x14ac:dyDescent="0.3">
      <c r="A8" s="8"/>
      <c r="B8" s="9"/>
      <c r="C8" s="10"/>
    </row>
    <row r="9" spans="1:3" x14ac:dyDescent="0.3">
      <c r="A9" s="8"/>
      <c r="B9" s="9"/>
      <c r="C9" s="10"/>
    </row>
    <row r="10" spans="1:3" x14ac:dyDescent="0.3">
      <c r="A10" s="8"/>
      <c r="B10" s="9"/>
      <c r="C10" s="10"/>
    </row>
    <row r="11" spans="1:3" x14ac:dyDescent="0.3">
      <c r="A11" s="8"/>
      <c r="B11" s="9"/>
      <c r="C11" s="10"/>
    </row>
    <row r="12" spans="1:3" x14ac:dyDescent="0.3">
      <c r="A12" s="8"/>
      <c r="B12" s="9"/>
      <c r="C12" s="10"/>
    </row>
    <row r="13" spans="1:3" x14ac:dyDescent="0.3">
      <c r="A13" s="8"/>
      <c r="B13" s="9"/>
      <c r="C13" s="10"/>
    </row>
    <row r="14" spans="1:3" x14ac:dyDescent="0.3">
      <c r="A14" s="8"/>
      <c r="B14" s="9"/>
      <c r="C14" s="10"/>
    </row>
    <row r="15" spans="1:3" x14ac:dyDescent="0.3">
      <c r="A15" s="8"/>
      <c r="B15" s="9"/>
      <c r="C15" s="10"/>
    </row>
    <row r="16" spans="1:3" x14ac:dyDescent="0.3">
      <c r="A16" s="8"/>
      <c r="B16" s="9"/>
      <c r="C16" s="10"/>
    </row>
    <row r="17" spans="1:3" x14ac:dyDescent="0.3">
      <c r="A17" s="8"/>
      <c r="B17" s="9"/>
      <c r="C17" s="10"/>
    </row>
    <row r="18" spans="1:3" x14ac:dyDescent="0.3">
      <c r="A18" s="8"/>
      <c r="B18" s="9"/>
      <c r="C18" s="10"/>
    </row>
    <row r="19" spans="1:3" x14ac:dyDescent="0.3">
      <c r="A19" s="8"/>
      <c r="B19" s="9"/>
      <c r="C19" s="10"/>
    </row>
    <row r="20" spans="1:3" x14ac:dyDescent="0.3">
      <c r="A20" s="11"/>
      <c r="B20" s="12"/>
      <c r="C20" s="13"/>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D2CCE-03EE-40FC-A857-01985279A71B}">
  <dimension ref="A3:B8"/>
  <sheetViews>
    <sheetView workbookViewId="0">
      <selection activeCell="B22" sqref="B22"/>
    </sheetView>
  </sheetViews>
  <sheetFormatPr defaultRowHeight="14.4" x14ac:dyDescent="0.3"/>
  <cols>
    <col min="1" max="1" width="12.5546875" bestFit="1" customWidth="1"/>
    <col min="2" max="2" width="18.44140625" bestFit="1" customWidth="1"/>
  </cols>
  <sheetData>
    <row r="3" spans="1:2" x14ac:dyDescent="0.3">
      <c r="A3" s="14" t="s">
        <v>1349</v>
      </c>
      <c r="B3" t="s">
        <v>1355</v>
      </c>
    </row>
    <row r="4" spans="1:2" x14ac:dyDescent="0.3">
      <c r="A4" s="15" t="s">
        <v>1350</v>
      </c>
      <c r="B4" s="17">
        <v>5.2631578947368418E-2</v>
      </c>
    </row>
    <row r="5" spans="1:2" x14ac:dyDescent="0.3">
      <c r="A5" s="15" t="s">
        <v>1351</v>
      </c>
      <c r="B5" s="17">
        <v>0.27789473684210525</v>
      </c>
    </row>
    <row r="6" spans="1:2" x14ac:dyDescent="0.3">
      <c r="A6" s="15" t="s">
        <v>1352</v>
      </c>
      <c r="B6" s="17">
        <v>0.30736842105263157</v>
      </c>
    </row>
    <row r="7" spans="1:2" x14ac:dyDescent="0.3">
      <c r="A7" s="15" t="s">
        <v>1353</v>
      </c>
      <c r="B7" s="17">
        <v>0.36210526315789476</v>
      </c>
    </row>
    <row r="8" spans="1:2" x14ac:dyDescent="0.3">
      <c r="A8" s="15" t="s">
        <v>1354</v>
      </c>
      <c r="B8" s="17">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31775-A5F7-4B8B-B1A6-436C2587B29D}">
  <dimension ref="A3:F11"/>
  <sheetViews>
    <sheetView topLeftCell="A5" workbookViewId="0">
      <selection activeCell="D18" sqref="D18"/>
    </sheetView>
  </sheetViews>
  <sheetFormatPr defaultRowHeight="14.4" x14ac:dyDescent="0.3"/>
  <cols>
    <col min="1" max="1" width="18.44140625" bestFit="1" customWidth="1"/>
    <col min="2" max="2" width="15.5546875" bestFit="1" customWidth="1"/>
    <col min="3" max="3" width="4.33203125" bestFit="1" customWidth="1"/>
    <col min="4" max="4" width="11.5546875" bestFit="1" customWidth="1"/>
    <col min="5" max="5" width="5" bestFit="1" customWidth="1"/>
    <col min="6" max="6" width="10.77734375" bestFit="1" customWidth="1"/>
  </cols>
  <sheetData>
    <row r="3" spans="1:6" x14ac:dyDescent="0.3">
      <c r="A3" s="14" t="s">
        <v>1355</v>
      </c>
      <c r="B3" s="14" t="s">
        <v>1357</v>
      </c>
    </row>
    <row r="4" spans="1:6" x14ac:dyDescent="0.3">
      <c r="A4" s="14" t="s">
        <v>1349</v>
      </c>
      <c r="B4" t="s">
        <v>1350</v>
      </c>
      <c r="C4" t="s">
        <v>1351</v>
      </c>
      <c r="D4" t="s">
        <v>1352</v>
      </c>
      <c r="E4" t="s">
        <v>1353</v>
      </c>
      <c r="F4" t="s">
        <v>1354</v>
      </c>
    </row>
    <row r="5" spans="1:6" x14ac:dyDescent="0.3">
      <c r="A5" s="15" t="s">
        <v>35</v>
      </c>
      <c r="B5" s="24">
        <v>9</v>
      </c>
      <c r="C5" s="24">
        <v>42</v>
      </c>
      <c r="D5" s="24">
        <v>50</v>
      </c>
      <c r="E5" s="24">
        <v>64</v>
      </c>
      <c r="F5" s="24">
        <v>165</v>
      </c>
    </row>
    <row r="6" spans="1:6" x14ac:dyDescent="0.3">
      <c r="A6" s="15" t="s">
        <v>28</v>
      </c>
      <c r="B6" s="24">
        <v>6</v>
      </c>
      <c r="C6" s="24">
        <v>60</v>
      </c>
      <c r="D6" s="24">
        <v>63</v>
      </c>
      <c r="E6" s="24">
        <v>79</v>
      </c>
      <c r="F6" s="24">
        <v>208</v>
      </c>
    </row>
    <row r="7" spans="1:6" x14ac:dyDescent="0.3">
      <c r="A7" s="15" t="s">
        <v>12</v>
      </c>
      <c r="B7" s="24">
        <v>11</v>
      </c>
      <c r="C7" s="24">
        <v>56</v>
      </c>
      <c r="D7" s="24">
        <v>45</v>
      </c>
      <c r="E7" s="24">
        <v>61</v>
      </c>
      <c r="F7" s="24">
        <v>173</v>
      </c>
    </row>
    <row r="8" spans="1:6" x14ac:dyDescent="0.3">
      <c r="A8" s="15" t="s">
        <v>49</v>
      </c>
      <c r="B8" s="24">
        <v>10</v>
      </c>
      <c r="C8" s="24">
        <v>47</v>
      </c>
      <c r="D8" s="24">
        <v>71</v>
      </c>
      <c r="E8" s="24">
        <v>69</v>
      </c>
      <c r="F8" s="24">
        <v>197</v>
      </c>
    </row>
    <row r="9" spans="1:6" x14ac:dyDescent="0.3">
      <c r="A9" s="15" t="s">
        <v>31</v>
      </c>
      <c r="B9" s="24">
        <v>13</v>
      </c>
      <c r="C9" s="24">
        <v>48</v>
      </c>
      <c r="D9" s="24">
        <v>51</v>
      </c>
      <c r="E9" s="24">
        <v>57</v>
      </c>
      <c r="F9" s="24">
        <v>169</v>
      </c>
    </row>
    <row r="10" spans="1:6" x14ac:dyDescent="0.3">
      <c r="A10" s="15" t="s">
        <v>1356</v>
      </c>
      <c r="B10" s="24">
        <v>1</v>
      </c>
      <c r="C10" s="24">
        <v>11</v>
      </c>
      <c r="D10" s="24">
        <v>12</v>
      </c>
      <c r="E10" s="24">
        <v>14</v>
      </c>
      <c r="F10" s="24">
        <v>38</v>
      </c>
    </row>
    <row r="11" spans="1:6" x14ac:dyDescent="0.3">
      <c r="A11" s="15" t="s">
        <v>1354</v>
      </c>
      <c r="B11" s="24">
        <v>50</v>
      </c>
      <c r="C11" s="24">
        <v>264</v>
      </c>
      <c r="D11" s="24">
        <v>292</v>
      </c>
      <c r="E11" s="24">
        <v>344</v>
      </c>
      <c r="F11" s="24">
        <v>950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1110A-8125-45CC-A3F0-DE56B34319C6}">
  <dimension ref="A1:C14"/>
  <sheetViews>
    <sheetView workbookViewId="0">
      <selection activeCell="E18" sqref="E18"/>
    </sheetView>
  </sheetViews>
  <sheetFormatPr defaultRowHeight="14.4" x14ac:dyDescent="0.3"/>
  <cols>
    <col min="1" max="1" width="20.33203125" bestFit="1" customWidth="1"/>
    <col min="2" max="2" width="16.21875" bestFit="1" customWidth="1"/>
    <col min="3" max="3" width="18.109375" bestFit="1" customWidth="1"/>
  </cols>
  <sheetData>
    <row r="1" spans="1:3" x14ac:dyDescent="0.3">
      <c r="A1" s="14" t="s">
        <v>1348</v>
      </c>
      <c r="B1" t="s">
        <v>1359</v>
      </c>
    </row>
    <row r="3" spans="1:3" x14ac:dyDescent="0.3">
      <c r="A3" s="14" t="s">
        <v>0</v>
      </c>
      <c r="B3" s="14" t="s">
        <v>1</v>
      </c>
      <c r="C3" t="s">
        <v>1358</v>
      </c>
    </row>
    <row r="4" spans="1:3" x14ac:dyDescent="0.3">
      <c r="A4" t="s">
        <v>951</v>
      </c>
      <c r="B4" t="s">
        <v>387</v>
      </c>
      <c r="C4" s="24">
        <v>1200657</v>
      </c>
    </row>
    <row r="5" spans="1:3" x14ac:dyDescent="0.3">
      <c r="A5" t="s">
        <v>70</v>
      </c>
      <c r="B5" t="s">
        <v>71</v>
      </c>
      <c r="C5" s="24">
        <v>1273282</v>
      </c>
    </row>
    <row r="6" spans="1:3" x14ac:dyDescent="0.3">
      <c r="A6" t="s">
        <v>809</v>
      </c>
      <c r="B6" t="s">
        <v>158</v>
      </c>
      <c r="C6" s="24">
        <v>1463168</v>
      </c>
    </row>
    <row r="7" spans="1:3" x14ac:dyDescent="0.3">
      <c r="A7" t="s">
        <v>731</v>
      </c>
      <c r="B7" t="s">
        <v>238</v>
      </c>
      <c r="C7" s="24">
        <v>1164432</v>
      </c>
    </row>
    <row r="8" spans="1:3" x14ac:dyDescent="0.3">
      <c r="A8" t="s">
        <v>795</v>
      </c>
      <c r="B8" t="s">
        <v>161</v>
      </c>
      <c r="C8" s="24">
        <v>1244880</v>
      </c>
    </row>
    <row r="9" spans="1:3" x14ac:dyDescent="0.3">
      <c r="A9" t="s">
        <v>620</v>
      </c>
      <c r="B9" t="s">
        <v>60</v>
      </c>
      <c r="C9" s="24">
        <v>1160705</v>
      </c>
    </row>
    <row r="10" spans="1:3" x14ac:dyDescent="0.3">
      <c r="A10" t="s">
        <v>407</v>
      </c>
      <c r="B10" t="s">
        <v>243</v>
      </c>
      <c r="C10" s="24">
        <v>1394328</v>
      </c>
    </row>
    <row r="11" spans="1:3" x14ac:dyDescent="0.3">
      <c r="A11" t="s">
        <v>806</v>
      </c>
      <c r="B11" t="s">
        <v>136</v>
      </c>
      <c r="C11" s="24">
        <v>1196136</v>
      </c>
    </row>
    <row r="12" spans="1:3" x14ac:dyDescent="0.3">
      <c r="A12" t="s">
        <v>820</v>
      </c>
      <c r="B12" t="s">
        <v>198</v>
      </c>
      <c r="C12" s="24">
        <v>1161496</v>
      </c>
    </row>
    <row r="13" spans="1:3" x14ac:dyDescent="0.3">
      <c r="A13" t="s">
        <v>956</v>
      </c>
      <c r="B13" t="s">
        <v>1342</v>
      </c>
      <c r="C13" s="24">
        <v>1369425</v>
      </c>
    </row>
    <row r="14" spans="1:3" x14ac:dyDescent="0.3">
      <c r="A14" t="s">
        <v>1354</v>
      </c>
      <c r="C14" s="24">
        <v>12628509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1B29A-2568-4D6B-BB19-5C4E64750DF5}">
  <dimension ref="A3:B16"/>
  <sheetViews>
    <sheetView workbookViewId="0">
      <selection activeCell="N26" sqref="N26"/>
    </sheetView>
  </sheetViews>
  <sheetFormatPr defaultRowHeight="14.4" x14ac:dyDescent="0.3"/>
  <cols>
    <col min="1" max="1" width="12.5546875" bestFit="1" customWidth="1"/>
    <col min="2" max="2" width="18.44140625" bestFit="1" customWidth="1"/>
    <col min="4" max="4" width="8.88671875" customWidth="1"/>
    <col min="6" max="6" width="8.88671875" customWidth="1"/>
  </cols>
  <sheetData>
    <row r="3" spans="1:2" x14ac:dyDescent="0.3">
      <c r="A3" s="14" t="s">
        <v>1349</v>
      </c>
      <c r="B3" t="s">
        <v>1355</v>
      </c>
    </row>
    <row r="4" spans="1:2" x14ac:dyDescent="0.3">
      <c r="A4" s="15" t="s">
        <v>1370</v>
      </c>
      <c r="B4" s="24">
        <v>59</v>
      </c>
    </row>
    <row r="5" spans="1:2" x14ac:dyDescent="0.3">
      <c r="A5" s="16" t="s">
        <v>1369</v>
      </c>
      <c r="B5" s="24">
        <v>59</v>
      </c>
    </row>
    <row r="6" spans="1:2" x14ac:dyDescent="0.3">
      <c r="A6" s="15" t="s">
        <v>1371</v>
      </c>
      <c r="B6" s="24">
        <v>574</v>
      </c>
    </row>
    <row r="7" spans="1:2" x14ac:dyDescent="0.3">
      <c r="A7" s="16" t="s">
        <v>1360</v>
      </c>
      <c r="B7" s="24">
        <v>70</v>
      </c>
    </row>
    <row r="8" spans="1:2" x14ac:dyDescent="0.3">
      <c r="A8" s="16" t="s">
        <v>1361</v>
      </c>
      <c r="B8" s="24">
        <v>61</v>
      </c>
    </row>
    <row r="9" spans="1:2" x14ac:dyDescent="0.3">
      <c r="A9" s="16" t="s">
        <v>1362</v>
      </c>
      <c r="B9" s="24">
        <v>64</v>
      </c>
    </row>
    <row r="10" spans="1:2" x14ac:dyDescent="0.3">
      <c r="A10" s="16" t="s">
        <v>1363</v>
      </c>
      <c r="B10" s="24">
        <v>57</v>
      </c>
    </row>
    <row r="11" spans="1:2" x14ac:dyDescent="0.3">
      <c r="A11" s="16" t="s">
        <v>1364</v>
      </c>
      <c r="B11" s="24">
        <v>70</v>
      </c>
    </row>
    <row r="12" spans="1:2" x14ac:dyDescent="0.3">
      <c r="A12" s="16" t="s">
        <v>1365</v>
      </c>
      <c r="B12" s="24">
        <v>73</v>
      </c>
    </row>
    <row r="13" spans="1:2" x14ac:dyDescent="0.3">
      <c r="A13" s="16" t="s">
        <v>1366</v>
      </c>
      <c r="B13" s="24">
        <v>63</v>
      </c>
    </row>
    <row r="14" spans="1:2" x14ac:dyDescent="0.3">
      <c r="A14" s="16" t="s">
        <v>1367</v>
      </c>
      <c r="B14" s="24">
        <v>69</v>
      </c>
    </row>
    <row r="15" spans="1:2" x14ac:dyDescent="0.3">
      <c r="A15" s="16" t="s">
        <v>1368</v>
      </c>
      <c r="B15" s="24">
        <v>47</v>
      </c>
    </row>
    <row r="16" spans="1:2" x14ac:dyDescent="0.3">
      <c r="A16" s="15" t="s">
        <v>1354</v>
      </c>
      <c r="B16" s="24">
        <v>633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B6B45-21B9-44EF-BE34-7999F787C08C}">
  <dimension ref="A3:B8"/>
  <sheetViews>
    <sheetView workbookViewId="0">
      <selection activeCell="N17" sqref="N17"/>
    </sheetView>
  </sheetViews>
  <sheetFormatPr defaultRowHeight="14.4" x14ac:dyDescent="0.3"/>
  <cols>
    <col min="1" max="1" width="12.5546875" bestFit="1" customWidth="1"/>
    <col min="2" max="2" width="18.109375" bestFit="1" customWidth="1"/>
  </cols>
  <sheetData>
    <row r="3" spans="1:2" x14ac:dyDescent="0.3">
      <c r="A3" s="14" t="s">
        <v>1349</v>
      </c>
      <c r="B3" t="s">
        <v>1358</v>
      </c>
    </row>
    <row r="4" spans="1:2" x14ac:dyDescent="0.3">
      <c r="A4" s="15" t="s">
        <v>1350</v>
      </c>
      <c r="B4" s="18">
        <v>13272017</v>
      </c>
    </row>
    <row r="5" spans="1:2" x14ac:dyDescent="0.3">
      <c r="A5" s="15" t="s">
        <v>1351</v>
      </c>
      <c r="B5" s="18">
        <v>14663531</v>
      </c>
    </row>
    <row r="6" spans="1:2" x14ac:dyDescent="0.3">
      <c r="A6" s="15" t="s">
        <v>1352</v>
      </c>
      <c r="B6" s="18">
        <v>109464533</v>
      </c>
    </row>
    <row r="7" spans="1:2" x14ac:dyDescent="0.3">
      <c r="A7" s="15" t="s">
        <v>1353</v>
      </c>
      <c r="B7" s="18">
        <v>107799980</v>
      </c>
    </row>
    <row r="8" spans="1:2" x14ac:dyDescent="0.3">
      <c r="A8" s="15" t="s">
        <v>1354</v>
      </c>
      <c r="B8" s="18">
        <v>245200061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66A75-8D89-4DEE-B4E0-95DF4CC643AD}">
  <dimension ref="A3:B7"/>
  <sheetViews>
    <sheetView workbookViewId="0">
      <selection activeCell="N5" sqref="N5"/>
    </sheetView>
  </sheetViews>
  <sheetFormatPr defaultRowHeight="14.4" x14ac:dyDescent="0.3"/>
  <cols>
    <col min="1" max="1" width="12.5546875" bestFit="1" customWidth="1"/>
    <col min="2" max="2" width="18.44140625" bestFit="1" customWidth="1"/>
  </cols>
  <sheetData>
    <row r="3" spans="1:2" x14ac:dyDescent="0.3">
      <c r="A3" s="14" t="s">
        <v>1349</v>
      </c>
      <c r="B3" t="s">
        <v>1355</v>
      </c>
    </row>
    <row r="4" spans="1:2" x14ac:dyDescent="0.3">
      <c r="A4" s="15" t="s">
        <v>1372</v>
      </c>
      <c r="B4" s="24">
        <v>169</v>
      </c>
    </row>
    <row r="5" spans="1:2" x14ac:dyDescent="0.3">
      <c r="A5" s="15" t="s">
        <v>1359</v>
      </c>
      <c r="B5" s="24">
        <v>591</v>
      </c>
    </row>
    <row r="6" spans="1:2" x14ac:dyDescent="0.3">
      <c r="A6" s="15" t="s">
        <v>1373</v>
      </c>
      <c r="B6" s="24">
        <v>190</v>
      </c>
    </row>
    <row r="7" spans="1:2" x14ac:dyDescent="0.3">
      <c r="A7" s="15" t="s">
        <v>1354</v>
      </c>
      <c r="B7" s="24">
        <v>950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D446C-8BE3-4EA2-9835-78EC1B1B1CC8}">
  <dimension ref="A3:E4"/>
  <sheetViews>
    <sheetView workbookViewId="0">
      <selection activeCell="B4" sqref="B4"/>
    </sheetView>
  </sheetViews>
  <sheetFormatPr defaultRowHeight="14.4" x14ac:dyDescent="0.3"/>
  <cols>
    <col min="1" max="1" width="13.6640625" bestFit="1" customWidth="1"/>
    <col min="2" max="2" width="14.33203125" bestFit="1" customWidth="1"/>
    <col min="3" max="3" width="13.21875" bestFit="1" customWidth="1"/>
    <col min="4" max="4" width="9.44140625" bestFit="1" customWidth="1"/>
    <col min="5" max="5" width="12.33203125" bestFit="1" customWidth="1"/>
  </cols>
  <sheetData>
    <row r="3" spans="1:5" x14ac:dyDescent="0.3">
      <c r="A3" t="s">
        <v>1374</v>
      </c>
      <c r="B3" t="s">
        <v>1375</v>
      </c>
      <c r="C3" t="s">
        <v>1376</v>
      </c>
      <c r="D3" t="s">
        <v>1377</v>
      </c>
      <c r="E3" t="s">
        <v>1378</v>
      </c>
    </row>
    <row r="4" spans="1:5" x14ac:dyDescent="0.3">
      <c r="A4" s="17">
        <v>0.33276360014818951</v>
      </c>
      <c r="B4" s="24">
        <v>250376</v>
      </c>
      <c r="C4" s="24">
        <v>171074</v>
      </c>
      <c r="D4" s="19">
        <v>84018</v>
      </c>
      <c r="E4" s="18">
        <v>245200061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AC5B8-9E6A-462F-A87B-7F6602688D6A}">
  <dimension ref="A1:X36"/>
  <sheetViews>
    <sheetView tabSelected="1" workbookViewId="0">
      <selection activeCell="S7" sqref="S7"/>
    </sheetView>
  </sheetViews>
  <sheetFormatPr defaultRowHeight="14.4" x14ac:dyDescent="0.3"/>
  <cols>
    <col min="44" max="48" width="8.88671875" customWidth="1"/>
  </cols>
  <sheetData>
    <row r="1" spans="1:24" x14ac:dyDescent="0.3">
      <c r="A1" s="22" t="s">
        <v>1379</v>
      </c>
      <c r="B1" s="23"/>
      <c r="C1" s="23"/>
      <c r="D1" s="23"/>
      <c r="E1" s="23"/>
      <c r="F1" s="23"/>
      <c r="G1" s="23"/>
      <c r="H1" s="23"/>
      <c r="I1" s="23"/>
      <c r="J1" s="23"/>
      <c r="K1" s="23"/>
      <c r="L1" s="23"/>
      <c r="M1" s="23"/>
      <c r="N1" s="23"/>
      <c r="O1" s="23"/>
      <c r="P1" s="23"/>
      <c r="Q1" s="23"/>
      <c r="R1" s="23"/>
      <c r="S1" s="23"/>
      <c r="T1" s="23"/>
      <c r="U1" s="23"/>
      <c r="V1" s="23"/>
      <c r="W1" s="23"/>
      <c r="X1" s="23"/>
    </row>
    <row r="2" spans="1:24" x14ac:dyDescent="0.3">
      <c r="A2" s="23"/>
      <c r="B2" s="23"/>
      <c r="C2" s="23"/>
      <c r="D2" s="23"/>
      <c r="E2" s="23"/>
      <c r="F2" s="23"/>
      <c r="G2" s="23"/>
      <c r="H2" s="23"/>
      <c r="I2" s="23"/>
      <c r="J2" s="23"/>
      <c r="K2" s="23"/>
      <c r="L2" s="23"/>
      <c r="M2" s="23"/>
      <c r="N2" s="23"/>
      <c r="O2" s="23"/>
      <c r="P2" s="23"/>
      <c r="Q2" s="23"/>
      <c r="R2" s="23"/>
      <c r="S2" s="23"/>
      <c r="T2" s="23"/>
      <c r="U2" s="23"/>
      <c r="V2" s="23"/>
      <c r="W2" s="23"/>
      <c r="X2" s="23"/>
    </row>
    <row r="3" spans="1:24" x14ac:dyDescent="0.3">
      <c r="A3" s="20"/>
      <c r="B3" s="21"/>
      <c r="C3" s="21"/>
      <c r="D3" s="21"/>
      <c r="E3" s="21"/>
      <c r="F3" s="21"/>
      <c r="G3" s="21"/>
      <c r="H3" s="21"/>
      <c r="I3" s="21"/>
      <c r="J3" s="21"/>
      <c r="K3" s="21"/>
      <c r="L3" s="21"/>
      <c r="M3" s="21"/>
      <c r="N3" s="21"/>
      <c r="O3" s="21"/>
      <c r="P3" s="21"/>
      <c r="Q3" s="21"/>
      <c r="R3" s="21"/>
      <c r="S3" s="21"/>
      <c r="T3" s="21"/>
      <c r="U3" s="21"/>
      <c r="V3" s="21"/>
      <c r="W3" s="20"/>
      <c r="X3" s="20"/>
    </row>
    <row r="4" spans="1:24" x14ac:dyDescent="0.3">
      <c r="A4" s="21"/>
      <c r="B4" s="21"/>
      <c r="C4" s="21"/>
      <c r="D4" s="21"/>
      <c r="E4" s="21"/>
      <c r="F4" s="21"/>
      <c r="G4" s="21"/>
      <c r="H4" s="21"/>
      <c r="I4" s="21"/>
      <c r="J4" s="21"/>
      <c r="K4" s="21"/>
      <c r="L4" s="21"/>
      <c r="M4" s="21"/>
      <c r="N4" s="21"/>
      <c r="O4" s="21"/>
      <c r="P4" s="21"/>
      <c r="Q4" s="21"/>
      <c r="R4" s="21"/>
      <c r="S4" s="21"/>
      <c r="T4" s="21"/>
      <c r="U4" s="21"/>
      <c r="V4" s="21"/>
      <c r="W4" s="21"/>
      <c r="X4" s="21"/>
    </row>
    <row r="5" spans="1:24" x14ac:dyDescent="0.3">
      <c r="A5" s="20"/>
      <c r="B5" s="21"/>
      <c r="C5" s="21"/>
      <c r="D5" s="21"/>
      <c r="E5" s="21"/>
      <c r="F5" s="21"/>
      <c r="G5" s="21"/>
      <c r="H5" s="21"/>
      <c r="I5" s="21"/>
      <c r="J5" s="21"/>
      <c r="K5" s="21"/>
      <c r="L5" s="21"/>
      <c r="M5" s="21"/>
      <c r="N5" s="21"/>
      <c r="O5" s="21"/>
      <c r="P5" s="21"/>
      <c r="Q5" s="21"/>
      <c r="R5" s="21"/>
      <c r="S5" s="21"/>
      <c r="T5" s="21"/>
      <c r="U5" s="21"/>
      <c r="V5" s="21"/>
      <c r="W5" s="20"/>
      <c r="X5" s="20"/>
    </row>
    <row r="6" spans="1:24" x14ac:dyDescent="0.3">
      <c r="A6" s="21"/>
      <c r="B6" s="21"/>
      <c r="C6" s="21"/>
      <c r="D6" s="21"/>
      <c r="E6" s="21"/>
      <c r="F6" s="21"/>
      <c r="G6" s="21"/>
      <c r="H6" s="21"/>
      <c r="I6" s="21"/>
      <c r="J6" s="21"/>
      <c r="K6" s="21"/>
      <c r="L6" s="21"/>
      <c r="M6" s="21"/>
      <c r="N6" s="21"/>
      <c r="O6" s="21"/>
      <c r="P6" s="21"/>
      <c r="Q6" s="21"/>
      <c r="R6" s="21"/>
      <c r="S6" s="21"/>
      <c r="T6" s="21"/>
      <c r="U6" s="21"/>
      <c r="V6" s="21"/>
      <c r="W6" s="21"/>
      <c r="X6" s="21"/>
    </row>
    <row r="7" spans="1:24" x14ac:dyDescent="0.3">
      <c r="A7" s="20"/>
      <c r="B7" s="21"/>
      <c r="C7" s="21"/>
      <c r="D7" s="21"/>
      <c r="E7" s="21"/>
      <c r="F7" s="21"/>
      <c r="G7" s="21"/>
      <c r="H7" s="21"/>
      <c r="I7" s="21"/>
      <c r="J7" s="21"/>
      <c r="K7" s="21"/>
      <c r="L7" s="21"/>
      <c r="M7" s="21"/>
      <c r="N7" s="21"/>
      <c r="O7" s="21"/>
      <c r="P7" s="21"/>
      <c r="Q7" s="21"/>
      <c r="R7" s="21"/>
      <c r="S7" s="21"/>
      <c r="T7" s="21"/>
      <c r="U7" s="21"/>
      <c r="V7" s="21"/>
      <c r="W7" s="20"/>
      <c r="X7" s="20"/>
    </row>
    <row r="8" spans="1:24" x14ac:dyDescent="0.3">
      <c r="A8" s="21"/>
      <c r="B8" s="21"/>
      <c r="C8" s="21"/>
      <c r="D8" s="21"/>
      <c r="E8" s="21"/>
      <c r="F8" s="21"/>
      <c r="G8" s="21"/>
      <c r="H8" s="21"/>
      <c r="I8" s="21"/>
      <c r="J8" s="21"/>
      <c r="K8" s="21"/>
      <c r="L8" s="21"/>
      <c r="M8" s="21"/>
      <c r="N8" s="21"/>
      <c r="O8" s="21"/>
      <c r="P8" s="21"/>
      <c r="Q8" s="21"/>
      <c r="R8" s="21"/>
      <c r="S8" s="21"/>
      <c r="T8" s="21"/>
      <c r="U8" s="21"/>
      <c r="V8" s="21"/>
      <c r="W8" s="21"/>
      <c r="X8" s="21"/>
    </row>
    <row r="9" spans="1:24" x14ac:dyDescent="0.3">
      <c r="A9" s="20"/>
      <c r="B9" s="21"/>
      <c r="C9" s="21"/>
      <c r="D9" s="21"/>
      <c r="E9" s="21"/>
      <c r="F9" s="21"/>
      <c r="G9" s="21"/>
      <c r="H9" s="21"/>
      <c r="I9" s="21"/>
      <c r="J9" s="21"/>
      <c r="K9" s="21"/>
      <c r="L9" s="21"/>
      <c r="M9" s="21"/>
      <c r="N9" s="21"/>
      <c r="O9" s="21"/>
      <c r="P9" s="21"/>
      <c r="Q9" s="21"/>
      <c r="R9" s="21"/>
      <c r="S9" s="21"/>
      <c r="T9" s="21"/>
      <c r="U9" s="21"/>
      <c r="V9" s="21"/>
      <c r="W9" s="20"/>
      <c r="X9" s="20"/>
    </row>
    <row r="10" spans="1:24" x14ac:dyDescent="0.3">
      <c r="A10" s="21"/>
      <c r="B10" s="21"/>
      <c r="C10" s="21"/>
      <c r="D10" s="21"/>
      <c r="E10" s="21"/>
      <c r="F10" s="21"/>
      <c r="G10" s="21"/>
      <c r="H10" s="21"/>
      <c r="I10" s="21"/>
      <c r="J10" s="21"/>
      <c r="K10" s="21"/>
      <c r="L10" s="21"/>
      <c r="M10" s="21"/>
      <c r="N10" s="21"/>
      <c r="O10" s="21"/>
      <c r="P10" s="21"/>
      <c r="Q10" s="21"/>
      <c r="R10" s="21"/>
      <c r="S10" s="21"/>
      <c r="T10" s="21"/>
      <c r="U10" s="21"/>
      <c r="V10" s="21"/>
      <c r="W10" s="21"/>
      <c r="X10" s="21"/>
    </row>
    <row r="11" spans="1:24" x14ac:dyDescent="0.3">
      <c r="A11" s="20"/>
      <c r="B11" s="21"/>
      <c r="C11" s="21"/>
      <c r="D11" s="21"/>
      <c r="E11" s="21"/>
      <c r="F11" s="21"/>
      <c r="G11" s="21"/>
      <c r="H11" s="21"/>
      <c r="I11" s="21"/>
      <c r="J11" s="21"/>
      <c r="K11" s="21"/>
      <c r="L11" s="21"/>
      <c r="M11" s="21"/>
      <c r="N11" s="21"/>
      <c r="O11" s="21"/>
      <c r="P11" s="21"/>
      <c r="Q11" s="21"/>
      <c r="R11" s="21"/>
      <c r="S11" s="21"/>
      <c r="T11" s="21"/>
      <c r="U11" s="21"/>
      <c r="V11" s="21"/>
      <c r="W11" s="20"/>
      <c r="X11" s="20"/>
    </row>
    <row r="12" spans="1:24" x14ac:dyDescent="0.3">
      <c r="A12" s="21"/>
      <c r="B12" s="21"/>
      <c r="C12" s="21"/>
      <c r="D12" s="21"/>
      <c r="E12" s="21"/>
      <c r="F12" s="21"/>
      <c r="G12" s="21"/>
      <c r="H12" s="21"/>
      <c r="I12" s="21"/>
      <c r="J12" s="21"/>
      <c r="K12" s="21"/>
      <c r="L12" s="21"/>
      <c r="M12" s="21"/>
      <c r="N12" s="21"/>
      <c r="O12" s="21"/>
      <c r="P12" s="21"/>
      <c r="Q12" s="21"/>
      <c r="R12" s="21"/>
      <c r="S12" s="21"/>
      <c r="T12" s="21"/>
      <c r="U12" s="21"/>
      <c r="V12" s="21"/>
      <c r="W12" s="21"/>
      <c r="X12" s="21"/>
    </row>
    <row r="13" spans="1:24" x14ac:dyDescent="0.3">
      <c r="A13" s="20"/>
      <c r="B13" s="21"/>
      <c r="C13" s="21"/>
      <c r="D13" s="21"/>
      <c r="E13" s="21"/>
      <c r="F13" s="21"/>
      <c r="G13" s="21"/>
      <c r="H13" s="21"/>
      <c r="I13" s="21"/>
      <c r="J13" s="21"/>
      <c r="K13" s="21"/>
      <c r="L13" s="21"/>
      <c r="M13" s="21"/>
      <c r="N13" s="21"/>
      <c r="O13" s="21"/>
      <c r="P13" s="21"/>
      <c r="Q13" s="21"/>
      <c r="R13" s="21"/>
      <c r="S13" s="21"/>
      <c r="T13" s="21"/>
      <c r="U13" s="21"/>
      <c r="V13" s="21"/>
      <c r="W13" s="20"/>
      <c r="X13" s="20"/>
    </row>
    <row r="14" spans="1:24" x14ac:dyDescent="0.3">
      <c r="A14" s="21"/>
      <c r="B14" s="21"/>
      <c r="C14" s="21"/>
      <c r="D14" s="21"/>
      <c r="E14" s="21"/>
      <c r="F14" s="21"/>
      <c r="G14" s="21"/>
      <c r="H14" s="21"/>
      <c r="I14" s="21"/>
      <c r="J14" s="21"/>
      <c r="K14" s="21"/>
      <c r="L14" s="21"/>
      <c r="M14" s="21"/>
      <c r="N14" s="21"/>
      <c r="O14" s="21"/>
      <c r="P14" s="21"/>
      <c r="Q14" s="21"/>
      <c r="R14" s="21"/>
      <c r="S14" s="21"/>
      <c r="T14" s="21"/>
      <c r="U14" s="21"/>
      <c r="V14" s="21"/>
      <c r="W14" s="21"/>
      <c r="X14" s="21"/>
    </row>
    <row r="15" spans="1:24" x14ac:dyDescent="0.3">
      <c r="A15" s="20"/>
      <c r="B15" s="21"/>
      <c r="C15" s="21"/>
      <c r="D15" s="21"/>
      <c r="E15" s="21"/>
      <c r="F15" s="21"/>
      <c r="G15" s="21"/>
      <c r="H15" s="21"/>
      <c r="I15" s="21"/>
      <c r="J15" s="21"/>
      <c r="K15" s="21"/>
      <c r="L15" s="21"/>
      <c r="M15" s="21"/>
      <c r="N15" s="21"/>
      <c r="O15" s="21"/>
      <c r="P15" s="21"/>
      <c r="Q15" s="21"/>
      <c r="R15" s="21"/>
      <c r="S15" s="21"/>
      <c r="T15" s="21"/>
      <c r="U15" s="21"/>
      <c r="V15" s="21"/>
      <c r="W15" s="20"/>
      <c r="X15" s="20"/>
    </row>
    <row r="16" spans="1:24" x14ac:dyDescent="0.3">
      <c r="A16" s="21"/>
      <c r="B16" s="21"/>
      <c r="C16" s="21"/>
      <c r="D16" s="21"/>
      <c r="E16" s="21"/>
      <c r="F16" s="21"/>
      <c r="G16" s="21"/>
      <c r="H16" s="21"/>
      <c r="I16" s="21"/>
      <c r="J16" s="21"/>
      <c r="K16" s="21"/>
      <c r="L16" s="21"/>
      <c r="M16" s="21"/>
      <c r="N16" s="21"/>
      <c r="O16" s="21"/>
      <c r="P16" s="21"/>
      <c r="Q16" s="21"/>
      <c r="R16" s="21"/>
      <c r="S16" s="21"/>
      <c r="T16" s="21"/>
      <c r="U16" s="21"/>
      <c r="V16" s="21"/>
      <c r="W16" s="21"/>
      <c r="X16" s="21"/>
    </row>
    <row r="17" spans="1:24" x14ac:dyDescent="0.3">
      <c r="A17" s="20"/>
      <c r="B17" s="21"/>
      <c r="C17" s="21"/>
      <c r="D17" s="21"/>
      <c r="E17" s="21"/>
      <c r="F17" s="21"/>
      <c r="G17" s="21"/>
      <c r="H17" s="21"/>
      <c r="I17" s="21"/>
      <c r="J17" s="21"/>
      <c r="K17" s="21"/>
      <c r="L17" s="21"/>
      <c r="M17" s="21"/>
      <c r="N17" s="21"/>
      <c r="O17" s="21"/>
      <c r="P17" s="21"/>
      <c r="Q17" s="21"/>
      <c r="R17" s="21"/>
      <c r="S17" s="21"/>
      <c r="T17" s="21"/>
      <c r="U17" s="21"/>
      <c r="V17" s="21"/>
      <c r="W17" s="20"/>
      <c r="X17" s="20"/>
    </row>
    <row r="18" spans="1:24" x14ac:dyDescent="0.3">
      <c r="A18" s="21"/>
      <c r="B18" s="21"/>
      <c r="C18" s="21"/>
      <c r="D18" s="21"/>
      <c r="E18" s="21"/>
      <c r="F18" s="21"/>
      <c r="G18" s="21"/>
      <c r="H18" s="21"/>
      <c r="I18" s="21"/>
      <c r="J18" s="21"/>
      <c r="K18" s="21"/>
      <c r="L18" s="21"/>
      <c r="M18" s="21"/>
      <c r="N18" s="21"/>
      <c r="O18" s="21"/>
      <c r="P18" s="21"/>
      <c r="Q18" s="21"/>
      <c r="R18" s="21"/>
      <c r="S18" s="21"/>
      <c r="T18" s="21"/>
      <c r="U18" s="21"/>
      <c r="V18" s="21"/>
      <c r="W18" s="21"/>
      <c r="X18" s="21"/>
    </row>
    <row r="19" spans="1:24" x14ac:dyDescent="0.3">
      <c r="A19" s="20"/>
      <c r="B19" s="21"/>
      <c r="C19" s="21"/>
      <c r="D19" s="21"/>
      <c r="E19" s="21"/>
      <c r="F19" s="21"/>
      <c r="G19" s="21"/>
      <c r="H19" s="21"/>
      <c r="I19" s="21"/>
      <c r="J19" s="21"/>
      <c r="K19" s="21"/>
      <c r="L19" s="21"/>
      <c r="M19" s="21"/>
      <c r="N19" s="21"/>
      <c r="O19" s="21"/>
      <c r="P19" s="21"/>
      <c r="Q19" s="21"/>
      <c r="R19" s="21"/>
      <c r="S19" s="21"/>
      <c r="T19" s="21"/>
      <c r="U19" s="21"/>
      <c r="V19" s="21"/>
      <c r="W19" s="20"/>
      <c r="X19" s="20"/>
    </row>
    <row r="20" spans="1:24" x14ac:dyDescent="0.3">
      <c r="A20" s="21"/>
      <c r="B20" s="21"/>
      <c r="C20" s="21"/>
      <c r="D20" s="21"/>
      <c r="E20" s="21"/>
      <c r="F20" s="21"/>
      <c r="G20" s="21"/>
      <c r="H20" s="21"/>
      <c r="I20" s="21"/>
      <c r="J20" s="21"/>
      <c r="K20" s="21"/>
      <c r="L20" s="21"/>
      <c r="M20" s="21"/>
      <c r="N20" s="21"/>
      <c r="O20" s="21"/>
      <c r="P20" s="21"/>
      <c r="Q20" s="21"/>
      <c r="R20" s="21"/>
      <c r="S20" s="21"/>
      <c r="T20" s="21"/>
      <c r="U20" s="21"/>
      <c r="V20" s="21"/>
      <c r="W20" s="21"/>
      <c r="X20" s="21"/>
    </row>
    <row r="21" spans="1:24" x14ac:dyDescent="0.3">
      <c r="A21" s="20"/>
      <c r="B21" s="21"/>
      <c r="C21" s="21"/>
      <c r="D21" s="21"/>
      <c r="E21" s="21"/>
      <c r="F21" s="21"/>
      <c r="G21" s="21"/>
      <c r="H21" s="21"/>
      <c r="I21" s="21"/>
      <c r="J21" s="21"/>
      <c r="K21" s="21"/>
      <c r="L21" s="21"/>
      <c r="M21" s="21"/>
      <c r="N21" s="21"/>
      <c r="O21" s="21"/>
      <c r="P21" s="21"/>
      <c r="Q21" s="21"/>
      <c r="R21" s="21"/>
      <c r="S21" s="21"/>
      <c r="T21" s="21"/>
      <c r="U21" s="21"/>
      <c r="V21" s="21"/>
      <c r="W21" s="20"/>
      <c r="X21" s="20"/>
    </row>
    <row r="22" spans="1:24" x14ac:dyDescent="0.3">
      <c r="A22" s="21"/>
      <c r="B22" s="21"/>
      <c r="C22" s="21"/>
      <c r="D22" s="21"/>
      <c r="E22" s="21"/>
      <c r="F22" s="21"/>
      <c r="G22" s="21"/>
      <c r="H22" s="21"/>
      <c r="I22" s="21"/>
      <c r="J22" s="21"/>
      <c r="K22" s="21"/>
      <c r="L22" s="21"/>
      <c r="M22" s="21"/>
      <c r="N22" s="21"/>
      <c r="O22" s="21"/>
      <c r="P22" s="21"/>
      <c r="Q22" s="21"/>
      <c r="R22" s="21"/>
      <c r="S22" s="21"/>
      <c r="T22" s="21"/>
      <c r="U22" s="21"/>
      <c r="V22" s="21"/>
      <c r="W22" s="21"/>
      <c r="X22" s="21"/>
    </row>
    <row r="23" spans="1:24" x14ac:dyDescent="0.3">
      <c r="A23" s="20"/>
      <c r="B23" s="21"/>
      <c r="C23" s="21"/>
      <c r="D23" s="21"/>
      <c r="E23" s="21"/>
      <c r="F23" s="21"/>
      <c r="G23" s="21"/>
      <c r="H23" s="21"/>
      <c r="I23" s="21"/>
      <c r="J23" s="21"/>
      <c r="K23" s="21"/>
      <c r="L23" s="21"/>
      <c r="M23" s="21"/>
      <c r="N23" s="21"/>
      <c r="O23" s="21"/>
      <c r="P23" s="21"/>
      <c r="Q23" s="21"/>
      <c r="R23" s="21"/>
      <c r="S23" s="21"/>
      <c r="T23" s="21"/>
      <c r="U23" s="21"/>
      <c r="V23" s="21"/>
      <c r="W23" s="20"/>
      <c r="X23" s="20"/>
    </row>
    <row r="24" spans="1:24" x14ac:dyDescent="0.3">
      <c r="A24" s="21"/>
      <c r="B24" s="21"/>
      <c r="C24" s="21"/>
      <c r="D24" s="21"/>
      <c r="E24" s="21"/>
      <c r="F24" s="21"/>
      <c r="G24" s="21"/>
      <c r="H24" s="21"/>
      <c r="I24" s="21"/>
      <c r="J24" s="21"/>
      <c r="K24" s="21"/>
      <c r="L24" s="21"/>
      <c r="M24" s="21"/>
      <c r="N24" s="21"/>
      <c r="O24" s="21"/>
      <c r="P24" s="21"/>
      <c r="Q24" s="21"/>
      <c r="R24" s="21"/>
      <c r="S24" s="21"/>
      <c r="T24" s="21"/>
      <c r="U24" s="21"/>
      <c r="V24" s="21"/>
      <c r="W24" s="21"/>
      <c r="X24" s="21"/>
    </row>
    <row r="25" spans="1:24" x14ac:dyDescent="0.3">
      <c r="A25" s="20"/>
      <c r="B25" s="21"/>
      <c r="C25" s="21"/>
      <c r="D25" s="21"/>
      <c r="E25" s="21"/>
      <c r="F25" s="21"/>
      <c r="G25" s="21"/>
      <c r="H25" s="21"/>
      <c r="I25" s="21"/>
      <c r="J25" s="21"/>
      <c r="K25" s="21"/>
      <c r="L25" s="21"/>
      <c r="M25" s="21"/>
      <c r="N25" s="21"/>
      <c r="O25" s="21"/>
      <c r="P25" s="21"/>
      <c r="Q25" s="21"/>
      <c r="R25" s="21"/>
      <c r="S25" s="21"/>
      <c r="T25" s="21"/>
      <c r="U25" s="21"/>
      <c r="V25" s="21"/>
      <c r="W25" s="20"/>
      <c r="X25" s="20"/>
    </row>
    <row r="26" spans="1:24" x14ac:dyDescent="0.3">
      <c r="A26" s="21"/>
      <c r="B26" s="21"/>
      <c r="C26" s="21"/>
      <c r="D26" s="21"/>
      <c r="E26" s="21"/>
      <c r="F26" s="21"/>
      <c r="G26" s="21"/>
      <c r="H26" s="21"/>
      <c r="I26" s="21"/>
      <c r="J26" s="21"/>
      <c r="K26" s="21"/>
      <c r="L26" s="21"/>
      <c r="M26" s="21"/>
      <c r="N26" s="21"/>
      <c r="O26" s="21"/>
      <c r="P26" s="21"/>
      <c r="Q26" s="21"/>
      <c r="R26" s="21"/>
      <c r="S26" s="21"/>
      <c r="T26" s="21"/>
      <c r="U26" s="21"/>
      <c r="V26" s="21"/>
      <c r="W26" s="21"/>
      <c r="X26" s="21"/>
    </row>
    <row r="27" spans="1:24" x14ac:dyDescent="0.3">
      <c r="A27" s="20"/>
      <c r="B27" s="21"/>
      <c r="C27" s="21"/>
      <c r="D27" s="21"/>
      <c r="E27" s="21"/>
      <c r="F27" s="21"/>
      <c r="G27" s="21"/>
      <c r="H27" s="21"/>
      <c r="I27" s="21"/>
      <c r="J27" s="21"/>
      <c r="K27" s="21"/>
      <c r="L27" s="21"/>
      <c r="M27" s="21"/>
      <c r="N27" s="21"/>
      <c r="O27" s="21"/>
      <c r="P27" s="21"/>
      <c r="Q27" s="21"/>
      <c r="R27" s="21"/>
      <c r="S27" s="21"/>
      <c r="T27" s="21"/>
      <c r="U27" s="21"/>
      <c r="V27" s="21"/>
      <c r="W27" s="20"/>
      <c r="X27" s="20"/>
    </row>
    <row r="28" spans="1:24" x14ac:dyDescent="0.3">
      <c r="A28" s="20"/>
      <c r="B28" s="21"/>
      <c r="C28" s="21"/>
      <c r="D28" s="21"/>
      <c r="E28" s="21"/>
      <c r="F28" s="21"/>
      <c r="G28" s="21"/>
      <c r="H28" s="21"/>
      <c r="I28" s="21"/>
      <c r="J28" s="21"/>
      <c r="K28" s="21"/>
      <c r="L28" s="21"/>
      <c r="M28" s="21"/>
      <c r="N28" s="21"/>
      <c r="O28" s="21"/>
      <c r="P28" s="21"/>
      <c r="Q28" s="21"/>
      <c r="R28" s="21"/>
      <c r="S28" s="21"/>
      <c r="T28" s="21"/>
      <c r="U28" s="21"/>
      <c r="V28" s="21"/>
      <c r="W28" s="20"/>
      <c r="X28" s="20"/>
    </row>
    <row r="29" spans="1:24" x14ac:dyDescent="0.3">
      <c r="A29" s="21"/>
      <c r="B29" s="21"/>
      <c r="C29" s="21"/>
      <c r="D29" s="21"/>
      <c r="E29" s="21"/>
      <c r="F29" s="21"/>
      <c r="G29" s="21"/>
      <c r="H29" s="21"/>
      <c r="I29" s="21"/>
      <c r="J29" s="21"/>
      <c r="K29" s="21"/>
      <c r="L29" s="21"/>
      <c r="M29" s="21"/>
      <c r="N29" s="21"/>
      <c r="O29" s="21"/>
      <c r="P29" s="21"/>
      <c r="Q29" s="21"/>
      <c r="R29" s="21"/>
      <c r="S29" s="21"/>
      <c r="T29" s="21"/>
      <c r="U29" s="21"/>
      <c r="V29" s="21"/>
      <c r="W29" s="21"/>
      <c r="X29" s="21"/>
    </row>
    <row r="30" spans="1:24" x14ac:dyDescent="0.3">
      <c r="A30" s="20"/>
      <c r="B30" s="21"/>
      <c r="C30" s="21"/>
      <c r="D30" s="21"/>
      <c r="E30" s="21"/>
      <c r="F30" s="21"/>
      <c r="G30" s="21"/>
      <c r="H30" s="21"/>
      <c r="I30" s="21"/>
      <c r="J30" s="21"/>
      <c r="K30" s="21"/>
      <c r="L30" s="21"/>
      <c r="M30" s="21"/>
      <c r="N30" s="21"/>
      <c r="O30" s="21"/>
      <c r="P30" s="21"/>
      <c r="Q30" s="21"/>
      <c r="R30" s="21"/>
      <c r="S30" s="21"/>
      <c r="T30" s="21"/>
      <c r="U30" s="21"/>
      <c r="V30" s="21"/>
      <c r="W30" s="20"/>
      <c r="X30" s="20"/>
    </row>
    <row r="31" spans="1:24" x14ac:dyDescent="0.3">
      <c r="A31" s="21"/>
      <c r="B31" s="21"/>
      <c r="C31" s="21"/>
      <c r="D31" s="21"/>
      <c r="E31" s="21"/>
      <c r="F31" s="21"/>
      <c r="G31" s="21"/>
      <c r="H31" s="21"/>
      <c r="I31" s="21"/>
      <c r="J31" s="21"/>
      <c r="K31" s="21"/>
      <c r="L31" s="21"/>
      <c r="M31" s="21"/>
      <c r="N31" s="21"/>
      <c r="O31" s="21"/>
      <c r="P31" s="21"/>
      <c r="Q31" s="21"/>
      <c r="R31" s="21"/>
      <c r="S31" s="21"/>
      <c r="T31" s="21"/>
      <c r="U31" s="21"/>
      <c r="V31" s="21"/>
      <c r="W31" s="21"/>
      <c r="X31" s="21"/>
    </row>
    <row r="32" spans="1:24" x14ac:dyDescent="0.3">
      <c r="A32" s="20"/>
      <c r="B32" s="21"/>
      <c r="C32" s="21"/>
      <c r="D32" s="21"/>
      <c r="E32" s="21"/>
      <c r="F32" s="21"/>
      <c r="G32" s="21"/>
      <c r="H32" s="21"/>
      <c r="I32" s="21"/>
      <c r="J32" s="21"/>
      <c r="K32" s="21"/>
      <c r="L32" s="21"/>
      <c r="M32" s="21"/>
      <c r="N32" s="21"/>
      <c r="O32" s="21"/>
      <c r="P32" s="21"/>
      <c r="Q32" s="21"/>
      <c r="R32" s="21"/>
      <c r="S32" s="21"/>
      <c r="T32" s="21"/>
      <c r="U32" s="21"/>
      <c r="V32" s="21"/>
      <c r="W32" s="20"/>
      <c r="X32" s="20"/>
    </row>
    <row r="33" spans="1:24" x14ac:dyDescent="0.3">
      <c r="A33" s="21"/>
      <c r="B33" s="21"/>
      <c r="C33" s="21"/>
      <c r="D33" s="21"/>
      <c r="E33" s="21"/>
      <c r="F33" s="21"/>
      <c r="G33" s="21"/>
      <c r="H33" s="21"/>
      <c r="I33" s="21"/>
      <c r="J33" s="21"/>
      <c r="K33" s="21"/>
      <c r="L33" s="21"/>
      <c r="M33" s="21"/>
      <c r="N33" s="21"/>
      <c r="O33" s="21"/>
      <c r="P33" s="21"/>
      <c r="Q33" s="21"/>
      <c r="R33" s="21"/>
      <c r="S33" s="21"/>
      <c r="T33" s="21"/>
      <c r="U33" s="21"/>
      <c r="V33" s="21"/>
      <c r="W33" s="21"/>
      <c r="X33" s="21"/>
    </row>
    <row r="34" spans="1:24" x14ac:dyDescent="0.3">
      <c r="A34" s="20"/>
      <c r="B34" s="21"/>
      <c r="C34" s="21"/>
      <c r="D34" s="21"/>
      <c r="E34" s="21"/>
      <c r="F34" s="21"/>
      <c r="G34" s="21"/>
      <c r="H34" s="21"/>
      <c r="I34" s="21"/>
      <c r="J34" s="21"/>
      <c r="K34" s="21"/>
      <c r="L34" s="21"/>
      <c r="M34" s="21"/>
      <c r="N34" s="21"/>
      <c r="O34" s="21"/>
      <c r="P34" s="21"/>
      <c r="Q34" s="21"/>
      <c r="R34" s="21"/>
      <c r="S34" s="21"/>
      <c r="T34" s="21"/>
      <c r="U34" s="21"/>
      <c r="V34" s="21"/>
      <c r="W34" s="20"/>
      <c r="X34" s="20"/>
    </row>
    <row r="35" spans="1:24" x14ac:dyDescent="0.3">
      <c r="A35" s="21"/>
      <c r="B35" s="21"/>
      <c r="C35" s="21"/>
      <c r="D35" s="21"/>
      <c r="E35" s="21"/>
      <c r="F35" s="21"/>
      <c r="G35" s="21"/>
      <c r="H35" s="21"/>
      <c r="I35" s="21"/>
      <c r="J35" s="21"/>
      <c r="K35" s="21"/>
      <c r="L35" s="21"/>
      <c r="M35" s="21"/>
      <c r="N35" s="21"/>
      <c r="O35" s="21"/>
      <c r="P35" s="21"/>
      <c r="Q35" s="21"/>
      <c r="R35" s="21"/>
      <c r="S35" s="21"/>
      <c r="T35" s="21"/>
      <c r="U35" s="21"/>
      <c r="V35" s="21"/>
      <c r="W35" s="21"/>
      <c r="X35" s="21"/>
    </row>
    <row r="36" spans="1:24" x14ac:dyDescent="0.3">
      <c r="A36" s="20"/>
      <c r="B36" s="21"/>
      <c r="C36" s="21"/>
      <c r="D36" s="21"/>
      <c r="E36" s="21"/>
      <c r="F36" s="21"/>
      <c r="G36" s="21"/>
      <c r="H36" s="21"/>
      <c r="I36" s="21"/>
      <c r="J36" s="21"/>
      <c r="K36" s="21"/>
      <c r="L36" s="21"/>
      <c r="M36" s="21"/>
      <c r="N36" s="21"/>
      <c r="O36" s="21"/>
      <c r="P36" s="21"/>
      <c r="Q36" s="21"/>
      <c r="R36" s="21"/>
      <c r="S36" s="21"/>
      <c r="T36" s="21"/>
      <c r="U36" s="21"/>
      <c r="V36" s="21"/>
      <c r="W36" s="20"/>
      <c r="X36" s="20"/>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25AD8-18D9-41CD-A08E-D33F9E23FF6F}">
  <dimension ref="A1:N951"/>
  <sheetViews>
    <sheetView topLeftCell="A2" workbookViewId="0">
      <selection sqref="A1:N951"/>
    </sheetView>
  </sheetViews>
  <sheetFormatPr defaultRowHeight="14.4" x14ac:dyDescent="0.3"/>
  <cols>
    <col min="1" max="1" width="12.6640625" bestFit="1" customWidth="1"/>
    <col min="2" max="2" width="19.6640625" bestFit="1" customWidth="1"/>
    <col min="3" max="3" width="14.21875" bestFit="1" customWidth="1"/>
    <col min="4" max="4" width="12.77734375" bestFit="1" customWidth="1"/>
    <col min="5" max="5" width="16" bestFit="1" customWidth="1"/>
    <col min="6" max="6" width="16.109375" bestFit="1" customWidth="1"/>
    <col min="7" max="7" width="12.21875" bestFit="1" customWidth="1"/>
    <col min="8" max="8" width="14.88671875" bestFit="1" customWidth="1"/>
    <col min="9" max="9" width="11.44140625" bestFit="1" customWidth="1"/>
    <col min="10" max="10" width="14.109375" bestFit="1" customWidth="1"/>
    <col min="11" max="11" width="16.109375" style="4" customWidth="1"/>
    <col min="12" max="12" width="18.5546875" customWidth="1"/>
    <col min="13" max="13" width="13.77734375" customWidth="1"/>
    <col min="14" max="14" width="22" customWidth="1"/>
  </cols>
  <sheetData>
    <row r="1" spans="1:14" x14ac:dyDescent="0.3">
      <c r="A1" t="s">
        <v>0</v>
      </c>
      <c r="B1" t="s">
        <v>1</v>
      </c>
      <c r="C1" t="s">
        <v>2</v>
      </c>
      <c r="D1" t="s">
        <v>3</v>
      </c>
      <c r="E1" t="s">
        <v>4</v>
      </c>
      <c r="F1" t="s">
        <v>5</v>
      </c>
      <c r="G1" t="s">
        <v>6</v>
      </c>
      <c r="H1" t="s">
        <v>7</v>
      </c>
      <c r="I1" t="s">
        <v>8</v>
      </c>
      <c r="J1" t="s">
        <v>9</v>
      </c>
      <c r="K1" s="4" t="s">
        <v>1345</v>
      </c>
      <c r="L1" t="s">
        <v>1346</v>
      </c>
      <c r="M1" t="s">
        <v>1347</v>
      </c>
      <c r="N1" t="s">
        <v>1348</v>
      </c>
    </row>
    <row r="2" spans="1:14" x14ac:dyDescent="0.3">
      <c r="A2" t="s">
        <v>10</v>
      </c>
      <c r="B2" t="s">
        <v>11</v>
      </c>
      <c r="C2" t="s">
        <v>12</v>
      </c>
      <c r="D2" t="s">
        <v>13</v>
      </c>
      <c r="E2" s="3">
        <v>46005</v>
      </c>
      <c r="F2">
        <v>204</v>
      </c>
      <c r="G2">
        <v>48</v>
      </c>
      <c r="H2">
        <v>156</v>
      </c>
      <c r="I2">
        <v>2074</v>
      </c>
      <c r="J2" t="s">
        <v>14</v>
      </c>
      <c r="K2" s="4">
        <f>IF(AND(ISNUMBER(Raw_Data[[#This Row],[Opening_Stock]]),ISNUMBER(Raw_Data[[#This Row],[Units_Sold]]),Raw_Data[[#This Row],[Opening_Stock]]&gt;0),Raw_Data[[#This Row],[Units_Sold]]/Raw_Data[[#This Row],[Opening_Stock]],"")</f>
        <v>0.23529411764705882</v>
      </c>
      <c r="L2" t="str">
        <f>IF(NOT(ISNUMBER(Raw_Data[[#This Row],[Sell_through%]])),"Check",IF(Raw_Data[[#This Row],[Sell_through%]]=0,"Non-moving",IF(Raw_Data[[#This Row],[Sell_through%]]&gt;=0.6,"Fast","Slow")))</f>
        <v>Slow</v>
      </c>
      <c r="M2">
        <f>IF(AND(ISNUMBER(Raw_Data[[#This Row],[Closing_Stock]]),ISNUMBER(Raw_Data[[#This Row],[Unit_Cost]])),Raw_Data[[#This Row],[Closing_Stock]]*Raw_Data[[#This Row],[Unit_Cost]],"")</f>
        <v>323544</v>
      </c>
      <c r="N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 spans="1:14" x14ac:dyDescent="0.3">
      <c r="A3" t="s">
        <v>15</v>
      </c>
      <c r="B3" t="s">
        <v>16</v>
      </c>
      <c r="C3" t="s">
        <v>12</v>
      </c>
      <c r="D3" t="s">
        <v>13</v>
      </c>
      <c r="E3" s="3">
        <v>46198</v>
      </c>
      <c r="F3">
        <v>341</v>
      </c>
      <c r="G3">
        <v>329</v>
      </c>
      <c r="H3">
        <v>12</v>
      </c>
      <c r="I3">
        <v>2389</v>
      </c>
      <c r="J3" t="s">
        <v>17</v>
      </c>
      <c r="K3" s="4">
        <f>IF(AND(ISNUMBER(Raw_Data[[#This Row],[Opening_Stock]]),ISNUMBER(Raw_Data[[#This Row],[Units_Sold]]),Raw_Data[[#This Row],[Opening_Stock]]&gt;0),Raw_Data[[#This Row],[Units_Sold]]/Raw_Data[[#This Row],[Opening_Stock]],"")</f>
        <v>0.96480938416422291</v>
      </c>
      <c r="L3" t="str">
        <f>IF(NOT(ISNUMBER(Raw_Data[[#This Row],[Sell_through%]])),"Check",IF(Raw_Data[[#This Row],[Sell_through%]]=0,"Non-moving",IF(Raw_Data[[#This Row],[Sell_through%]]&gt;=0.6,"Fast","Slow")))</f>
        <v>Fast</v>
      </c>
      <c r="M3">
        <f>IF(AND(ISNUMBER(Raw_Data[[#This Row],[Closing_Stock]]),ISNUMBER(Raw_Data[[#This Row],[Unit_Cost]])),Raw_Data[[#This Row],[Closing_Stock]]*Raw_Data[[#This Row],[Unit_Cost]],"")</f>
        <v>28668</v>
      </c>
      <c r="N3"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 spans="1:14" x14ac:dyDescent="0.3">
      <c r="A4" t="s">
        <v>18</v>
      </c>
      <c r="B4" t="s">
        <v>19</v>
      </c>
      <c r="C4" t="s">
        <v>28</v>
      </c>
      <c r="D4" t="s">
        <v>21</v>
      </c>
      <c r="E4" s="3">
        <v>46030</v>
      </c>
      <c r="F4">
        <v>70</v>
      </c>
      <c r="G4">
        <v>55</v>
      </c>
      <c r="H4">
        <v>15</v>
      </c>
      <c r="I4">
        <v>1025</v>
      </c>
      <c r="J4" t="s">
        <v>17</v>
      </c>
      <c r="K4" s="4">
        <f>IF(AND(ISNUMBER(Raw_Data[[#This Row],[Opening_Stock]]),ISNUMBER(Raw_Data[[#This Row],[Units_Sold]]),Raw_Data[[#This Row],[Opening_Stock]]&gt;0),Raw_Data[[#This Row],[Units_Sold]]/Raw_Data[[#This Row],[Opening_Stock]],"")</f>
        <v>0.7857142857142857</v>
      </c>
      <c r="L4" t="str">
        <f>IF(NOT(ISNUMBER(Raw_Data[[#This Row],[Sell_through%]])),"Check",IF(Raw_Data[[#This Row],[Sell_through%]]=0,"Non-moving",IF(Raw_Data[[#This Row],[Sell_through%]]&gt;=0.6,"Fast","Slow")))</f>
        <v>Fast</v>
      </c>
      <c r="M4">
        <f>IF(AND(ISNUMBER(Raw_Data[[#This Row],[Closing_Stock]]),ISNUMBER(Raw_Data[[#This Row],[Unit_Cost]])),Raw_Data[[#This Row],[Closing_Stock]]*Raw_Data[[#This Row],[Unit_Cost]],"")</f>
        <v>15375</v>
      </c>
      <c r="N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 spans="1:14" x14ac:dyDescent="0.3">
      <c r="A5" t="s">
        <v>22</v>
      </c>
      <c r="B5" t="s">
        <v>23</v>
      </c>
      <c r="C5" t="s">
        <v>35</v>
      </c>
      <c r="D5" t="s">
        <v>36</v>
      </c>
      <c r="E5" s="3">
        <v>46088</v>
      </c>
      <c r="F5">
        <v>486</v>
      </c>
      <c r="G5">
        <v>394</v>
      </c>
      <c r="H5">
        <v>92</v>
      </c>
      <c r="I5">
        <v>1492</v>
      </c>
      <c r="J5" t="s">
        <v>14</v>
      </c>
      <c r="K5" s="4">
        <f>IF(AND(ISNUMBER(Raw_Data[[#This Row],[Opening_Stock]]),ISNUMBER(Raw_Data[[#This Row],[Units_Sold]]),Raw_Data[[#This Row],[Opening_Stock]]&gt;0),Raw_Data[[#This Row],[Units_Sold]]/Raw_Data[[#This Row],[Opening_Stock]],"")</f>
        <v>0.81069958847736623</v>
      </c>
      <c r="L5" t="str">
        <f>IF(NOT(ISNUMBER(Raw_Data[[#This Row],[Sell_through%]])),"Check",IF(Raw_Data[[#This Row],[Sell_through%]]=0,"Non-moving",IF(Raw_Data[[#This Row],[Sell_through%]]&gt;=0.6,"Fast","Slow")))</f>
        <v>Fast</v>
      </c>
      <c r="M5">
        <f>IF(AND(ISNUMBER(Raw_Data[[#This Row],[Closing_Stock]]),ISNUMBER(Raw_Data[[#This Row],[Unit_Cost]])),Raw_Data[[#This Row],[Closing_Stock]]*Raw_Data[[#This Row],[Unit_Cost]],"")</f>
        <v>137264</v>
      </c>
      <c r="N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 spans="1:14" x14ac:dyDescent="0.3">
      <c r="A6" t="s">
        <v>26</v>
      </c>
      <c r="B6" t="s">
        <v>27</v>
      </c>
      <c r="C6" t="s">
        <v>28</v>
      </c>
      <c r="D6" t="s">
        <v>21</v>
      </c>
      <c r="E6" s="3">
        <v>46066</v>
      </c>
      <c r="F6">
        <v>206</v>
      </c>
      <c r="G6">
        <v>52</v>
      </c>
      <c r="H6">
        <v>154</v>
      </c>
      <c r="I6">
        <v>504</v>
      </c>
      <c r="J6" t="s">
        <v>14</v>
      </c>
      <c r="K6" s="4">
        <f>IF(AND(ISNUMBER(Raw_Data[[#This Row],[Opening_Stock]]),ISNUMBER(Raw_Data[[#This Row],[Units_Sold]]),Raw_Data[[#This Row],[Opening_Stock]]&gt;0),Raw_Data[[#This Row],[Units_Sold]]/Raw_Data[[#This Row],[Opening_Stock]],"")</f>
        <v>0.25242718446601942</v>
      </c>
      <c r="L6" t="str">
        <f>IF(NOT(ISNUMBER(Raw_Data[[#This Row],[Sell_through%]])),"Check",IF(Raw_Data[[#This Row],[Sell_through%]]=0,"Non-moving",IF(Raw_Data[[#This Row],[Sell_through%]]&gt;=0.6,"Fast","Slow")))</f>
        <v>Slow</v>
      </c>
      <c r="M6">
        <f>IF(AND(ISNUMBER(Raw_Data[[#This Row],[Closing_Stock]]),ISNUMBER(Raw_Data[[#This Row],[Unit_Cost]])),Raw_Data[[#This Row],[Closing_Stock]]*Raw_Data[[#This Row],[Unit_Cost]],"")</f>
        <v>77616</v>
      </c>
      <c r="N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 spans="1:14" x14ac:dyDescent="0.3">
      <c r="A7" t="s">
        <v>29</v>
      </c>
      <c r="B7" t="s">
        <v>30</v>
      </c>
      <c r="C7" t="s">
        <v>31</v>
      </c>
      <c r="D7" t="s">
        <v>32</v>
      </c>
      <c r="E7" s="3">
        <v>46210</v>
      </c>
      <c r="F7">
        <v>250</v>
      </c>
      <c r="G7">
        <v>212</v>
      </c>
      <c r="H7">
        <v>38</v>
      </c>
      <c r="I7">
        <v>731</v>
      </c>
      <c r="J7" t="s">
        <v>17</v>
      </c>
      <c r="K7" s="4">
        <f>IF(AND(ISNUMBER(Raw_Data[[#This Row],[Opening_Stock]]),ISNUMBER(Raw_Data[[#This Row],[Units_Sold]]),Raw_Data[[#This Row],[Opening_Stock]]&gt;0),Raw_Data[[#This Row],[Units_Sold]]/Raw_Data[[#This Row],[Opening_Stock]],"")</f>
        <v>0.84799999999999998</v>
      </c>
      <c r="L7" t="str">
        <f>IF(NOT(ISNUMBER(Raw_Data[[#This Row],[Sell_through%]])),"Check",IF(Raw_Data[[#This Row],[Sell_through%]]=0,"Non-moving",IF(Raw_Data[[#This Row],[Sell_through%]]&gt;=0.6,"Fast","Slow")))</f>
        <v>Fast</v>
      </c>
      <c r="M7">
        <f>IF(AND(ISNUMBER(Raw_Data[[#This Row],[Closing_Stock]]),ISNUMBER(Raw_Data[[#This Row],[Unit_Cost]])),Raw_Data[[#This Row],[Closing_Stock]]*Raw_Data[[#This Row],[Unit_Cost]],"")</f>
        <v>27778</v>
      </c>
      <c r="N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 spans="1:14" x14ac:dyDescent="0.3">
      <c r="A8" t="s">
        <v>33</v>
      </c>
      <c r="B8" t="s">
        <v>34</v>
      </c>
      <c r="C8" t="s">
        <v>35</v>
      </c>
      <c r="D8" t="s">
        <v>36</v>
      </c>
      <c r="E8" s="3">
        <v>46221</v>
      </c>
      <c r="F8">
        <v>66</v>
      </c>
      <c r="G8">
        <v>16</v>
      </c>
      <c r="H8">
        <v>50</v>
      </c>
      <c r="I8">
        <v>479</v>
      </c>
      <c r="J8" t="s">
        <v>17</v>
      </c>
      <c r="K8" s="4">
        <f>IF(AND(ISNUMBER(Raw_Data[[#This Row],[Opening_Stock]]),ISNUMBER(Raw_Data[[#This Row],[Units_Sold]]),Raw_Data[[#This Row],[Opening_Stock]]&gt;0),Raw_Data[[#This Row],[Units_Sold]]/Raw_Data[[#This Row],[Opening_Stock]],"")</f>
        <v>0.24242424242424243</v>
      </c>
      <c r="L8" t="str">
        <f>IF(NOT(ISNUMBER(Raw_Data[[#This Row],[Sell_through%]])),"Check",IF(Raw_Data[[#This Row],[Sell_through%]]=0,"Non-moving",IF(Raw_Data[[#This Row],[Sell_through%]]&gt;=0.6,"Fast","Slow")))</f>
        <v>Slow</v>
      </c>
      <c r="M8">
        <f>IF(AND(ISNUMBER(Raw_Data[[#This Row],[Closing_Stock]]),ISNUMBER(Raw_Data[[#This Row],[Unit_Cost]])),Raw_Data[[#This Row],[Closing_Stock]]*Raw_Data[[#This Row],[Unit_Cost]],"")</f>
        <v>23950</v>
      </c>
      <c r="N8"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9" spans="1:14" x14ac:dyDescent="0.3">
      <c r="A9" t="s">
        <v>38</v>
      </c>
      <c r="B9" t="s">
        <v>1342</v>
      </c>
      <c r="C9" t="s">
        <v>28</v>
      </c>
      <c r="D9" t="s">
        <v>13</v>
      </c>
      <c r="E9" s="3">
        <v>46127</v>
      </c>
      <c r="F9">
        <v>291</v>
      </c>
      <c r="G9">
        <v>287</v>
      </c>
      <c r="I9">
        <v>317</v>
      </c>
      <c r="J9" t="s">
        <v>17</v>
      </c>
      <c r="K9" s="4">
        <f>IF(AND(ISNUMBER(Raw_Data[[#This Row],[Opening_Stock]]),ISNUMBER(Raw_Data[[#This Row],[Units_Sold]]),Raw_Data[[#This Row],[Opening_Stock]]&gt;0),Raw_Data[[#This Row],[Units_Sold]]/Raw_Data[[#This Row],[Opening_Stock]],"")</f>
        <v>0.9862542955326461</v>
      </c>
      <c r="L9" t="str">
        <f>IF(NOT(ISNUMBER(Raw_Data[[#This Row],[Sell_through%]])),"Check",IF(Raw_Data[[#This Row],[Sell_through%]]=0,"Non-moving",IF(Raw_Data[[#This Row],[Sell_through%]]&gt;=0.6,"Fast","Slow")))</f>
        <v>Fast</v>
      </c>
      <c r="M9" t="str">
        <f>IF(AND(ISNUMBER(Raw_Data[[#This Row],[Closing_Stock]]),ISNUMBER(Raw_Data[[#This Row],[Unit_Cost]])),Raw_Data[[#This Row],[Closing_Stock]]*Raw_Data[[#This Row],[Unit_Cost]],"")</f>
        <v/>
      </c>
      <c r="N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0" spans="1:14" x14ac:dyDescent="0.3">
      <c r="A10" t="s">
        <v>40</v>
      </c>
      <c r="B10" t="s">
        <v>41</v>
      </c>
      <c r="C10" t="s">
        <v>49</v>
      </c>
      <c r="D10" t="s">
        <v>13</v>
      </c>
      <c r="E10" s="3">
        <v>46217</v>
      </c>
      <c r="F10">
        <v>280</v>
      </c>
      <c r="G10">
        <v>256</v>
      </c>
      <c r="H10">
        <v>24</v>
      </c>
      <c r="I10">
        <v>2097</v>
      </c>
      <c r="J10" t="s">
        <v>17</v>
      </c>
      <c r="K10" s="4">
        <f>IF(AND(ISNUMBER(Raw_Data[[#This Row],[Opening_Stock]]),ISNUMBER(Raw_Data[[#This Row],[Units_Sold]]),Raw_Data[[#This Row],[Opening_Stock]]&gt;0),Raw_Data[[#This Row],[Units_Sold]]/Raw_Data[[#This Row],[Opening_Stock]],"")</f>
        <v>0.91428571428571426</v>
      </c>
      <c r="L10" t="str">
        <f>IF(NOT(ISNUMBER(Raw_Data[[#This Row],[Sell_through%]])),"Check",IF(Raw_Data[[#This Row],[Sell_through%]]=0,"Non-moving",IF(Raw_Data[[#This Row],[Sell_through%]]&gt;=0.6,"Fast","Slow")))</f>
        <v>Fast</v>
      </c>
      <c r="M10">
        <f>IF(AND(ISNUMBER(Raw_Data[[#This Row],[Closing_Stock]]),ISNUMBER(Raw_Data[[#This Row],[Unit_Cost]])),Raw_Data[[#This Row],[Closing_Stock]]*Raw_Data[[#This Row],[Unit_Cost]],"")</f>
        <v>50328</v>
      </c>
      <c r="N1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1" spans="1:14" x14ac:dyDescent="0.3">
      <c r="A11" t="s">
        <v>44</v>
      </c>
      <c r="B11" t="s">
        <v>45</v>
      </c>
      <c r="C11" t="s">
        <v>35</v>
      </c>
      <c r="D11" t="s">
        <v>13</v>
      </c>
      <c r="E11" s="3">
        <v>46002</v>
      </c>
      <c r="F11">
        <v>410</v>
      </c>
      <c r="G11">
        <v>316</v>
      </c>
      <c r="H11">
        <v>94</v>
      </c>
      <c r="I11">
        <v>1746</v>
      </c>
      <c r="J11" t="s">
        <v>14</v>
      </c>
      <c r="K11" s="4">
        <f>IF(AND(ISNUMBER(Raw_Data[[#This Row],[Opening_Stock]]),ISNUMBER(Raw_Data[[#This Row],[Units_Sold]]),Raw_Data[[#This Row],[Opening_Stock]]&gt;0),Raw_Data[[#This Row],[Units_Sold]]/Raw_Data[[#This Row],[Opening_Stock]],"")</f>
        <v>0.77073170731707319</v>
      </c>
      <c r="L11" t="str">
        <f>IF(NOT(ISNUMBER(Raw_Data[[#This Row],[Sell_through%]])),"Check",IF(Raw_Data[[#This Row],[Sell_through%]]=0,"Non-moving",IF(Raw_Data[[#This Row],[Sell_through%]]&gt;=0.6,"Fast","Slow")))</f>
        <v>Fast</v>
      </c>
      <c r="M11">
        <f>IF(AND(ISNUMBER(Raw_Data[[#This Row],[Closing_Stock]]),ISNUMBER(Raw_Data[[#This Row],[Unit_Cost]])),Raw_Data[[#This Row],[Closing_Stock]]*Raw_Data[[#This Row],[Unit_Cost]],"")</f>
        <v>164124</v>
      </c>
      <c r="N1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12" spans="1:14" x14ac:dyDescent="0.3">
      <c r="A12" t="s">
        <v>47</v>
      </c>
      <c r="B12" t="s">
        <v>48</v>
      </c>
      <c r="C12" t="s">
        <v>49</v>
      </c>
      <c r="D12" t="s">
        <v>21</v>
      </c>
      <c r="E12" s="3">
        <v>46214</v>
      </c>
      <c r="F12">
        <v>235</v>
      </c>
      <c r="G12">
        <v>56</v>
      </c>
      <c r="H12">
        <v>179</v>
      </c>
      <c r="I12">
        <v>1255</v>
      </c>
      <c r="J12" t="s">
        <v>14</v>
      </c>
      <c r="K12" s="4">
        <f>IF(AND(ISNUMBER(Raw_Data[[#This Row],[Opening_Stock]]),ISNUMBER(Raw_Data[[#This Row],[Units_Sold]]),Raw_Data[[#This Row],[Opening_Stock]]&gt;0),Raw_Data[[#This Row],[Units_Sold]]/Raw_Data[[#This Row],[Opening_Stock]],"")</f>
        <v>0.23829787234042554</v>
      </c>
      <c r="L12" t="str">
        <f>IF(NOT(ISNUMBER(Raw_Data[[#This Row],[Sell_through%]])),"Check",IF(Raw_Data[[#This Row],[Sell_through%]]=0,"Non-moving",IF(Raw_Data[[#This Row],[Sell_through%]]&gt;=0.6,"Fast","Slow")))</f>
        <v>Slow</v>
      </c>
      <c r="M12">
        <f>IF(AND(ISNUMBER(Raw_Data[[#This Row],[Closing_Stock]]),ISNUMBER(Raw_Data[[#This Row],[Unit_Cost]])),Raw_Data[[#This Row],[Closing_Stock]]*Raw_Data[[#This Row],[Unit_Cost]],"")</f>
        <v>224645</v>
      </c>
      <c r="N1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3" spans="1:14" x14ac:dyDescent="0.3">
      <c r="A13" t="s">
        <v>50</v>
      </c>
      <c r="B13" t="s">
        <v>51</v>
      </c>
      <c r="C13" t="s">
        <v>49</v>
      </c>
      <c r="D13" t="s">
        <v>36</v>
      </c>
      <c r="E13" s="3"/>
      <c r="F13">
        <v>411</v>
      </c>
      <c r="G13">
        <v>0</v>
      </c>
      <c r="H13">
        <v>411</v>
      </c>
      <c r="I13">
        <v>1104</v>
      </c>
      <c r="J13" t="s">
        <v>14</v>
      </c>
      <c r="K13" s="4">
        <f>IF(AND(ISNUMBER(Raw_Data[[#This Row],[Opening_Stock]]),ISNUMBER(Raw_Data[[#This Row],[Units_Sold]]),Raw_Data[[#This Row],[Opening_Stock]]&gt;0),Raw_Data[[#This Row],[Units_Sold]]/Raw_Data[[#This Row],[Opening_Stock]],"")</f>
        <v>0</v>
      </c>
      <c r="L13" t="str">
        <f>IF(NOT(ISNUMBER(Raw_Data[[#This Row],[Sell_through%]])),"Check",IF(Raw_Data[[#This Row],[Sell_through%]]=0,"Non-moving",IF(Raw_Data[[#This Row],[Sell_through%]]&gt;=0.6,"Fast","Slow")))</f>
        <v>Non-moving</v>
      </c>
      <c r="M13">
        <f>IF(AND(ISNUMBER(Raw_Data[[#This Row],[Closing_Stock]]),ISNUMBER(Raw_Data[[#This Row],[Unit_Cost]])),Raw_Data[[#This Row],[Closing_Stock]]*Raw_Data[[#This Row],[Unit_Cost]],"")</f>
        <v>453744</v>
      </c>
      <c r="N1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4" spans="1:14" x14ac:dyDescent="0.3">
      <c r="A14" t="s">
        <v>53</v>
      </c>
      <c r="B14" t="s">
        <v>54</v>
      </c>
      <c r="C14" t="s">
        <v>31</v>
      </c>
      <c r="D14" t="s">
        <v>36</v>
      </c>
      <c r="E14" s="3">
        <v>46145</v>
      </c>
      <c r="F14">
        <v>187</v>
      </c>
      <c r="G14">
        <v>60</v>
      </c>
      <c r="H14">
        <v>127</v>
      </c>
      <c r="I14">
        <v>2167</v>
      </c>
      <c r="J14" t="s">
        <v>14</v>
      </c>
      <c r="K14" s="4">
        <f>IF(AND(ISNUMBER(Raw_Data[[#This Row],[Opening_Stock]]),ISNUMBER(Raw_Data[[#This Row],[Units_Sold]]),Raw_Data[[#This Row],[Opening_Stock]]&gt;0),Raw_Data[[#This Row],[Units_Sold]]/Raw_Data[[#This Row],[Opening_Stock]],"")</f>
        <v>0.32085561497326204</v>
      </c>
      <c r="L14" t="str">
        <f>IF(NOT(ISNUMBER(Raw_Data[[#This Row],[Sell_through%]])),"Check",IF(Raw_Data[[#This Row],[Sell_through%]]=0,"Non-moving",IF(Raw_Data[[#This Row],[Sell_through%]]&gt;=0.6,"Fast","Slow")))</f>
        <v>Slow</v>
      </c>
      <c r="M14">
        <f>IF(AND(ISNUMBER(Raw_Data[[#This Row],[Closing_Stock]]),ISNUMBER(Raw_Data[[#This Row],[Unit_Cost]])),Raw_Data[[#This Row],[Closing_Stock]]*Raw_Data[[#This Row],[Unit_Cost]],"")</f>
        <v>275209</v>
      </c>
      <c r="N1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5" spans="1:14" x14ac:dyDescent="0.3">
      <c r="A15" t="s">
        <v>55</v>
      </c>
      <c r="B15" t="s">
        <v>34</v>
      </c>
      <c r="C15" t="s">
        <v>35</v>
      </c>
      <c r="D15" t="s">
        <v>21</v>
      </c>
      <c r="E15" s="3">
        <v>46181</v>
      </c>
      <c r="F15">
        <v>69</v>
      </c>
      <c r="G15">
        <v>58</v>
      </c>
      <c r="H15">
        <v>11</v>
      </c>
      <c r="I15">
        <v>198</v>
      </c>
      <c r="J15" t="s">
        <v>17</v>
      </c>
      <c r="K15" s="4">
        <f>IF(AND(ISNUMBER(Raw_Data[[#This Row],[Opening_Stock]]),ISNUMBER(Raw_Data[[#This Row],[Units_Sold]]),Raw_Data[[#This Row],[Opening_Stock]]&gt;0),Raw_Data[[#This Row],[Units_Sold]]/Raw_Data[[#This Row],[Opening_Stock]],"")</f>
        <v>0.84057971014492749</v>
      </c>
      <c r="L15" t="str">
        <f>IF(NOT(ISNUMBER(Raw_Data[[#This Row],[Sell_through%]])),"Check",IF(Raw_Data[[#This Row],[Sell_through%]]=0,"Non-moving",IF(Raw_Data[[#This Row],[Sell_through%]]&gt;=0.6,"Fast","Slow")))</f>
        <v>Fast</v>
      </c>
      <c r="M15">
        <f>IF(AND(ISNUMBER(Raw_Data[[#This Row],[Closing_Stock]]),ISNUMBER(Raw_Data[[#This Row],[Unit_Cost]])),Raw_Data[[#This Row],[Closing_Stock]]*Raw_Data[[#This Row],[Unit_Cost]],"")</f>
        <v>2178</v>
      </c>
      <c r="N15"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6" spans="1:14" x14ac:dyDescent="0.3">
      <c r="A16" t="s">
        <v>56</v>
      </c>
      <c r="B16" t="s">
        <v>57</v>
      </c>
      <c r="C16" t="s">
        <v>28</v>
      </c>
      <c r="D16" t="s">
        <v>13</v>
      </c>
      <c r="E16" s="3"/>
      <c r="F16">
        <v>375</v>
      </c>
      <c r="G16">
        <v>0</v>
      </c>
      <c r="H16">
        <v>375</v>
      </c>
      <c r="I16">
        <v>697</v>
      </c>
      <c r="J16" t="s">
        <v>14</v>
      </c>
      <c r="K16" s="4">
        <f>IF(AND(ISNUMBER(Raw_Data[[#This Row],[Opening_Stock]]),ISNUMBER(Raw_Data[[#This Row],[Units_Sold]]),Raw_Data[[#This Row],[Opening_Stock]]&gt;0),Raw_Data[[#This Row],[Units_Sold]]/Raw_Data[[#This Row],[Opening_Stock]],"")</f>
        <v>0</v>
      </c>
      <c r="L16" t="str">
        <f>IF(NOT(ISNUMBER(Raw_Data[[#This Row],[Sell_through%]])),"Check",IF(Raw_Data[[#This Row],[Sell_through%]]=0,"Non-moving",IF(Raw_Data[[#This Row],[Sell_through%]]&gt;=0.6,"Fast","Slow")))</f>
        <v>Non-moving</v>
      </c>
      <c r="M16">
        <f>IF(AND(ISNUMBER(Raw_Data[[#This Row],[Closing_Stock]]),ISNUMBER(Raw_Data[[#This Row],[Unit_Cost]])),Raw_Data[[#This Row],[Closing_Stock]]*Raw_Data[[#This Row],[Unit_Cost]],"")</f>
        <v>261375</v>
      </c>
      <c r="N1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7" spans="1:14" x14ac:dyDescent="0.3">
      <c r="A17" t="s">
        <v>59</v>
      </c>
      <c r="B17" t="s">
        <v>60</v>
      </c>
      <c r="C17" t="s">
        <v>28</v>
      </c>
      <c r="D17" t="s">
        <v>32</v>
      </c>
      <c r="E17" s="3"/>
      <c r="F17">
        <v>348</v>
      </c>
      <c r="G17">
        <v>0</v>
      </c>
      <c r="H17">
        <v>348</v>
      </c>
      <c r="I17">
        <v>146</v>
      </c>
      <c r="J17" t="s">
        <v>14</v>
      </c>
      <c r="K17" s="4">
        <f>IF(AND(ISNUMBER(Raw_Data[[#This Row],[Opening_Stock]]),ISNUMBER(Raw_Data[[#This Row],[Units_Sold]]),Raw_Data[[#This Row],[Opening_Stock]]&gt;0),Raw_Data[[#This Row],[Units_Sold]]/Raw_Data[[#This Row],[Opening_Stock]],"")</f>
        <v>0</v>
      </c>
      <c r="L17" t="str">
        <f>IF(NOT(ISNUMBER(Raw_Data[[#This Row],[Sell_through%]])),"Check",IF(Raw_Data[[#This Row],[Sell_through%]]=0,"Non-moving",IF(Raw_Data[[#This Row],[Sell_through%]]&gt;=0.6,"Fast","Slow")))</f>
        <v>Non-moving</v>
      </c>
      <c r="M17">
        <f>IF(AND(ISNUMBER(Raw_Data[[#This Row],[Closing_Stock]]),ISNUMBER(Raw_Data[[#This Row],[Unit_Cost]])),Raw_Data[[#This Row],[Closing_Stock]]*Raw_Data[[#This Row],[Unit_Cost]],"")</f>
        <v>50808</v>
      </c>
      <c r="N1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8" spans="1:14" x14ac:dyDescent="0.3">
      <c r="A18" t="s">
        <v>61</v>
      </c>
      <c r="B18" t="s">
        <v>62</v>
      </c>
      <c r="C18" t="s">
        <v>49</v>
      </c>
      <c r="D18" t="s">
        <v>36</v>
      </c>
      <c r="E18" s="3"/>
      <c r="F18">
        <v>450</v>
      </c>
      <c r="G18">
        <v>0</v>
      </c>
      <c r="H18">
        <v>450</v>
      </c>
      <c r="I18">
        <v>1593</v>
      </c>
      <c r="J18" t="s">
        <v>14</v>
      </c>
      <c r="K18" s="4">
        <f>IF(AND(ISNUMBER(Raw_Data[[#This Row],[Opening_Stock]]),ISNUMBER(Raw_Data[[#This Row],[Units_Sold]]),Raw_Data[[#This Row],[Opening_Stock]]&gt;0),Raw_Data[[#This Row],[Units_Sold]]/Raw_Data[[#This Row],[Opening_Stock]],"")</f>
        <v>0</v>
      </c>
      <c r="L18" t="str">
        <f>IF(NOT(ISNUMBER(Raw_Data[[#This Row],[Sell_through%]])),"Check",IF(Raw_Data[[#This Row],[Sell_through%]]=0,"Non-moving",IF(Raw_Data[[#This Row],[Sell_through%]]&gt;=0.6,"Fast","Slow")))</f>
        <v>Non-moving</v>
      </c>
      <c r="M18">
        <f>IF(AND(ISNUMBER(Raw_Data[[#This Row],[Closing_Stock]]),ISNUMBER(Raw_Data[[#This Row],[Unit_Cost]])),Raw_Data[[#This Row],[Closing_Stock]]*Raw_Data[[#This Row],[Unit_Cost]],"")</f>
        <v>716850</v>
      </c>
      <c r="N1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9" spans="1:14" x14ac:dyDescent="0.3">
      <c r="A19" t="s">
        <v>64</v>
      </c>
      <c r="B19" t="s">
        <v>65</v>
      </c>
      <c r="C19" t="s">
        <v>49</v>
      </c>
      <c r="D19" t="s">
        <v>21</v>
      </c>
      <c r="E19" s="3">
        <v>46154</v>
      </c>
      <c r="G19">
        <v>51</v>
      </c>
      <c r="H19">
        <v>291</v>
      </c>
      <c r="I19">
        <v>2879</v>
      </c>
      <c r="J19" t="s">
        <v>14</v>
      </c>
      <c r="K19" s="4" t="str">
        <f>IF(AND(ISNUMBER(Raw_Data[[#This Row],[Opening_Stock]]),ISNUMBER(Raw_Data[[#This Row],[Units_Sold]]),Raw_Data[[#This Row],[Opening_Stock]]&gt;0),Raw_Data[[#This Row],[Units_Sold]]/Raw_Data[[#This Row],[Opening_Stock]],"")</f>
        <v/>
      </c>
      <c r="L19" t="str">
        <f>IF(NOT(ISNUMBER(Raw_Data[[#This Row],[Sell_through%]])),"Check",IF(Raw_Data[[#This Row],[Sell_through%]]=0,"Non-moving",IF(Raw_Data[[#This Row],[Sell_through%]]&gt;=0.6,"Fast","Slow")))</f>
        <v>Check</v>
      </c>
      <c r="M19">
        <f>IF(AND(ISNUMBER(Raw_Data[[#This Row],[Closing_Stock]]),ISNUMBER(Raw_Data[[#This Row],[Unit_Cost]])),Raw_Data[[#This Row],[Closing_Stock]]*Raw_Data[[#This Row],[Unit_Cost]],"")</f>
        <v>837789</v>
      </c>
      <c r="N1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0" spans="1:14" x14ac:dyDescent="0.3">
      <c r="A20" t="s">
        <v>66</v>
      </c>
      <c r="B20" t="s">
        <v>67</v>
      </c>
      <c r="C20" t="s">
        <v>31</v>
      </c>
      <c r="D20" t="s">
        <v>32</v>
      </c>
      <c r="E20" s="3">
        <v>46150</v>
      </c>
      <c r="F20">
        <v>104</v>
      </c>
      <c r="G20">
        <v>74</v>
      </c>
      <c r="H20">
        <v>30</v>
      </c>
      <c r="I20">
        <v>394</v>
      </c>
      <c r="J20" t="s">
        <v>17</v>
      </c>
      <c r="K20" s="4">
        <f>IF(AND(ISNUMBER(Raw_Data[[#This Row],[Opening_Stock]]),ISNUMBER(Raw_Data[[#This Row],[Units_Sold]]),Raw_Data[[#This Row],[Opening_Stock]]&gt;0),Raw_Data[[#This Row],[Units_Sold]]/Raw_Data[[#This Row],[Opening_Stock]],"")</f>
        <v>0.71153846153846156</v>
      </c>
      <c r="L20" t="str">
        <f>IF(NOT(ISNUMBER(Raw_Data[[#This Row],[Sell_through%]])),"Check",IF(Raw_Data[[#This Row],[Sell_through%]]=0,"Non-moving",IF(Raw_Data[[#This Row],[Sell_through%]]&gt;=0.6,"Fast","Slow")))</f>
        <v>Fast</v>
      </c>
      <c r="M20">
        <f>IF(AND(ISNUMBER(Raw_Data[[#This Row],[Closing_Stock]]),ISNUMBER(Raw_Data[[#This Row],[Unit_Cost]])),Raw_Data[[#This Row],[Closing_Stock]]*Raw_Data[[#This Row],[Unit_Cost]],"")</f>
        <v>11820</v>
      </c>
      <c r="N2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1" spans="1:14" x14ac:dyDescent="0.3">
      <c r="A21" t="s">
        <v>69</v>
      </c>
      <c r="B21" t="s">
        <v>23</v>
      </c>
      <c r="C21" t="s">
        <v>35</v>
      </c>
      <c r="D21" t="s">
        <v>13</v>
      </c>
      <c r="E21" s="3">
        <v>46085</v>
      </c>
      <c r="F21">
        <v>180</v>
      </c>
      <c r="G21">
        <v>38</v>
      </c>
      <c r="H21">
        <v>142</v>
      </c>
      <c r="I21">
        <v>2718</v>
      </c>
      <c r="J21" t="s">
        <v>14</v>
      </c>
      <c r="K21" s="4">
        <f>IF(AND(ISNUMBER(Raw_Data[[#This Row],[Opening_Stock]]),ISNUMBER(Raw_Data[[#This Row],[Units_Sold]]),Raw_Data[[#This Row],[Opening_Stock]]&gt;0),Raw_Data[[#This Row],[Units_Sold]]/Raw_Data[[#This Row],[Opening_Stock]],"")</f>
        <v>0.21111111111111111</v>
      </c>
      <c r="L21" t="str">
        <f>IF(NOT(ISNUMBER(Raw_Data[[#This Row],[Sell_through%]])),"Check",IF(Raw_Data[[#This Row],[Sell_through%]]=0,"Non-moving",IF(Raw_Data[[#This Row],[Sell_through%]]&gt;=0.6,"Fast","Slow")))</f>
        <v>Slow</v>
      </c>
      <c r="M21">
        <f>IF(AND(ISNUMBER(Raw_Data[[#This Row],[Closing_Stock]]),ISNUMBER(Raw_Data[[#This Row],[Unit_Cost]])),Raw_Data[[#This Row],[Closing_Stock]]*Raw_Data[[#This Row],[Unit_Cost]],"")</f>
        <v>385956</v>
      </c>
      <c r="N2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2" spans="1:14" x14ac:dyDescent="0.3">
      <c r="A22" t="s">
        <v>70</v>
      </c>
      <c r="B22" t="s">
        <v>71</v>
      </c>
      <c r="C22" t="s">
        <v>35</v>
      </c>
      <c r="D22" t="s">
        <v>13</v>
      </c>
      <c r="E22" s="3"/>
      <c r="F22">
        <v>461</v>
      </c>
      <c r="G22">
        <v>0</v>
      </c>
      <c r="H22">
        <v>461</v>
      </c>
      <c r="I22">
        <v>2762</v>
      </c>
      <c r="J22" t="s">
        <v>14</v>
      </c>
      <c r="K22" s="4">
        <f>IF(AND(ISNUMBER(Raw_Data[[#This Row],[Opening_Stock]]),ISNUMBER(Raw_Data[[#This Row],[Units_Sold]]),Raw_Data[[#This Row],[Opening_Stock]]&gt;0),Raw_Data[[#This Row],[Units_Sold]]/Raw_Data[[#This Row],[Opening_Stock]],"")</f>
        <v>0</v>
      </c>
      <c r="L22" t="str">
        <f>IF(NOT(ISNUMBER(Raw_Data[[#This Row],[Sell_through%]])),"Check",IF(Raw_Data[[#This Row],[Sell_through%]]=0,"Non-moving",IF(Raw_Data[[#This Row],[Sell_through%]]&gt;=0.6,"Fast","Slow")))</f>
        <v>Non-moving</v>
      </c>
      <c r="M22">
        <f>IF(AND(ISNUMBER(Raw_Data[[#This Row],[Closing_Stock]]),ISNUMBER(Raw_Data[[#This Row],[Unit_Cost]])),Raw_Data[[#This Row],[Closing_Stock]]*Raw_Data[[#This Row],[Unit_Cost]],"")</f>
        <v>1273282</v>
      </c>
      <c r="N2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3" spans="1:14" x14ac:dyDescent="0.3">
      <c r="A23" t="s">
        <v>72</v>
      </c>
      <c r="B23" t="s">
        <v>73</v>
      </c>
      <c r="C23" t="s">
        <v>49</v>
      </c>
      <c r="D23" t="s">
        <v>13</v>
      </c>
      <c r="E23" s="3">
        <v>46031</v>
      </c>
      <c r="F23">
        <v>477</v>
      </c>
      <c r="G23">
        <v>408</v>
      </c>
      <c r="H23">
        <v>69</v>
      </c>
      <c r="I23">
        <v>1823</v>
      </c>
      <c r="J23" t="s">
        <v>14</v>
      </c>
      <c r="K23" s="4">
        <f>IF(AND(ISNUMBER(Raw_Data[[#This Row],[Opening_Stock]]),ISNUMBER(Raw_Data[[#This Row],[Units_Sold]]),Raw_Data[[#This Row],[Opening_Stock]]&gt;0),Raw_Data[[#This Row],[Units_Sold]]/Raw_Data[[#This Row],[Opening_Stock]],"")</f>
        <v>0.85534591194968557</v>
      </c>
      <c r="L23" t="str">
        <f>IF(NOT(ISNUMBER(Raw_Data[[#This Row],[Sell_through%]])),"Check",IF(Raw_Data[[#This Row],[Sell_through%]]=0,"Non-moving",IF(Raw_Data[[#This Row],[Sell_through%]]&gt;=0.6,"Fast","Slow")))</f>
        <v>Fast</v>
      </c>
      <c r="M23">
        <f>IF(AND(ISNUMBER(Raw_Data[[#This Row],[Closing_Stock]]),ISNUMBER(Raw_Data[[#This Row],[Unit_Cost]])),Raw_Data[[#This Row],[Closing_Stock]]*Raw_Data[[#This Row],[Unit_Cost]],"")</f>
        <v>125787</v>
      </c>
      <c r="N2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4" spans="1:14" x14ac:dyDescent="0.3">
      <c r="A24" t="s">
        <v>76</v>
      </c>
      <c r="B24" t="s">
        <v>73</v>
      </c>
      <c r="C24" t="s">
        <v>49</v>
      </c>
      <c r="D24" t="s">
        <v>21</v>
      </c>
      <c r="E24" s="3"/>
      <c r="F24">
        <v>354</v>
      </c>
      <c r="G24">
        <v>0</v>
      </c>
      <c r="H24">
        <v>354</v>
      </c>
      <c r="I24">
        <v>339</v>
      </c>
      <c r="J24" t="s">
        <v>14</v>
      </c>
      <c r="K24" s="4">
        <f>IF(AND(ISNUMBER(Raw_Data[[#This Row],[Opening_Stock]]),ISNUMBER(Raw_Data[[#This Row],[Units_Sold]]),Raw_Data[[#This Row],[Opening_Stock]]&gt;0),Raw_Data[[#This Row],[Units_Sold]]/Raw_Data[[#This Row],[Opening_Stock]],"")</f>
        <v>0</v>
      </c>
      <c r="L24" t="str">
        <f>IF(NOT(ISNUMBER(Raw_Data[[#This Row],[Sell_through%]])),"Check",IF(Raw_Data[[#This Row],[Sell_through%]]=0,"Non-moving",IF(Raw_Data[[#This Row],[Sell_through%]]&gt;=0.6,"Fast","Slow")))</f>
        <v>Non-moving</v>
      </c>
      <c r="M24">
        <f>IF(AND(ISNUMBER(Raw_Data[[#This Row],[Closing_Stock]]),ISNUMBER(Raw_Data[[#This Row],[Unit_Cost]])),Raw_Data[[#This Row],[Closing_Stock]]*Raw_Data[[#This Row],[Unit_Cost]],"")</f>
        <v>120006</v>
      </c>
      <c r="N2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5" spans="1:14" x14ac:dyDescent="0.3">
      <c r="A25" t="s">
        <v>77</v>
      </c>
      <c r="B25" t="s">
        <v>78</v>
      </c>
      <c r="C25" t="s">
        <v>35</v>
      </c>
      <c r="D25" t="s">
        <v>36</v>
      </c>
      <c r="E25" s="3"/>
      <c r="F25">
        <v>331</v>
      </c>
      <c r="G25">
        <v>0</v>
      </c>
      <c r="H25">
        <v>331</v>
      </c>
      <c r="I25">
        <v>332</v>
      </c>
      <c r="J25" t="s">
        <v>14</v>
      </c>
      <c r="K25" s="4">
        <f>IF(AND(ISNUMBER(Raw_Data[[#This Row],[Opening_Stock]]),ISNUMBER(Raw_Data[[#This Row],[Units_Sold]]),Raw_Data[[#This Row],[Opening_Stock]]&gt;0),Raw_Data[[#This Row],[Units_Sold]]/Raw_Data[[#This Row],[Opening_Stock]],"")</f>
        <v>0</v>
      </c>
      <c r="L25" t="str">
        <f>IF(NOT(ISNUMBER(Raw_Data[[#This Row],[Sell_through%]])),"Check",IF(Raw_Data[[#This Row],[Sell_through%]]=0,"Non-moving",IF(Raw_Data[[#This Row],[Sell_through%]]&gt;=0.6,"Fast","Slow")))</f>
        <v>Non-moving</v>
      </c>
      <c r="M25">
        <f>IF(AND(ISNUMBER(Raw_Data[[#This Row],[Closing_Stock]]),ISNUMBER(Raw_Data[[#This Row],[Unit_Cost]])),Raw_Data[[#This Row],[Closing_Stock]]*Raw_Data[[#This Row],[Unit_Cost]],"")</f>
        <v>109892</v>
      </c>
      <c r="N2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6" spans="1:14" x14ac:dyDescent="0.3">
      <c r="A26" t="s">
        <v>79</v>
      </c>
      <c r="B26" t="s">
        <v>80</v>
      </c>
      <c r="C26" t="s">
        <v>12</v>
      </c>
      <c r="D26" t="s">
        <v>36</v>
      </c>
      <c r="E26" s="3"/>
      <c r="F26">
        <v>55</v>
      </c>
      <c r="G26">
        <v>0</v>
      </c>
      <c r="H26">
        <v>55</v>
      </c>
      <c r="I26">
        <v>2983</v>
      </c>
      <c r="J26" t="s">
        <v>17</v>
      </c>
      <c r="K26" s="4">
        <f>IF(AND(ISNUMBER(Raw_Data[[#This Row],[Opening_Stock]]),ISNUMBER(Raw_Data[[#This Row],[Units_Sold]]),Raw_Data[[#This Row],[Opening_Stock]]&gt;0),Raw_Data[[#This Row],[Units_Sold]]/Raw_Data[[#This Row],[Opening_Stock]],"")</f>
        <v>0</v>
      </c>
      <c r="L26" t="str">
        <f>IF(NOT(ISNUMBER(Raw_Data[[#This Row],[Sell_through%]])),"Check",IF(Raw_Data[[#This Row],[Sell_through%]]=0,"Non-moving",IF(Raw_Data[[#This Row],[Sell_through%]]&gt;=0.6,"Fast","Slow")))</f>
        <v>Non-moving</v>
      </c>
      <c r="M26">
        <f>IF(AND(ISNUMBER(Raw_Data[[#This Row],[Closing_Stock]]),ISNUMBER(Raw_Data[[#This Row],[Unit_Cost]])),Raw_Data[[#This Row],[Closing_Stock]]*Raw_Data[[#This Row],[Unit_Cost]],"")</f>
        <v>164065</v>
      </c>
      <c r="N26"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7" spans="1:14" x14ac:dyDescent="0.3">
      <c r="A27" t="s">
        <v>82</v>
      </c>
      <c r="B27" t="s">
        <v>78</v>
      </c>
      <c r="C27" t="s">
        <v>35</v>
      </c>
      <c r="D27" t="s">
        <v>13</v>
      </c>
      <c r="E27" s="3">
        <v>46127</v>
      </c>
      <c r="F27">
        <v>222</v>
      </c>
      <c r="G27">
        <v>56</v>
      </c>
      <c r="H27">
        <v>166</v>
      </c>
      <c r="I27">
        <v>1631</v>
      </c>
      <c r="J27" t="s">
        <v>14</v>
      </c>
      <c r="K27" s="4">
        <f>IF(AND(ISNUMBER(Raw_Data[[#This Row],[Opening_Stock]]),ISNUMBER(Raw_Data[[#This Row],[Units_Sold]]),Raw_Data[[#This Row],[Opening_Stock]]&gt;0),Raw_Data[[#This Row],[Units_Sold]]/Raw_Data[[#This Row],[Opening_Stock]],"")</f>
        <v>0.25225225225225223</v>
      </c>
      <c r="L27" t="str">
        <f>IF(NOT(ISNUMBER(Raw_Data[[#This Row],[Sell_through%]])),"Check",IF(Raw_Data[[#This Row],[Sell_through%]]=0,"Non-moving",IF(Raw_Data[[#This Row],[Sell_through%]]&gt;=0.6,"Fast","Slow")))</f>
        <v>Slow</v>
      </c>
      <c r="M27">
        <f>IF(AND(ISNUMBER(Raw_Data[[#This Row],[Closing_Stock]]),ISNUMBER(Raw_Data[[#This Row],[Unit_Cost]])),Raw_Data[[#This Row],[Closing_Stock]]*Raw_Data[[#This Row],[Unit_Cost]],"")</f>
        <v>270746</v>
      </c>
      <c r="N2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8" spans="1:14" x14ac:dyDescent="0.3">
      <c r="A28" t="s">
        <v>83</v>
      </c>
      <c r="B28" t="s">
        <v>84</v>
      </c>
      <c r="C28" t="s">
        <v>28</v>
      </c>
      <c r="D28" t="s">
        <v>21</v>
      </c>
      <c r="E28" s="3">
        <v>46155</v>
      </c>
      <c r="F28">
        <v>103</v>
      </c>
      <c r="G28">
        <v>15</v>
      </c>
      <c r="H28">
        <v>88</v>
      </c>
      <c r="I28">
        <v>2172</v>
      </c>
      <c r="J28" t="s">
        <v>14</v>
      </c>
      <c r="K28" s="4">
        <f>IF(AND(ISNUMBER(Raw_Data[[#This Row],[Opening_Stock]]),ISNUMBER(Raw_Data[[#This Row],[Units_Sold]]),Raw_Data[[#This Row],[Opening_Stock]]&gt;0),Raw_Data[[#This Row],[Units_Sold]]/Raw_Data[[#This Row],[Opening_Stock]],"")</f>
        <v>0.14563106796116504</v>
      </c>
      <c r="L28" t="str">
        <f>IF(NOT(ISNUMBER(Raw_Data[[#This Row],[Sell_through%]])),"Check",IF(Raw_Data[[#This Row],[Sell_through%]]=0,"Non-moving",IF(Raw_Data[[#This Row],[Sell_through%]]&gt;=0.6,"Fast","Slow")))</f>
        <v>Slow</v>
      </c>
      <c r="M28">
        <f>IF(AND(ISNUMBER(Raw_Data[[#This Row],[Closing_Stock]]),ISNUMBER(Raw_Data[[#This Row],[Unit_Cost]])),Raw_Data[[#This Row],[Closing_Stock]]*Raw_Data[[#This Row],[Unit_Cost]],"")</f>
        <v>191136</v>
      </c>
      <c r="N2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9" spans="1:14" x14ac:dyDescent="0.3">
      <c r="A29" t="s">
        <v>86</v>
      </c>
      <c r="B29" t="s">
        <v>1343</v>
      </c>
      <c r="C29" t="s">
        <v>28</v>
      </c>
      <c r="D29" t="s">
        <v>32</v>
      </c>
      <c r="E29" s="3">
        <v>46287</v>
      </c>
      <c r="F29">
        <v>132</v>
      </c>
      <c r="G29">
        <v>41</v>
      </c>
      <c r="H29">
        <v>91</v>
      </c>
      <c r="I29">
        <v>2601</v>
      </c>
      <c r="J29" t="s">
        <v>14</v>
      </c>
      <c r="K29" s="4">
        <f>IF(AND(ISNUMBER(Raw_Data[[#This Row],[Opening_Stock]]),ISNUMBER(Raw_Data[[#This Row],[Units_Sold]]),Raw_Data[[#This Row],[Opening_Stock]]&gt;0),Raw_Data[[#This Row],[Units_Sold]]/Raw_Data[[#This Row],[Opening_Stock]],"")</f>
        <v>0.31060606060606061</v>
      </c>
      <c r="L29" t="str">
        <f>IF(NOT(ISNUMBER(Raw_Data[[#This Row],[Sell_through%]])),"Check",IF(Raw_Data[[#This Row],[Sell_through%]]=0,"Non-moving",IF(Raw_Data[[#This Row],[Sell_through%]]&gt;=0.6,"Fast","Slow")))</f>
        <v>Slow</v>
      </c>
      <c r="M29">
        <f>IF(AND(ISNUMBER(Raw_Data[[#This Row],[Closing_Stock]]),ISNUMBER(Raw_Data[[#This Row],[Unit_Cost]])),Raw_Data[[#This Row],[Closing_Stock]]*Raw_Data[[#This Row],[Unit_Cost]],"")</f>
        <v>236691</v>
      </c>
      <c r="N2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0" spans="1:14" x14ac:dyDescent="0.3">
      <c r="A30" t="s">
        <v>88</v>
      </c>
      <c r="B30" t="s">
        <v>89</v>
      </c>
      <c r="C30" t="s">
        <v>49</v>
      </c>
      <c r="D30" t="s">
        <v>13</v>
      </c>
      <c r="E30" s="3"/>
      <c r="F30">
        <v>361</v>
      </c>
      <c r="G30">
        <v>0</v>
      </c>
      <c r="H30">
        <v>361</v>
      </c>
      <c r="I30">
        <v>2918</v>
      </c>
      <c r="J30" t="s">
        <v>14</v>
      </c>
      <c r="K30" s="4">
        <f>IF(AND(ISNUMBER(Raw_Data[[#This Row],[Opening_Stock]]),ISNUMBER(Raw_Data[[#This Row],[Units_Sold]]),Raw_Data[[#This Row],[Opening_Stock]]&gt;0),Raw_Data[[#This Row],[Units_Sold]]/Raw_Data[[#This Row],[Opening_Stock]],"")</f>
        <v>0</v>
      </c>
      <c r="L30" t="str">
        <f>IF(NOT(ISNUMBER(Raw_Data[[#This Row],[Sell_through%]])),"Check",IF(Raw_Data[[#This Row],[Sell_through%]]=0,"Non-moving",IF(Raw_Data[[#This Row],[Sell_through%]]&gt;=0.6,"Fast","Slow")))</f>
        <v>Non-moving</v>
      </c>
      <c r="M30">
        <f>IF(AND(ISNUMBER(Raw_Data[[#This Row],[Closing_Stock]]),ISNUMBER(Raw_Data[[#This Row],[Unit_Cost]])),Raw_Data[[#This Row],[Closing_Stock]]*Raw_Data[[#This Row],[Unit_Cost]],"")</f>
        <v>1053398</v>
      </c>
      <c r="N3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1" spans="1:14" x14ac:dyDescent="0.3">
      <c r="A31" t="s">
        <v>90</v>
      </c>
      <c r="B31" t="s">
        <v>11</v>
      </c>
      <c r="C31" t="s">
        <v>12</v>
      </c>
      <c r="D31" t="s">
        <v>21</v>
      </c>
      <c r="E31" s="3"/>
      <c r="F31">
        <v>124</v>
      </c>
      <c r="G31">
        <v>0</v>
      </c>
      <c r="H31">
        <v>124</v>
      </c>
      <c r="I31">
        <v>2917</v>
      </c>
      <c r="J31" t="s">
        <v>14</v>
      </c>
      <c r="K31" s="4">
        <f>IF(AND(ISNUMBER(Raw_Data[[#This Row],[Opening_Stock]]),ISNUMBER(Raw_Data[[#This Row],[Units_Sold]]),Raw_Data[[#This Row],[Opening_Stock]]&gt;0),Raw_Data[[#This Row],[Units_Sold]]/Raw_Data[[#This Row],[Opening_Stock]],"")</f>
        <v>0</v>
      </c>
      <c r="L31" t="str">
        <f>IF(NOT(ISNUMBER(Raw_Data[[#This Row],[Sell_through%]])),"Check",IF(Raw_Data[[#This Row],[Sell_through%]]=0,"Non-moving",IF(Raw_Data[[#This Row],[Sell_through%]]&gt;=0.6,"Fast","Slow")))</f>
        <v>Non-moving</v>
      </c>
      <c r="M31">
        <f>IF(AND(ISNUMBER(Raw_Data[[#This Row],[Closing_Stock]]),ISNUMBER(Raw_Data[[#This Row],[Unit_Cost]])),Raw_Data[[#This Row],[Closing_Stock]]*Raw_Data[[#This Row],[Unit_Cost]],"")</f>
        <v>361708</v>
      </c>
      <c r="N3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2" spans="1:14" x14ac:dyDescent="0.3">
      <c r="A32" t="s">
        <v>92</v>
      </c>
      <c r="B32" t="s">
        <v>93</v>
      </c>
      <c r="C32" t="s">
        <v>12</v>
      </c>
      <c r="D32" t="s">
        <v>32</v>
      </c>
      <c r="E32" s="3">
        <v>46163</v>
      </c>
      <c r="F32">
        <v>99</v>
      </c>
      <c r="G32">
        <v>91</v>
      </c>
      <c r="H32">
        <v>8</v>
      </c>
      <c r="I32">
        <v>244</v>
      </c>
      <c r="J32" t="s">
        <v>17</v>
      </c>
      <c r="K32" s="4">
        <f>IF(AND(ISNUMBER(Raw_Data[[#This Row],[Opening_Stock]]),ISNUMBER(Raw_Data[[#This Row],[Units_Sold]]),Raw_Data[[#This Row],[Opening_Stock]]&gt;0),Raw_Data[[#This Row],[Units_Sold]]/Raw_Data[[#This Row],[Opening_Stock]],"")</f>
        <v>0.91919191919191923</v>
      </c>
      <c r="L32" t="str">
        <f>IF(NOT(ISNUMBER(Raw_Data[[#This Row],[Sell_through%]])),"Check",IF(Raw_Data[[#This Row],[Sell_through%]]=0,"Non-moving",IF(Raw_Data[[#This Row],[Sell_through%]]&gt;=0.6,"Fast","Slow")))</f>
        <v>Fast</v>
      </c>
      <c r="M32">
        <f>IF(AND(ISNUMBER(Raw_Data[[#This Row],[Closing_Stock]]),ISNUMBER(Raw_Data[[#This Row],[Unit_Cost]])),Raw_Data[[#This Row],[Closing_Stock]]*Raw_Data[[#This Row],[Unit_Cost]],"")</f>
        <v>1952</v>
      </c>
      <c r="N32"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3" spans="1:14" x14ac:dyDescent="0.3">
      <c r="A33" t="s">
        <v>94</v>
      </c>
      <c r="B33" t="s">
        <v>95</v>
      </c>
      <c r="C33" t="s">
        <v>31</v>
      </c>
      <c r="D33" t="s">
        <v>32</v>
      </c>
      <c r="E33" s="3">
        <v>46028</v>
      </c>
      <c r="F33">
        <v>245</v>
      </c>
      <c r="G33">
        <v>223</v>
      </c>
      <c r="H33">
        <v>22</v>
      </c>
      <c r="I33">
        <v>77</v>
      </c>
      <c r="J33" t="s">
        <v>17</v>
      </c>
      <c r="K33" s="4">
        <f>IF(AND(ISNUMBER(Raw_Data[[#This Row],[Opening_Stock]]),ISNUMBER(Raw_Data[[#This Row],[Units_Sold]]),Raw_Data[[#This Row],[Opening_Stock]]&gt;0),Raw_Data[[#This Row],[Units_Sold]]/Raw_Data[[#This Row],[Opening_Stock]],"")</f>
        <v>0.91020408163265309</v>
      </c>
      <c r="L33" t="str">
        <f>IF(NOT(ISNUMBER(Raw_Data[[#This Row],[Sell_through%]])),"Check",IF(Raw_Data[[#This Row],[Sell_through%]]=0,"Non-moving",IF(Raw_Data[[#This Row],[Sell_through%]]&gt;=0.6,"Fast","Slow")))</f>
        <v>Fast</v>
      </c>
      <c r="M33">
        <f>IF(AND(ISNUMBER(Raw_Data[[#This Row],[Closing_Stock]]),ISNUMBER(Raw_Data[[#This Row],[Unit_Cost]])),Raw_Data[[#This Row],[Closing_Stock]]*Raw_Data[[#This Row],[Unit_Cost]],"")</f>
        <v>1694</v>
      </c>
      <c r="N33"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4" spans="1:14" x14ac:dyDescent="0.3">
      <c r="A34" t="s">
        <v>96</v>
      </c>
      <c r="B34" t="s">
        <v>41</v>
      </c>
      <c r="C34" t="s">
        <v>49</v>
      </c>
      <c r="D34" t="s">
        <v>36</v>
      </c>
      <c r="E34" s="3">
        <v>46120</v>
      </c>
      <c r="F34">
        <v>162</v>
      </c>
      <c r="G34">
        <v>18</v>
      </c>
      <c r="H34">
        <v>144</v>
      </c>
      <c r="I34">
        <v>1063</v>
      </c>
      <c r="J34" t="s">
        <v>14</v>
      </c>
      <c r="K34" s="4">
        <f>IF(AND(ISNUMBER(Raw_Data[[#This Row],[Opening_Stock]]),ISNUMBER(Raw_Data[[#This Row],[Units_Sold]]),Raw_Data[[#This Row],[Opening_Stock]]&gt;0),Raw_Data[[#This Row],[Units_Sold]]/Raw_Data[[#This Row],[Opening_Stock]],"")</f>
        <v>0.1111111111111111</v>
      </c>
      <c r="L34" t="str">
        <f>IF(NOT(ISNUMBER(Raw_Data[[#This Row],[Sell_through%]])),"Check",IF(Raw_Data[[#This Row],[Sell_through%]]=0,"Non-moving",IF(Raw_Data[[#This Row],[Sell_through%]]&gt;=0.6,"Fast","Slow")))</f>
        <v>Slow</v>
      </c>
      <c r="M34">
        <f>IF(AND(ISNUMBER(Raw_Data[[#This Row],[Closing_Stock]]),ISNUMBER(Raw_Data[[#This Row],[Unit_Cost]])),Raw_Data[[#This Row],[Closing_Stock]]*Raw_Data[[#This Row],[Unit_Cost]],"")</f>
        <v>153072</v>
      </c>
      <c r="N3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5" spans="1:14" x14ac:dyDescent="0.3">
      <c r="A35" t="s">
        <v>97</v>
      </c>
      <c r="B35" t="s">
        <v>98</v>
      </c>
      <c r="C35" t="s">
        <v>12</v>
      </c>
      <c r="D35" t="s">
        <v>36</v>
      </c>
      <c r="E35" s="3"/>
      <c r="F35">
        <v>320</v>
      </c>
      <c r="G35">
        <v>5</v>
      </c>
      <c r="H35">
        <v>320</v>
      </c>
      <c r="I35">
        <v>2687</v>
      </c>
      <c r="J35" t="s">
        <v>14</v>
      </c>
      <c r="K35" s="4">
        <f>IF(AND(ISNUMBER(Raw_Data[[#This Row],[Opening_Stock]]),ISNUMBER(Raw_Data[[#This Row],[Units_Sold]]),Raw_Data[[#This Row],[Opening_Stock]]&gt;0),Raw_Data[[#This Row],[Units_Sold]]/Raw_Data[[#This Row],[Opening_Stock]],"")</f>
        <v>1.5625E-2</v>
      </c>
      <c r="L35" t="str">
        <f>IF(NOT(ISNUMBER(Raw_Data[[#This Row],[Sell_through%]])),"Check",IF(Raw_Data[[#This Row],[Sell_through%]]=0,"Non-moving",IF(Raw_Data[[#This Row],[Sell_through%]]&gt;=0.6,"Fast","Slow")))</f>
        <v>Slow</v>
      </c>
      <c r="M35">
        <f>IF(AND(ISNUMBER(Raw_Data[[#This Row],[Closing_Stock]]),ISNUMBER(Raw_Data[[#This Row],[Unit_Cost]])),Raw_Data[[#This Row],[Closing_Stock]]*Raw_Data[[#This Row],[Unit_Cost]],"")</f>
        <v>859840</v>
      </c>
      <c r="N3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6" spans="1:14" x14ac:dyDescent="0.3">
      <c r="A36" t="s">
        <v>100</v>
      </c>
      <c r="B36" t="s">
        <v>101</v>
      </c>
      <c r="C36" t="s">
        <v>12</v>
      </c>
      <c r="D36" t="s">
        <v>36</v>
      </c>
      <c r="E36" s="3">
        <v>46082</v>
      </c>
      <c r="F36">
        <v>225</v>
      </c>
      <c r="G36">
        <v>20</v>
      </c>
      <c r="H36">
        <v>205</v>
      </c>
      <c r="I36">
        <v>1712</v>
      </c>
      <c r="J36" t="s">
        <v>14</v>
      </c>
      <c r="K36" s="4">
        <f>IF(AND(ISNUMBER(Raw_Data[[#This Row],[Opening_Stock]]),ISNUMBER(Raw_Data[[#This Row],[Units_Sold]]),Raw_Data[[#This Row],[Opening_Stock]]&gt;0),Raw_Data[[#This Row],[Units_Sold]]/Raw_Data[[#This Row],[Opening_Stock]],"")</f>
        <v>8.8888888888888892E-2</v>
      </c>
      <c r="L36" t="str">
        <f>IF(NOT(ISNUMBER(Raw_Data[[#This Row],[Sell_through%]])),"Check",IF(Raw_Data[[#This Row],[Sell_through%]]=0,"Non-moving",IF(Raw_Data[[#This Row],[Sell_through%]]&gt;=0.6,"Fast","Slow")))</f>
        <v>Slow</v>
      </c>
      <c r="M36">
        <f>IF(AND(ISNUMBER(Raw_Data[[#This Row],[Closing_Stock]]),ISNUMBER(Raw_Data[[#This Row],[Unit_Cost]])),Raw_Data[[#This Row],[Closing_Stock]]*Raw_Data[[#This Row],[Unit_Cost]],"")</f>
        <v>350960</v>
      </c>
      <c r="N3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7" spans="1:14" x14ac:dyDescent="0.3">
      <c r="A37" t="s">
        <v>102</v>
      </c>
      <c r="B37" t="s">
        <v>23</v>
      </c>
      <c r="C37" t="s">
        <v>35</v>
      </c>
      <c r="D37" t="s">
        <v>13</v>
      </c>
      <c r="E37" s="3">
        <v>46045</v>
      </c>
      <c r="F37">
        <v>156</v>
      </c>
      <c r="G37">
        <v>112</v>
      </c>
      <c r="H37">
        <v>44</v>
      </c>
      <c r="I37">
        <v>927</v>
      </c>
      <c r="K37" s="4">
        <f>IF(AND(ISNUMBER(Raw_Data[[#This Row],[Opening_Stock]]),ISNUMBER(Raw_Data[[#This Row],[Units_Sold]]),Raw_Data[[#This Row],[Opening_Stock]]&gt;0),Raw_Data[[#This Row],[Units_Sold]]/Raw_Data[[#This Row],[Opening_Stock]],"")</f>
        <v>0.71794871794871795</v>
      </c>
      <c r="L37" t="str">
        <f>IF(NOT(ISNUMBER(Raw_Data[[#This Row],[Sell_through%]])),"Check",IF(Raw_Data[[#This Row],[Sell_through%]]=0,"Non-moving",IF(Raw_Data[[#This Row],[Sell_through%]]&gt;=0.6,"Fast","Slow")))</f>
        <v>Fast</v>
      </c>
      <c r="M37">
        <f>IF(AND(ISNUMBER(Raw_Data[[#This Row],[Closing_Stock]]),ISNUMBER(Raw_Data[[#This Row],[Unit_Cost]])),Raw_Data[[#This Row],[Closing_Stock]]*Raw_Data[[#This Row],[Unit_Cost]],"")</f>
        <v>40788</v>
      </c>
      <c r="N37"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8" spans="1:14" x14ac:dyDescent="0.3">
      <c r="A38" t="s">
        <v>104</v>
      </c>
      <c r="B38" t="s">
        <v>105</v>
      </c>
      <c r="C38" t="s">
        <v>28</v>
      </c>
      <c r="D38" t="s">
        <v>36</v>
      </c>
      <c r="E38" s="3">
        <v>46002</v>
      </c>
      <c r="F38">
        <v>317</v>
      </c>
      <c r="G38">
        <v>55</v>
      </c>
      <c r="H38">
        <v>262</v>
      </c>
      <c r="I38">
        <v>1918</v>
      </c>
      <c r="J38" t="s">
        <v>14</v>
      </c>
      <c r="K38" s="4">
        <f>IF(AND(ISNUMBER(Raw_Data[[#This Row],[Opening_Stock]]),ISNUMBER(Raw_Data[[#This Row],[Units_Sold]]),Raw_Data[[#This Row],[Opening_Stock]]&gt;0),Raw_Data[[#This Row],[Units_Sold]]/Raw_Data[[#This Row],[Opening_Stock]],"")</f>
        <v>0.17350157728706625</v>
      </c>
      <c r="L38" t="str">
        <f>IF(NOT(ISNUMBER(Raw_Data[[#This Row],[Sell_through%]])),"Check",IF(Raw_Data[[#This Row],[Sell_through%]]=0,"Non-moving",IF(Raw_Data[[#This Row],[Sell_through%]]&gt;=0.6,"Fast","Slow")))</f>
        <v>Slow</v>
      </c>
      <c r="M38">
        <f>IF(AND(ISNUMBER(Raw_Data[[#This Row],[Closing_Stock]]),ISNUMBER(Raw_Data[[#This Row],[Unit_Cost]])),Raw_Data[[#This Row],[Closing_Stock]]*Raw_Data[[#This Row],[Unit_Cost]],"")</f>
        <v>502516</v>
      </c>
      <c r="N3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9" spans="1:14" x14ac:dyDescent="0.3">
      <c r="A39" t="s">
        <v>107</v>
      </c>
      <c r="B39" t="s">
        <v>105</v>
      </c>
      <c r="C39" t="s">
        <v>28</v>
      </c>
      <c r="D39" t="s">
        <v>32</v>
      </c>
      <c r="E39" s="3">
        <v>46192</v>
      </c>
      <c r="F39">
        <v>283</v>
      </c>
      <c r="G39">
        <v>208</v>
      </c>
      <c r="H39">
        <v>75</v>
      </c>
      <c r="I39">
        <v>428</v>
      </c>
      <c r="J39" t="s">
        <v>14</v>
      </c>
      <c r="K39" s="4">
        <f>IF(AND(ISNUMBER(Raw_Data[[#This Row],[Opening_Stock]]),ISNUMBER(Raw_Data[[#This Row],[Units_Sold]]),Raw_Data[[#This Row],[Opening_Stock]]&gt;0),Raw_Data[[#This Row],[Units_Sold]]/Raw_Data[[#This Row],[Opening_Stock]],"")</f>
        <v>0.73498233215547704</v>
      </c>
      <c r="L39" t="str">
        <f>IF(NOT(ISNUMBER(Raw_Data[[#This Row],[Sell_through%]])),"Check",IF(Raw_Data[[#This Row],[Sell_through%]]=0,"Non-moving",IF(Raw_Data[[#This Row],[Sell_through%]]&gt;=0.6,"Fast","Slow")))</f>
        <v>Fast</v>
      </c>
      <c r="M39">
        <f>IF(AND(ISNUMBER(Raw_Data[[#This Row],[Closing_Stock]]),ISNUMBER(Raw_Data[[#This Row],[Unit_Cost]])),Raw_Data[[#This Row],[Closing_Stock]]*Raw_Data[[#This Row],[Unit_Cost]],"")</f>
        <v>32100</v>
      </c>
      <c r="N3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0" spans="1:14" x14ac:dyDescent="0.3">
      <c r="A40" t="s">
        <v>110</v>
      </c>
      <c r="B40" t="s">
        <v>1342</v>
      </c>
      <c r="C40" t="s">
        <v>28</v>
      </c>
      <c r="D40" t="s">
        <v>13</v>
      </c>
      <c r="E40" s="3"/>
      <c r="F40">
        <v>127</v>
      </c>
      <c r="G40">
        <v>0</v>
      </c>
      <c r="H40">
        <v>127</v>
      </c>
      <c r="I40">
        <v>1345</v>
      </c>
      <c r="J40" t="s">
        <v>14</v>
      </c>
      <c r="K40" s="4">
        <f>IF(AND(ISNUMBER(Raw_Data[[#This Row],[Opening_Stock]]),ISNUMBER(Raw_Data[[#This Row],[Units_Sold]]),Raw_Data[[#This Row],[Opening_Stock]]&gt;0),Raw_Data[[#This Row],[Units_Sold]]/Raw_Data[[#This Row],[Opening_Stock]],"")</f>
        <v>0</v>
      </c>
      <c r="L40" t="str">
        <f>IF(NOT(ISNUMBER(Raw_Data[[#This Row],[Sell_through%]])),"Check",IF(Raw_Data[[#This Row],[Sell_through%]]=0,"Non-moving",IF(Raw_Data[[#This Row],[Sell_through%]]&gt;=0.6,"Fast","Slow")))</f>
        <v>Non-moving</v>
      </c>
      <c r="M40">
        <f>IF(AND(ISNUMBER(Raw_Data[[#This Row],[Closing_Stock]]),ISNUMBER(Raw_Data[[#This Row],[Unit_Cost]])),Raw_Data[[#This Row],[Closing_Stock]]*Raw_Data[[#This Row],[Unit_Cost]],"")</f>
        <v>170815</v>
      </c>
      <c r="N4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1" spans="1:14" x14ac:dyDescent="0.3">
      <c r="A41" t="s">
        <v>111</v>
      </c>
      <c r="B41" t="s">
        <v>112</v>
      </c>
      <c r="D41" t="s">
        <v>21</v>
      </c>
      <c r="E41" s="3"/>
      <c r="F41">
        <v>416</v>
      </c>
      <c r="G41">
        <v>0</v>
      </c>
      <c r="H41">
        <v>416</v>
      </c>
      <c r="I41">
        <v>1147</v>
      </c>
      <c r="J41" t="s">
        <v>14</v>
      </c>
      <c r="K41" s="4">
        <f>IF(AND(ISNUMBER(Raw_Data[[#This Row],[Opening_Stock]]),ISNUMBER(Raw_Data[[#This Row],[Units_Sold]]),Raw_Data[[#This Row],[Opening_Stock]]&gt;0),Raw_Data[[#This Row],[Units_Sold]]/Raw_Data[[#This Row],[Opening_Stock]],"")</f>
        <v>0</v>
      </c>
      <c r="L41" t="str">
        <f>IF(NOT(ISNUMBER(Raw_Data[[#This Row],[Sell_through%]])),"Check",IF(Raw_Data[[#This Row],[Sell_through%]]=0,"Non-moving",IF(Raw_Data[[#This Row],[Sell_through%]]&gt;=0.6,"Fast","Slow")))</f>
        <v>Non-moving</v>
      </c>
      <c r="M41">
        <f>IF(AND(ISNUMBER(Raw_Data[[#This Row],[Closing_Stock]]),ISNUMBER(Raw_Data[[#This Row],[Unit_Cost]])),Raw_Data[[#This Row],[Closing_Stock]]*Raw_Data[[#This Row],[Unit_Cost]],"")</f>
        <v>477152</v>
      </c>
      <c r="N4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2" spans="1:14" x14ac:dyDescent="0.3">
      <c r="A42" t="s">
        <v>113</v>
      </c>
      <c r="B42" t="s">
        <v>112</v>
      </c>
      <c r="C42" t="s">
        <v>35</v>
      </c>
      <c r="D42" t="s">
        <v>13</v>
      </c>
      <c r="E42" s="3">
        <v>46184</v>
      </c>
      <c r="F42">
        <v>407</v>
      </c>
      <c r="G42">
        <v>141</v>
      </c>
      <c r="H42">
        <v>266</v>
      </c>
      <c r="I42">
        <v>1379</v>
      </c>
      <c r="J42" t="s">
        <v>14</v>
      </c>
      <c r="K42" s="4">
        <f>IF(AND(ISNUMBER(Raw_Data[[#This Row],[Opening_Stock]]),ISNUMBER(Raw_Data[[#This Row],[Units_Sold]]),Raw_Data[[#This Row],[Opening_Stock]]&gt;0),Raw_Data[[#This Row],[Units_Sold]]/Raw_Data[[#This Row],[Opening_Stock]],"")</f>
        <v>0.34643734643734642</v>
      </c>
      <c r="L42" t="str">
        <f>IF(NOT(ISNUMBER(Raw_Data[[#This Row],[Sell_through%]])),"Check",IF(Raw_Data[[#This Row],[Sell_through%]]=0,"Non-moving",IF(Raw_Data[[#This Row],[Sell_through%]]&gt;=0.6,"Fast","Slow")))</f>
        <v>Slow</v>
      </c>
      <c r="M42">
        <f>IF(AND(ISNUMBER(Raw_Data[[#This Row],[Closing_Stock]]),ISNUMBER(Raw_Data[[#This Row],[Unit_Cost]])),Raw_Data[[#This Row],[Closing_Stock]]*Raw_Data[[#This Row],[Unit_Cost]],"")</f>
        <v>366814</v>
      </c>
      <c r="N4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3" spans="1:14" x14ac:dyDescent="0.3">
      <c r="A43" t="s">
        <v>114</v>
      </c>
      <c r="B43" t="s">
        <v>1342</v>
      </c>
      <c r="C43" t="s">
        <v>28</v>
      </c>
      <c r="D43" t="s">
        <v>32</v>
      </c>
      <c r="E43" s="3">
        <v>46066</v>
      </c>
      <c r="F43">
        <v>116</v>
      </c>
      <c r="G43">
        <v>17</v>
      </c>
      <c r="H43">
        <v>99</v>
      </c>
      <c r="I43">
        <v>2518</v>
      </c>
      <c r="J43" t="s">
        <v>14</v>
      </c>
      <c r="K43" s="4">
        <f>IF(AND(ISNUMBER(Raw_Data[[#This Row],[Opening_Stock]]),ISNUMBER(Raw_Data[[#This Row],[Units_Sold]]),Raw_Data[[#This Row],[Opening_Stock]]&gt;0),Raw_Data[[#This Row],[Units_Sold]]/Raw_Data[[#This Row],[Opening_Stock]],"")</f>
        <v>0.14655172413793102</v>
      </c>
      <c r="L43" t="str">
        <f>IF(NOT(ISNUMBER(Raw_Data[[#This Row],[Sell_through%]])),"Check",IF(Raw_Data[[#This Row],[Sell_through%]]=0,"Non-moving",IF(Raw_Data[[#This Row],[Sell_through%]]&gt;=0.6,"Fast","Slow")))</f>
        <v>Slow</v>
      </c>
      <c r="M43">
        <f>IF(AND(ISNUMBER(Raw_Data[[#This Row],[Closing_Stock]]),ISNUMBER(Raw_Data[[#This Row],[Unit_Cost]])),Raw_Data[[#This Row],[Closing_Stock]]*Raw_Data[[#This Row],[Unit_Cost]],"")</f>
        <v>249282</v>
      </c>
      <c r="N4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4" spans="1:14" x14ac:dyDescent="0.3">
      <c r="A44" t="s">
        <v>116</v>
      </c>
      <c r="B44" t="s">
        <v>117</v>
      </c>
      <c r="C44" t="s">
        <v>28</v>
      </c>
      <c r="D44" t="s">
        <v>32</v>
      </c>
      <c r="E44" s="3">
        <v>46115</v>
      </c>
      <c r="F44">
        <v>345</v>
      </c>
      <c r="G44">
        <v>68</v>
      </c>
      <c r="H44">
        <v>277</v>
      </c>
      <c r="I44">
        <v>1236</v>
      </c>
      <c r="J44" t="s">
        <v>14</v>
      </c>
      <c r="K44" s="4">
        <f>IF(AND(ISNUMBER(Raw_Data[[#This Row],[Opening_Stock]]),ISNUMBER(Raw_Data[[#This Row],[Units_Sold]]),Raw_Data[[#This Row],[Opening_Stock]]&gt;0),Raw_Data[[#This Row],[Units_Sold]]/Raw_Data[[#This Row],[Opening_Stock]],"")</f>
        <v>0.19710144927536233</v>
      </c>
      <c r="L44" t="str">
        <f>IF(NOT(ISNUMBER(Raw_Data[[#This Row],[Sell_through%]])),"Check",IF(Raw_Data[[#This Row],[Sell_through%]]=0,"Non-moving",IF(Raw_Data[[#This Row],[Sell_through%]]&gt;=0.6,"Fast","Slow")))</f>
        <v>Slow</v>
      </c>
      <c r="M44">
        <f>IF(AND(ISNUMBER(Raw_Data[[#This Row],[Closing_Stock]]),ISNUMBER(Raw_Data[[#This Row],[Unit_Cost]])),Raw_Data[[#This Row],[Closing_Stock]]*Raw_Data[[#This Row],[Unit_Cost]],"")</f>
        <v>342372</v>
      </c>
      <c r="N4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5" spans="1:14" x14ac:dyDescent="0.3">
      <c r="A45" t="s">
        <v>119</v>
      </c>
      <c r="B45" t="s">
        <v>54</v>
      </c>
      <c r="C45" t="s">
        <v>31</v>
      </c>
      <c r="D45" t="s">
        <v>21</v>
      </c>
      <c r="E45" s="3">
        <v>46117</v>
      </c>
      <c r="F45">
        <v>132</v>
      </c>
      <c r="G45">
        <v>45</v>
      </c>
      <c r="H45">
        <v>87</v>
      </c>
      <c r="I45">
        <v>59</v>
      </c>
      <c r="J45" t="s">
        <v>14</v>
      </c>
      <c r="K45" s="4">
        <f>IF(AND(ISNUMBER(Raw_Data[[#This Row],[Opening_Stock]]),ISNUMBER(Raw_Data[[#This Row],[Units_Sold]]),Raw_Data[[#This Row],[Opening_Stock]]&gt;0),Raw_Data[[#This Row],[Units_Sold]]/Raw_Data[[#This Row],[Opening_Stock]],"")</f>
        <v>0.34090909090909088</v>
      </c>
      <c r="L45" t="str">
        <f>IF(NOT(ISNUMBER(Raw_Data[[#This Row],[Sell_through%]])),"Check",IF(Raw_Data[[#This Row],[Sell_through%]]=0,"Non-moving",IF(Raw_Data[[#This Row],[Sell_through%]]&gt;=0.6,"Fast","Slow")))</f>
        <v>Slow</v>
      </c>
      <c r="M45">
        <f>IF(AND(ISNUMBER(Raw_Data[[#This Row],[Closing_Stock]]),ISNUMBER(Raw_Data[[#This Row],[Unit_Cost]])),Raw_Data[[#This Row],[Closing_Stock]]*Raw_Data[[#This Row],[Unit_Cost]],"")</f>
        <v>5133</v>
      </c>
      <c r="N4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6" spans="1:14" x14ac:dyDescent="0.3">
      <c r="A46" t="s">
        <v>121</v>
      </c>
      <c r="B46" t="s">
        <v>19</v>
      </c>
      <c r="C46" t="s">
        <v>28</v>
      </c>
      <c r="D46" t="s">
        <v>21</v>
      </c>
      <c r="E46" s="3"/>
      <c r="F46">
        <v>477</v>
      </c>
      <c r="G46">
        <v>0</v>
      </c>
      <c r="H46">
        <v>477</v>
      </c>
      <c r="I46">
        <v>220</v>
      </c>
      <c r="J46" t="s">
        <v>14</v>
      </c>
      <c r="K46" s="4">
        <f>IF(AND(ISNUMBER(Raw_Data[[#This Row],[Opening_Stock]]),ISNUMBER(Raw_Data[[#This Row],[Units_Sold]]),Raw_Data[[#This Row],[Opening_Stock]]&gt;0),Raw_Data[[#This Row],[Units_Sold]]/Raw_Data[[#This Row],[Opening_Stock]],"")</f>
        <v>0</v>
      </c>
      <c r="L46" t="str">
        <f>IF(NOT(ISNUMBER(Raw_Data[[#This Row],[Sell_through%]])),"Check",IF(Raw_Data[[#This Row],[Sell_through%]]=0,"Non-moving",IF(Raw_Data[[#This Row],[Sell_through%]]&gt;=0.6,"Fast","Slow")))</f>
        <v>Non-moving</v>
      </c>
      <c r="M46">
        <f>IF(AND(ISNUMBER(Raw_Data[[#This Row],[Closing_Stock]]),ISNUMBER(Raw_Data[[#This Row],[Unit_Cost]])),Raw_Data[[#This Row],[Closing_Stock]]*Raw_Data[[#This Row],[Unit_Cost]],"")</f>
        <v>104940</v>
      </c>
      <c r="N4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7" spans="1:14" x14ac:dyDescent="0.3">
      <c r="A47" t="s">
        <v>123</v>
      </c>
      <c r="B47" t="s">
        <v>124</v>
      </c>
      <c r="C47" t="s">
        <v>28</v>
      </c>
      <c r="D47" t="s">
        <v>36</v>
      </c>
      <c r="E47" s="3">
        <v>46179</v>
      </c>
      <c r="F47">
        <v>447</v>
      </c>
      <c r="G47">
        <v>389</v>
      </c>
      <c r="H47">
        <v>58</v>
      </c>
      <c r="I47">
        <v>1934</v>
      </c>
      <c r="J47" t="s">
        <v>17</v>
      </c>
      <c r="K47" s="4">
        <f>IF(AND(ISNUMBER(Raw_Data[[#This Row],[Opening_Stock]]),ISNUMBER(Raw_Data[[#This Row],[Units_Sold]]),Raw_Data[[#This Row],[Opening_Stock]]&gt;0),Raw_Data[[#This Row],[Units_Sold]]/Raw_Data[[#This Row],[Opening_Stock]],"")</f>
        <v>0.87024608501118572</v>
      </c>
      <c r="L47" t="str">
        <f>IF(NOT(ISNUMBER(Raw_Data[[#This Row],[Sell_through%]])),"Check",IF(Raw_Data[[#This Row],[Sell_through%]]=0,"Non-moving",IF(Raw_Data[[#This Row],[Sell_through%]]&gt;=0.6,"Fast","Slow")))</f>
        <v>Fast</v>
      </c>
      <c r="M47">
        <f>IF(AND(ISNUMBER(Raw_Data[[#This Row],[Closing_Stock]]),ISNUMBER(Raw_Data[[#This Row],[Unit_Cost]])),Raw_Data[[#This Row],[Closing_Stock]]*Raw_Data[[#This Row],[Unit_Cost]],"")</f>
        <v>112172</v>
      </c>
      <c r="N4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8" spans="1:14" x14ac:dyDescent="0.3">
      <c r="A48" t="s">
        <v>125</v>
      </c>
      <c r="B48" t="s">
        <v>89</v>
      </c>
      <c r="C48" t="s">
        <v>49</v>
      </c>
      <c r="D48" t="s">
        <v>32</v>
      </c>
      <c r="E48" s="3">
        <v>46211</v>
      </c>
      <c r="F48">
        <v>297</v>
      </c>
      <c r="G48">
        <v>31</v>
      </c>
      <c r="H48">
        <v>266</v>
      </c>
      <c r="I48">
        <v>1442</v>
      </c>
      <c r="J48" t="s">
        <v>14</v>
      </c>
      <c r="K48" s="4">
        <f>IF(AND(ISNUMBER(Raw_Data[[#This Row],[Opening_Stock]]),ISNUMBER(Raw_Data[[#This Row],[Units_Sold]]),Raw_Data[[#This Row],[Opening_Stock]]&gt;0),Raw_Data[[#This Row],[Units_Sold]]/Raw_Data[[#This Row],[Opening_Stock]],"")</f>
        <v>0.10437710437710437</v>
      </c>
      <c r="L48" t="str">
        <f>IF(NOT(ISNUMBER(Raw_Data[[#This Row],[Sell_through%]])),"Check",IF(Raw_Data[[#This Row],[Sell_through%]]=0,"Non-moving",IF(Raw_Data[[#This Row],[Sell_through%]]&gt;=0.6,"Fast","Slow")))</f>
        <v>Slow</v>
      </c>
      <c r="M48">
        <f>IF(AND(ISNUMBER(Raw_Data[[#This Row],[Closing_Stock]]),ISNUMBER(Raw_Data[[#This Row],[Unit_Cost]])),Raw_Data[[#This Row],[Closing_Stock]]*Raw_Data[[#This Row],[Unit_Cost]],"")</f>
        <v>383572</v>
      </c>
      <c r="N4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9" spans="1:14" x14ac:dyDescent="0.3">
      <c r="A49" t="s">
        <v>128</v>
      </c>
      <c r="B49" t="s">
        <v>45</v>
      </c>
      <c r="C49" t="s">
        <v>35</v>
      </c>
      <c r="D49" t="s">
        <v>13</v>
      </c>
      <c r="E49" s="3"/>
      <c r="F49">
        <v>428</v>
      </c>
      <c r="G49">
        <v>0</v>
      </c>
      <c r="H49">
        <v>428</v>
      </c>
      <c r="I49">
        <v>383</v>
      </c>
      <c r="J49" t="s">
        <v>14</v>
      </c>
      <c r="K49" s="4">
        <f>IF(AND(ISNUMBER(Raw_Data[[#This Row],[Opening_Stock]]),ISNUMBER(Raw_Data[[#This Row],[Units_Sold]]),Raw_Data[[#This Row],[Opening_Stock]]&gt;0),Raw_Data[[#This Row],[Units_Sold]]/Raw_Data[[#This Row],[Opening_Stock]],"")</f>
        <v>0</v>
      </c>
      <c r="L49" t="str">
        <f>IF(NOT(ISNUMBER(Raw_Data[[#This Row],[Sell_through%]])),"Check",IF(Raw_Data[[#This Row],[Sell_through%]]=0,"Non-moving",IF(Raw_Data[[#This Row],[Sell_through%]]&gt;=0.6,"Fast","Slow")))</f>
        <v>Non-moving</v>
      </c>
      <c r="M49">
        <f>IF(AND(ISNUMBER(Raw_Data[[#This Row],[Closing_Stock]]),ISNUMBER(Raw_Data[[#This Row],[Unit_Cost]])),Raw_Data[[#This Row],[Closing_Stock]]*Raw_Data[[#This Row],[Unit_Cost]],"")</f>
        <v>163924</v>
      </c>
      <c r="N4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0" spans="1:14" x14ac:dyDescent="0.3">
      <c r="A50" t="s">
        <v>130</v>
      </c>
      <c r="B50" t="s">
        <v>131</v>
      </c>
      <c r="C50" t="s">
        <v>49</v>
      </c>
      <c r="D50" t="s">
        <v>21</v>
      </c>
      <c r="E50" s="3">
        <v>45996</v>
      </c>
      <c r="F50">
        <v>261</v>
      </c>
      <c r="G50">
        <v>51</v>
      </c>
      <c r="H50">
        <v>210</v>
      </c>
      <c r="I50">
        <v>1693</v>
      </c>
      <c r="J50" t="s">
        <v>14</v>
      </c>
      <c r="K50" s="4">
        <f>IF(AND(ISNUMBER(Raw_Data[[#This Row],[Opening_Stock]]),ISNUMBER(Raw_Data[[#This Row],[Units_Sold]]),Raw_Data[[#This Row],[Opening_Stock]]&gt;0),Raw_Data[[#This Row],[Units_Sold]]/Raw_Data[[#This Row],[Opening_Stock]],"")</f>
        <v>0.19540229885057472</v>
      </c>
      <c r="L50" t="str">
        <f>IF(NOT(ISNUMBER(Raw_Data[[#This Row],[Sell_through%]])),"Check",IF(Raw_Data[[#This Row],[Sell_through%]]=0,"Non-moving",IF(Raw_Data[[#This Row],[Sell_through%]]&gt;=0.6,"Fast","Slow")))</f>
        <v>Slow</v>
      </c>
      <c r="M50">
        <f>IF(AND(ISNUMBER(Raw_Data[[#This Row],[Closing_Stock]]),ISNUMBER(Raw_Data[[#This Row],[Unit_Cost]])),Raw_Data[[#This Row],[Closing_Stock]]*Raw_Data[[#This Row],[Unit_Cost]],"")</f>
        <v>355530</v>
      </c>
      <c r="N5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1" spans="1:14" x14ac:dyDescent="0.3">
      <c r="A51" t="s">
        <v>133</v>
      </c>
      <c r="B51" t="s">
        <v>134</v>
      </c>
      <c r="C51" t="s">
        <v>31</v>
      </c>
      <c r="D51" t="s">
        <v>13</v>
      </c>
      <c r="E51" s="3">
        <v>46278</v>
      </c>
      <c r="F51">
        <v>198</v>
      </c>
      <c r="G51">
        <v>139</v>
      </c>
      <c r="H51">
        <v>59</v>
      </c>
      <c r="I51">
        <v>2317</v>
      </c>
      <c r="J51" t="s">
        <v>17</v>
      </c>
      <c r="K51" s="4">
        <f>IF(AND(ISNUMBER(Raw_Data[[#This Row],[Opening_Stock]]),ISNUMBER(Raw_Data[[#This Row],[Units_Sold]]),Raw_Data[[#This Row],[Opening_Stock]]&gt;0),Raw_Data[[#This Row],[Units_Sold]]/Raw_Data[[#This Row],[Opening_Stock]],"")</f>
        <v>0.70202020202020199</v>
      </c>
      <c r="L51" t="str">
        <f>IF(NOT(ISNUMBER(Raw_Data[[#This Row],[Sell_through%]])),"Check",IF(Raw_Data[[#This Row],[Sell_through%]]=0,"Non-moving",IF(Raw_Data[[#This Row],[Sell_through%]]&gt;=0.6,"Fast","Slow")))</f>
        <v>Fast</v>
      </c>
      <c r="M51">
        <f>IF(AND(ISNUMBER(Raw_Data[[#This Row],[Closing_Stock]]),ISNUMBER(Raw_Data[[#This Row],[Unit_Cost]])),Raw_Data[[#This Row],[Closing_Stock]]*Raw_Data[[#This Row],[Unit_Cost]],"")</f>
        <v>136703</v>
      </c>
      <c r="N5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2" spans="1:14" x14ac:dyDescent="0.3">
      <c r="A52" t="s">
        <v>135</v>
      </c>
      <c r="B52" t="s">
        <v>136</v>
      </c>
      <c r="C52" t="s">
        <v>35</v>
      </c>
      <c r="D52" t="s">
        <v>36</v>
      </c>
      <c r="E52" s="3">
        <v>46096</v>
      </c>
      <c r="F52">
        <v>91</v>
      </c>
      <c r="G52">
        <v>86</v>
      </c>
      <c r="H52">
        <v>5</v>
      </c>
      <c r="I52">
        <v>1473</v>
      </c>
      <c r="J52" t="s">
        <v>17</v>
      </c>
      <c r="K52" s="4">
        <f>IF(AND(ISNUMBER(Raw_Data[[#This Row],[Opening_Stock]]),ISNUMBER(Raw_Data[[#This Row],[Units_Sold]]),Raw_Data[[#This Row],[Opening_Stock]]&gt;0),Raw_Data[[#This Row],[Units_Sold]]/Raw_Data[[#This Row],[Opening_Stock]],"")</f>
        <v>0.94505494505494503</v>
      </c>
      <c r="L52" t="str">
        <f>IF(NOT(ISNUMBER(Raw_Data[[#This Row],[Sell_through%]])),"Check",IF(Raw_Data[[#This Row],[Sell_through%]]=0,"Non-moving",IF(Raw_Data[[#This Row],[Sell_through%]]&gt;=0.6,"Fast","Slow")))</f>
        <v>Fast</v>
      </c>
      <c r="M52">
        <f>IF(AND(ISNUMBER(Raw_Data[[#This Row],[Closing_Stock]]),ISNUMBER(Raw_Data[[#This Row],[Unit_Cost]])),Raw_Data[[#This Row],[Closing_Stock]]*Raw_Data[[#This Row],[Unit_Cost]],"")</f>
        <v>7365</v>
      </c>
      <c r="N52"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3" spans="1:14" x14ac:dyDescent="0.3">
      <c r="A53" t="s">
        <v>137</v>
      </c>
      <c r="B53" t="s">
        <v>138</v>
      </c>
      <c r="C53" t="s">
        <v>31</v>
      </c>
      <c r="D53" t="s">
        <v>32</v>
      </c>
      <c r="E53" s="3"/>
      <c r="F53">
        <v>429</v>
      </c>
      <c r="G53">
        <v>0</v>
      </c>
      <c r="H53">
        <v>429</v>
      </c>
      <c r="I53">
        <v>1095</v>
      </c>
      <c r="J53" t="s">
        <v>14</v>
      </c>
      <c r="K53" s="4">
        <f>IF(AND(ISNUMBER(Raw_Data[[#This Row],[Opening_Stock]]),ISNUMBER(Raw_Data[[#This Row],[Units_Sold]]),Raw_Data[[#This Row],[Opening_Stock]]&gt;0),Raw_Data[[#This Row],[Units_Sold]]/Raw_Data[[#This Row],[Opening_Stock]],"")</f>
        <v>0</v>
      </c>
      <c r="L53" t="str">
        <f>IF(NOT(ISNUMBER(Raw_Data[[#This Row],[Sell_through%]])),"Check",IF(Raw_Data[[#This Row],[Sell_through%]]=0,"Non-moving",IF(Raw_Data[[#This Row],[Sell_through%]]&gt;=0.6,"Fast","Slow")))</f>
        <v>Non-moving</v>
      </c>
      <c r="M53">
        <f>IF(AND(ISNUMBER(Raw_Data[[#This Row],[Closing_Stock]]),ISNUMBER(Raw_Data[[#This Row],[Unit_Cost]])),Raw_Data[[#This Row],[Closing_Stock]]*Raw_Data[[#This Row],[Unit_Cost]],"")</f>
        <v>469755</v>
      </c>
      <c r="N5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4" spans="1:14" x14ac:dyDescent="0.3">
      <c r="A54" t="s">
        <v>140</v>
      </c>
      <c r="B54" t="s">
        <v>11</v>
      </c>
      <c r="C54" t="s">
        <v>12</v>
      </c>
      <c r="D54" t="s">
        <v>32</v>
      </c>
      <c r="E54" s="3">
        <v>46234</v>
      </c>
      <c r="F54">
        <v>385</v>
      </c>
      <c r="G54">
        <v>28</v>
      </c>
      <c r="H54">
        <v>357</v>
      </c>
      <c r="I54">
        <v>1548</v>
      </c>
      <c r="J54" t="s">
        <v>14</v>
      </c>
      <c r="K54" s="4">
        <f>IF(AND(ISNUMBER(Raw_Data[[#This Row],[Opening_Stock]]),ISNUMBER(Raw_Data[[#This Row],[Units_Sold]]),Raw_Data[[#This Row],[Opening_Stock]]&gt;0),Raw_Data[[#This Row],[Units_Sold]]/Raw_Data[[#This Row],[Opening_Stock]],"")</f>
        <v>7.2727272727272724E-2</v>
      </c>
      <c r="L54" t="str">
        <f>IF(NOT(ISNUMBER(Raw_Data[[#This Row],[Sell_through%]])),"Check",IF(Raw_Data[[#This Row],[Sell_through%]]=0,"Non-moving",IF(Raw_Data[[#This Row],[Sell_through%]]&gt;=0.6,"Fast","Slow")))</f>
        <v>Slow</v>
      </c>
      <c r="M54">
        <f>IF(AND(ISNUMBER(Raw_Data[[#This Row],[Closing_Stock]]),ISNUMBER(Raw_Data[[#This Row],[Unit_Cost]])),Raw_Data[[#This Row],[Closing_Stock]]*Raw_Data[[#This Row],[Unit_Cost]],"")</f>
        <v>552636</v>
      </c>
      <c r="N5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5" spans="1:14" x14ac:dyDescent="0.3">
      <c r="A55" t="s">
        <v>141</v>
      </c>
      <c r="B55" t="s">
        <v>142</v>
      </c>
      <c r="D55" t="s">
        <v>32</v>
      </c>
      <c r="E55" s="3"/>
      <c r="F55">
        <v>254</v>
      </c>
      <c r="G55">
        <v>0</v>
      </c>
      <c r="H55">
        <v>254</v>
      </c>
      <c r="I55">
        <v>2769</v>
      </c>
      <c r="J55" t="s">
        <v>14</v>
      </c>
      <c r="K55" s="4">
        <f>IF(AND(ISNUMBER(Raw_Data[[#This Row],[Opening_Stock]]),ISNUMBER(Raw_Data[[#This Row],[Units_Sold]]),Raw_Data[[#This Row],[Opening_Stock]]&gt;0),Raw_Data[[#This Row],[Units_Sold]]/Raw_Data[[#This Row],[Opening_Stock]],"")</f>
        <v>0</v>
      </c>
      <c r="L55" t="str">
        <f>IF(NOT(ISNUMBER(Raw_Data[[#This Row],[Sell_through%]])),"Check",IF(Raw_Data[[#This Row],[Sell_through%]]=0,"Non-moving",IF(Raw_Data[[#This Row],[Sell_through%]]&gt;=0.6,"Fast","Slow")))</f>
        <v>Non-moving</v>
      </c>
      <c r="M55">
        <f>IF(AND(ISNUMBER(Raw_Data[[#This Row],[Closing_Stock]]),ISNUMBER(Raw_Data[[#This Row],[Unit_Cost]])),Raw_Data[[#This Row],[Closing_Stock]]*Raw_Data[[#This Row],[Unit_Cost]],"")</f>
        <v>703326</v>
      </c>
      <c r="N5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6" spans="1:14" x14ac:dyDescent="0.3">
      <c r="A56" t="s">
        <v>143</v>
      </c>
      <c r="B56" t="s">
        <v>224</v>
      </c>
      <c r="C56" t="s">
        <v>49</v>
      </c>
      <c r="D56" t="s">
        <v>13</v>
      </c>
      <c r="E56" s="3">
        <v>46216</v>
      </c>
      <c r="F56">
        <v>477</v>
      </c>
      <c r="G56">
        <v>410</v>
      </c>
      <c r="H56">
        <v>67</v>
      </c>
      <c r="I56">
        <v>2335</v>
      </c>
      <c r="J56" t="s">
        <v>14</v>
      </c>
      <c r="K56" s="4">
        <f>IF(AND(ISNUMBER(Raw_Data[[#This Row],[Opening_Stock]]),ISNUMBER(Raw_Data[[#This Row],[Units_Sold]]),Raw_Data[[#This Row],[Opening_Stock]]&gt;0),Raw_Data[[#This Row],[Units_Sold]]/Raw_Data[[#This Row],[Opening_Stock]],"")</f>
        <v>0.85953878406708595</v>
      </c>
      <c r="L56" t="str">
        <f>IF(NOT(ISNUMBER(Raw_Data[[#This Row],[Sell_through%]])),"Check",IF(Raw_Data[[#This Row],[Sell_through%]]=0,"Non-moving",IF(Raw_Data[[#This Row],[Sell_through%]]&gt;=0.6,"Fast","Slow")))</f>
        <v>Fast</v>
      </c>
      <c r="M56">
        <f>IF(AND(ISNUMBER(Raw_Data[[#This Row],[Closing_Stock]]),ISNUMBER(Raw_Data[[#This Row],[Unit_Cost]])),Raw_Data[[#This Row],[Closing_Stock]]*Raw_Data[[#This Row],[Unit_Cost]],"")</f>
        <v>156445</v>
      </c>
      <c r="N56"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7" spans="1:14" x14ac:dyDescent="0.3">
      <c r="A57" t="s">
        <v>145</v>
      </c>
      <c r="B57" t="s">
        <v>146</v>
      </c>
      <c r="C57" t="s">
        <v>35</v>
      </c>
      <c r="D57" t="s">
        <v>36</v>
      </c>
      <c r="E57" s="3"/>
      <c r="F57">
        <v>219</v>
      </c>
      <c r="G57">
        <v>0</v>
      </c>
      <c r="H57">
        <v>219</v>
      </c>
      <c r="I57">
        <v>785</v>
      </c>
      <c r="J57" t="s">
        <v>14</v>
      </c>
      <c r="K57" s="4">
        <f>IF(AND(ISNUMBER(Raw_Data[[#This Row],[Opening_Stock]]),ISNUMBER(Raw_Data[[#This Row],[Units_Sold]]),Raw_Data[[#This Row],[Opening_Stock]]&gt;0),Raw_Data[[#This Row],[Units_Sold]]/Raw_Data[[#This Row],[Opening_Stock]],"")</f>
        <v>0</v>
      </c>
      <c r="L57" t="str">
        <f>IF(NOT(ISNUMBER(Raw_Data[[#This Row],[Sell_through%]])),"Check",IF(Raw_Data[[#This Row],[Sell_through%]]=0,"Non-moving",IF(Raw_Data[[#This Row],[Sell_through%]]&gt;=0.6,"Fast","Slow")))</f>
        <v>Non-moving</v>
      </c>
      <c r="M57">
        <f>IF(AND(ISNUMBER(Raw_Data[[#This Row],[Closing_Stock]]),ISNUMBER(Raw_Data[[#This Row],[Unit_Cost]])),Raw_Data[[#This Row],[Closing_Stock]]*Raw_Data[[#This Row],[Unit_Cost]],"")</f>
        <v>171915</v>
      </c>
      <c r="N5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8" spans="1:14" x14ac:dyDescent="0.3">
      <c r="A58" t="s">
        <v>148</v>
      </c>
      <c r="B58" t="s">
        <v>16</v>
      </c>
      <c r="C58" t="s">
        <v>12</v>
      </c>
      <c r="D58" t="s">
        <v>32</v>
      </c>
      <c r="E58" s="3">
        <v>46050</v>
      </c>
      <c r="F58">
        <v>90</v>
      </c>
      <c r="G58">
        <v>74</v>
      </c>
      <c r="H58">
        <v>16</v>
      </c>
      <c r="I58">
        <v>2084</v>
      </c>
      <c r="J58" t="s">
        <v>17</v>
      </c>
      <c r="K58" s="4">
        <f>IF(AND(ISNUMBER(Raw_Data[[#This Row],[Opening_Stock]]),ISNUMBER(Raw_Data[[#This Row],[Units_Sold]]),Raw_Data[[#This Row],[Opening_Stock]]&gt;0),Raw_Data[[#This Row],[Units_Sold]]/Raw_Data[[#This Row],[Opening_Stock]],"")</f>
        <v>0.82222222222222219</v>
      </c>
      <c r="L58" t="str">
        <f>IF(NOT(ISNUMBER(Raw_Data[[#This Row],[Sell_through%]])),"Check",IF(Raw_Data[[#This Row],[Sell_through%]]=0,"Non-moving",IF(Raw_Data[[#This Row],[Sell_through%]]&gt;=0.6,"Fast","Slow")))</f>
        <v>Fast</v>
      </c>
      <c r="M58">
        <f>IF(AND(ISNUMBER(Raw_Data[[#This Row],[Closing_Stock]]),ISNUMBER(Raw_Data[[#This Row],[Unit_Cost]])),Raw_Data[[#This Row],[Closing_Stock]]*Raw_Data[[#This Row],[Unit_Cost]],"")</f>
        <v>33344</v>
      </c>
      <c r="N5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9" spans="1:14" x14ac:dyDescent="0.3">
      <c r="A59" t="s">
        <v>149</v>
      </c>
      <c r="B59" t="s">
        <v>112</v>
      </c>
      <c r="C59" t="s">
        <v>35</v>
      </c>
      <c r="D59" t="s">
        <v>13</v>
      </c>
      <c r="E59" s="3">
        <v>46100</v>
      </c>
      <c r="F59">
        <v>280</v>
      </c>
      <c r="G59">
        <v>214</v>
      </c>
      <c r="H59">
        <v>66</v>
      </c>
      <c r="J59" t="s">
        <v>14</v>
      </c>
      <c r="K59" s="4">
        <f>IF(AND(ISNUMBER(Raw_Data[[#This Row],[Opening_Stock]]),ISNUMBER(Raw_Data[[#This Row],[Units_Sold]]),Raw_Data[[#This Row],[Opening_Stock]]&gt;0),Raw_Data[[#This Row],[Units_Sold]]/Raw_Data[[#This Row],[Opening_Stock]],"")</f>
        <v>0.76428571428571423</v>
      </c>
      <c r="L59" t="str">
        <f>IF(NOT(ISNUMBER(Raw_Data[[#This Row],[Sell_through%]])),"Check",IF(Raw_Data[[#This Row],[Sell_through%]]=0,"Non-moving",IF(Raw_Data[[#This Row],[Sell_through%]]&gt;=0.6,"Fast","Slow")))</f>
        <v>Fast</v>
      </c>
      <c r="M59" t="str">
        <f>IF(AND(ISNUMBER(Raw_Data[[#This Row],[Closing_Stock]]),ISNUMBER(Raw_Data[[#This Row],[Unit_Cost]])),Raw_Data[[#This Row],[Closing_Stock]]*Raw_Data[[#This Row],[Unit_Cost]],"")</f>
        <v/>
      </c>
      <c r="N5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0" spans="1:14" x14ac:dyDescent="0.3">
      <c r="A60" t="s">
        <v>150</v>
      </c>
      <c r="B60" t="s">
        <v>151</v>
      </c>
      <c r="C60" t="s">
        <v>35</v>
      </c>
      <c r="D60" t="s">
        <v>36</v>
      </c>
      <c r="E60" s="3"/>
      <c r="F60">
        <v>140</v>
      </c>
      <c r="G60">
        <v>0</v>
      </c>
      <c r="H60">
        <v>140</v>
      </c>
      <c r="I60">
        <v>250</v>
      </c>
      <c r="J60" t="s">
        <v>14</v>
      </c>
      <c r="K60" s="4">
        <f>IF(AND(ISNUMBER(Raw_Data[[#This Row],[Opening_Stock]]),ISNUMBER(Raw_Data[[#This Row],[Units_Sold]]),Raw_Data[[#This Row],[Opening_Stock]]&gt;0),Raw_Data[[#This Row],[Units_Sold]]/Raw_Data[[#This Row],[Opening_Stock]],"")</f>
        <v>0</v>
      </c>
      <c r="L60" t="str">
        <f>IF(NOT(ISNUMBER(Raw_Data[[#This Row],[Sell_through%]])),"Check",IF(Raw_Data[[#This Row],[Sell_through%]]=0,"Non-moving",IF(Raw_Data[[#This Row],[Sell_through%]]&gt;=0.6,"Fast","Slow")))</f>
        <v>Non-moving</v>
      </c>
      <c r="M60">
        <f>IF(AND(ISNUMBER(Raw_Data[[#This Row],[Closing_Stock]]),ISNUMBER(Raw_Data[[#This Row],[Unit_Cost]])),Raw_Data[[#This Row],[Closing_Stock]]*Raw_Data[[#This Row],[Unit_Cost]],"")</f>
        <v>35000</v>
      </c>
      <c r="N6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1" spans="1:14" x14ac:dyDescent="0.3">
      <c r="A61" t="s">
        <v>152</v>
      </c>
      <c r="B61" t="s">
        <v>65</v>
      </c>
      <c r="C61" t="s">
        <v>49</v>
      </c>
      <c r="D61" t="s">
        <v>13</v>
      </c>
      <c r="E61" s="3">
        <v>46112</v>
      </c>
      <c r="F61">
        <v>232</v>
      </c>
      <c r="G61">
        <v>163</v>
      </c>
      <c r="H61">
        <v>69</v>
      </c>
      <c r="I61">
        <v>2898</v>
      </c>
      <c r="J61" t="s">
        <v>14</v>
      </c>
      <c r="K61" s="4">
        <f>IF(AND(ISNUMBER(Raw_Data[[#This Row],[Opening_Stock]]),ISNUMBER(Raw_Data[[#This Row],[Units_Sold]]),Raw_Data[[#This Row],[Opening_Stock]]&gt;0),Raw_Data[[#This Row],[Units_Sold]]/Raw_Data[[#This Row],[Opening_Stock]],"")</f>
        <v>0.70258620689655171</v>
      </c>
      <c r="L61" t="str">
        <f>IF(NOT(ISNUMBER(Raw_Data[[#This Row],[Sell_through%]])),"Check",IF(Raw_Data[[#This Row],[Sell_through%]]=0,"Non-moving",IF(Raw_Data[[#This Row],[Sell_through%]]&gt;=0.6,"Fast","Slow")))</f>
        <v>Fast</v>
      </c>
      <c r="M61">
        <f>IF(AND(ISNUMBER(Raw_Data[[#This Row],[Closing_Stock]]),ISNUMBER(Raw_Data[[#This Row],[Unit_Cost]])),Raw_Data[[#This Row],[Closing_Stock]]*Raw_Data[[#This Row],[Unit_Cost]],"")</f>
        <v>199962</v>
      </c>
      <c r="N6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2" spans="1:14" x14ac:dyDescent="0.3">
      <c r="A62" t="s">
        <v>154</v>
      </c>
      <c r="B62" t="s">
        <v>101</v>
      </c>
      <c r="C62" t="s">
        <v>12</v>
      </c>
      <c r="D62" t="s">
        <v>32</v>
      </c>
      <c r="E62" s="3">
        <v>46192</v>
      </c>
      <c r="F62">
        <v>357</v>
      </c>
      <c r="G62">
        <v>103</v>
      </c>
      <c r="H62">
        <v>254</v>
      </c>
      <c r="I62">
        <v>2598</v>
      </c>
      <c r="J62" t="s">
        <v>14</v>
      </c>
      <c r="K62" s="4">
        <f>IF(AND(ISNUMBER(Raw_Data[[#This Row],[Opening_Stock]]),ISNUMBER(Raw_Data[[#This Row],[Units_Sold]]),Raw_Data[[#This Row],[Opening_Stock]]&gt;0),Raw_Data[[#This Row],[Units_Sold]]/Raw_Data[[#This Row],[Opening_Stock]],"")</f>
        <v>0.28851540616246496</v>
      </c>
      <c r="L62" t="str">
        <f>IF(NOT(ISNUMBER(Raw_Data[[#This Row],[Sell_through%]])),"Check",IF(Raw_Data[[#This Row],[Sell_through%]]=0,"Non-moving",IF(Raw_Data[[#This Row],[Sell_through%]]&gt;=0.6,"Fast","Slow")))</f>
        <v>Slow</v>
      </c>
      <c r="M62">
        <f>IF(AND(ISNUMBER(Raw_Data[[#This Row],[Closing_Stock]]),ISNUMBER(Raw_Data[[#This Row],[Unit_Cost]])),Raw_Data[[#This Row],[Closing_Stock]]*Raw_Data[[#This Row],[Unit_Cost]],"")</f>
        <v>659892</v>
      </c>
      <c r="N6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3" spans="1:14" x14ac:dyDescent="0.3">
      <c r="A63" t="s">
        <v>155</v>
      </c>
      <c r="B63" t="s">
        <v>117</v>
      </c>
      <c r="C63" t="s">
        <v>28</v>
      </c>
      <c r="D63" t="s">
        <v>32</v>
      </c>
      <c r="E63" s="3">
        <v>46027</v>
      </c>
      <c r="F63">
        <v>406</v>
      </c>
      <c r="G63">
        <v>35</v>
      </c>
      <c r="H63">
        <v>371</v>
      </c>
      <c r="I63">
        <v>977</v>
      </c>
      <c r="J63" t="s">
        <v>14</v>
      </c>
      <c r="K63" s="4">
        <f>IF(AND(ISNUMBER(Raw_Data[[#This Row],[Opening_Stock]]),ISNUMBER(Raw_Data[[#This Row],[Units_Sold]]),Raw_Data[[#This Row],[Opening_Stock]]&gt;0),Raw_Data[[#This Row],[Units_Sold]]/Raw_Data[[#This Row],[Opening_Stock]],"")</f>
        <v>8.6206896551724144E-2</v>
      </c>
      <c r="L63" t="str">
        <f>IF(NOT(ISNUMBER(Raw_Data[[#This Row],[Sell_through%]])),"Check",IF(Raw_Data[[#This Row],[Sell_through%]]=0,"Non-moving",IF(Raw_Data[[#This Row],[Sell_through%]]&gt;=0.6,"Fast","Slow")))</f>
        <v>Slow</v>
      </c>
      <c r="M63">
        <f>IF(AND(ISNUMBER(Raw_Data[[#This Row],[Closing_Stock]]),ISNUMBER(Raw_Data[[#This Row],[Unit_Cost]])),Raw_Data[[#This Row],[Closing_Stock]]*Raw_Data[[#This Row],[Unit_Cost]],"")</f>
        <v>362467</v>
      </c>
      <c r="N6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4" spans="1:14" x14ac:dyDescent="0.3">
      <c r="A64" t="s">
        <v>157</v>
      </c>
      <c r="B64" t="s">
        <v>158</v>
      </c>
      <c r="C64" t="s">
        <v>31</v>
      </c>
      <c r="D64" t="s">
        <v>32</v>
      </c>
      <c r="E64" s="3">
        <v>46075</v>
      </c>
      <c r="F64">
        <v>133</v>
      </c>
      <c r="G64">
        <v>24</v>
      </c>
      <c r="H64">
        <v>109</v>
      </c>
      <c r="I64">
        <v>543</v>
      </c>
      <c r="J64" t="s">
        <v>14</v>
      </c>
      <c r="K64" s="4">
        <f>IF(AND(ISNUMBER(Raw_Data[[#This Row],[Opening_Stock]]),ISNUMBER(Raw_Data[[#This Row],[Units_Sold]]),Raw_Data[[#This Row],[Opening_Stock]]&gt;0),Raw_Data[[#This Row],[Units_Sold]]/Raw_Data[[#This Row],[Opening_Stock]],"")</f>
        <v>0.18045112781954886</v>
      </c>
      <c r="L64" t="str">
        <f>IF(NOT(ISNUMBER(Raw_Data[[#This Row],[Sell_through%]])),"Check",IF(Raw_Data[[#This Row],[Sell_through%]]=0,"Non-moving",IF(Raw_Data[[#This Row],[Sell_through%]]&gt;=0.6,"Fast","Slow")))</f>
        <v>Slow</v>
      </c>
      <c r="M64">
        <f>IF(AND(ISNUMBER(Raw_Data[[#This Row],[Closing_Stock]]),ISNUMBER(Raw_Data[[#This Row],[Unit_Cost]])),Raw_Data[[#This Row],[Closing_Stock]]*Raw_Data[[#This Row],[Unit_Cost]],"")</f>
        <v>59187</v>
      </c>
      <c r="N6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5" spans="1:14" x14ac:dyDescent="0.3">
      <c r="A65" t="s">
        <v>159</v>
      </c>
      <c r="B65" t="s">
        <v>41</v>
      </c>
      <c r="C65" t="s">
        <v>49</v>
      </c>
      <c r="D65" t="s">
        <v>21</v>
      </c>
      <c r="E65" s="3">
        <v>46063</v>
      </c>
      <c r="F65">
        <v>191</v>
      </c>
      <c r="G65">
        <v>24</v>
      </c>
      <c r="H65">
        <v>167</v>
      </c>
      <c r="J65" t="s">
        <v>14</v>
      </c>
      <c r="K65" s="4">
        <f>IF(AND(ISNUMBER(Raw_Data[[#This Row],[Opening_Stock]]),ISNUMBER(Raw_Data[[#This Row],[Units_Sold]]),Raw_Data[[#This Row],[Opening_Stock]]&gt;0),Raw_Data[[#This Row],[Units_Sold]]/Raw_Data[[#This Row],[Opening_Stock]],"")</f>
        <v>0.1256544502617801</v>
      </c>
      <c r="L65" t="str">
        <f>IF(NOT(ISNUMBER(Raw_Data[[#This Row],[Sell_through%]])),"Check",IF(Raw_Data[[#This Row],[Sell_through%]]=0,"Non-moving",IF(Raw_Data[[#This Row],[Sell_through%]]&gt;=0.6,"Fast","Slow")))</f>
        <v>Slow</v>
      </c>
      <c r="M65" t="str">
        <f>IF(AND(ISNUMBER(Raw_Data[[#This Row],[Closing_Stock]]),ISNUMBER(Raw_Data[[#This Row],[Unit_Cost]])),Raw_Data[[#This Row],[Closing_Stock]]*Raw_Data[[#This Row],[Unit_Cost]],"")</f>
        <v/>
      </c>
      <c r="N6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6" spans="1:14" x14ac:dyDescent="0.3">
      <c r="A66" t="s">
        <v>160</v>
      </c>
      <c r="B66" t="s">
        <v>161</v>
      </c>
      <c r="D66" t="s">
        <v>36</v>
      </c>
      <c r="E66" s="3">
        <v>46172</v>
      </c>
      <c r="F66">
        <v>112</v>
      </c>
      <c r="G66">
        <v>107</v>
      </c>
      <c r="H66">
        <v>5</v>
      </c>
      <c r="I66">
        <v>2642</v>
      </c>
      <c r="J66" t="s">
        <v>17</v>
      </c>
      <c r="K66" s="4">
        <f>IF(AND(ISNUMBER(Raw_Data[[#This Row],[Opening_Stock]]),ISNUMBER(Raw_Data[[#This Row],[Units_Sold]]),Raw_Data[[#This Row],[Opening_Stock]]&gt;0),Raw_Data[[#This Row],[Units_Sold]]/Raw_Data[[#This Row],[Opening_Stock]],"")</f>
        <v>0.9553571428571429</v>
      </c>
      <c r="L66" t="str">
        <f>IF(NOT(ISNUMBER(Raw_Data[[#This Row],[Sell_through%]])),"Check",IF(Raw_Data[[#This Row],[Sell_through%]]=0,"Non-moving",IF(Raw_Data[[#This Row],[Sell_through%]]&gt;=0.6,"Fast","Slow")))</f>
        <v>Fast</v>
      </c>
      <c r="M66">
        <f>IF(AND(ISNUMBER(Raw_Data[[#This Row],[Closing_Stock]]),ISNUMBER(Raw_Data[[#This Row],[Unit_Cost]])),Raw_Data[[#This Row],[Closing_Stock]]*Raw_Data[[#This Row],[Unit_Cost]],"")</f>
        <v>13210</v>
      </c>
      <c r="N66"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7" spans="1:14" x14ac:dyDescent="0.3">
      <c r="A67" t="s">
        <v>162</v>
      </c>
      <c r="B67" t="s">
        <v>84</v>
      </c>
      <c r="C67" t="s">
        <v>28</v>
      </c>
      <c r="D67" t="s">
        <v>32</v>
      </c>
      <c r="E67" s="3">
        <v>46051</v>
      </c>
      <c r="F67">
        <v>191</v>
      </c>
      <c r="G67">
        <v>163</v>
      </c>
      <c r="H67">
        <v>28</v>
      </c>
      <c r="I67">
        <v>1079</v>
      </c>
      <c r="J67" t="s">
        <v>17</v>
      </c>
      <c r="K67" s="4">
        <f>IF(AND(ISNUMBER(Raw_Data[[#This Row],[Opening_Stock]]),ISNUMBER(Raw_Data[[#This Row],[Units_Sold]]),Raw_Data[[#This Row],[Opening_Stock]]&gt;0),Raw_Data[[#This Row],[Units_Sold]]/Raw_Data[[#This Row],[Opening_Stock]],"")</f>
        <v>0.8534031413612565</v>
      </c>
      <c r="L67" t="str">
        <f>IF(NOT(ISNUMBER(Raw_Data[[#This Row],[Sell_through%]])),"Check",IF(Raw_Data[[#This Row],[Sell_through%]]=0,"Non-moving",IF(Raw_Data[[#This Row],[Sell_through%]]&gt;=0.6,"Fast","Slow")))</f>
        <v>Fast</v>
      </c>
      <c r="M67">
        <f>IF(AND(ISNUMBER(Raw_Data[[#This Row],[Closing_Stock]]),ISNUMBER(Raw_Data[[#This Row],[Unit_Cost]])),Raw_Data[[#This Row],[Closing_Stock]]*Raw_Data[[#This Row],[Unit_Cost]],"")</f>
        <v>30212</v>
      </c>
      <c r="N6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8" spans="1:14" x14ac:dyDescent="0.3">
      <c r="A68" t="s">
        <v>163</v>
      </c>
      <c r="B68" t="s">
        <v>164</v>
      </c>
      <c r="C68" t="s">
        <v>49</v>
      </c>
      <c r="D68" t="s">
        <v>21</v>
      </c>
      <c r="E68" s="3">
        <v>46026</v>
      </c>
      <c r="F68">
        <v>163</v>
      </c>
      <c r="G68">
        <v>60</v>
      </c>
      <c r="H68">
        <v>103</v>
      </c>
      <c r="I68">
        <v>567</v>
      </c>
      <c r="J68" t="s">
        <v>14</v>
      </c>
      <c r="K68" s="4">
        <f>IF(AND(ISNUMBER(Raw_Data[[#This Row],[Opening_Stock]]),ISNUMBER(Raw_Data[[#This Row],[Units_Sold]]),Raw_Data[[#This Row],[Opening_Stock]]&gt;0),Raw_Data[[#This Row],[Units_Sold]]/Raw_Data[[#This Row],[Opening_Stock]],"")</f>
        <v>0.36809815950920244</v>
      </c>
      <c r="L68" t="str">
        <f>IF(NOT(ISNUMBER(Raw_Data[[#This Row],[Sell_through%]])),"Check",IF(Raw_Data[[#This Row],[Sell_through%]]=0,"Non-moving",IF(Raw_Data[[#This Row],[Sell_through%]]&gt;=0.6,"Fast","Slow")))</f>
        <v>Slow</v>
      </c>
      <c r="M68">
        <f>IF(AND(ISNUMBER(Raw_Data[[#This Row],[Closing_Stock]]),ISNUMBER(Raw_Data[[#This Row],[Unit_Cost]])),Raw_Data[[#This Row],[Closing_Stock]]*Raw_Data[[#This Row],[Unit_Cost]],"")</f>
        <v>58401</v>
      </c>
      <c r="N6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9" spans="1:14" x14ac:dyDescent="0.3">
      <c r="A69" t="s">
        <v>166</v>
      </c>
      <c r="B69" t="s">
        <v>11</v>
      </c>
      <c r="C69" t="s">
        <v>12</v>
      </c>
      <c r="D69" t="s">
        <v>32</v>
      </c>
      <c r="E69" s="3"/>
      <c r="F69">
        <v>402</v>
      </c>
      <c r="G69">
        <v>0</v>
      </c>
      <c r="H69">
        <v>402</v>
      </c>
      <c r="I69">
        <v>539</v>
      </c>
      <c r="J69" t="s">
        <v>14</v>
      </c>
      <c r="K69" s="4">
        <f>IF(AND(ISNUMBER(Raw_Data[[#This Row],[Opening_Stock]]),ISNUMBER(Raw_Data[[#This Row],[Units_Sold]]),Raw_Data[[#This Row],[Opening_Stock]]&gt;0),Raw_Data[[#This Row],[Units_Sold]]/Raw_Data[[#This Row],[Opening_Stock]],"")</f>
        <v>0</v>
      </c>
      <c r="L69" t="str">
        <f>IF(NOT(ISNUMBER(Raw_Data[[#This Row],[Sell_through%]])),"Check",IF(Raw_Data[[#This Row],[Sell_through%]]=0,"Non-moving",IF(Raw_Data[[#This Row],[Sell_through%]]&gt;=0.6,"Fast","Slow")))</f>
        <v>Non-moving</v>
      </c>
      <c r="M69">
        <f>IF(AND(ISNUMBER(Raw_Data[[#This Row],[Closing_Stock]]),ISNUMBER(Raw_Data[[#This Row],[Unit_Cost]])),Raw_Data[[#This Row],[Closing_Stock]]*Raw_Data[[#This Row],[Unit_Cost]],"")</f>
        <v>216678</v>
      </c>
      <c r="N6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0" spans="1:14" x14ac:dyDescent="0.3">
      <c r="A70" t="s">
        <v>168</v>
      </c>
      <c r="B70" t="s">
        <v>363</v>
      </c>
      <c r="C70" t="s">
        <v>12</v>
      </c>
      <c r="D70" t="s">
        <v>13</v>
      </c>
      <c r="E70" s="3"/>
      <c r="F70">
        <v>195</v>
      </c>
      <c r="G70">
        <v>0</v>
      </c>
      <c r="H70">
        <v>195</v>
      </c>
      <c r="I70">
        <v>85</v>
      </c>
      <c r="J70" t="s">
        <v>14</v>
      </c>
      <c r="K70" s="4">
        <f>IF(AND(ISNUMBER(Raw_Data[[#This Row],[Opening_Stock]]),ISNUMBER(Raw_Data[[#This Row],[Units_Sold]]),Raw_Data[[#This Row],[Opening_Stock]]&gt;0),Raw_Data[[#This Row],[Units_Sold]]/Raw_Data[[#This Row],[Opening_Stock]],"")</f>
        <v>0</v>
      </c>
      <c r="L70" t="str">
        <f>IF(NOT(ISNUMBER(Raw_Data[[#This Row],[Sell_through%]])),"Check",IF(Raw_Data[[#This Row],[Sell_through%]]=0,"Non-moving",IF(Raw_Data[[#This Row],[Sell_through%]]&gt;=0.6,"Fast","Slow")))</f>
        <v>Non-moving</v>
      </c>
      <c r="M70">
        <f>IF(AND(ISNUMBER(Raw_Data[[#This Row],[Closing_Stock]]),ISNUMBER(Raw_Data[[#This Row],[Unit_Cost]])),Raw_Data[[#This Row],[Closing_Stock]]*Raw_Data[[#This Row],[Unit_Cost]],"")</f>
        <v>16575</v>
      </c>
      <c r="N7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1" spans="1:14" x14ac:dyDescent="0.3">
      <c r="A71" t="s">
        <v>170</v>
      </c>
      <c r="B71" t="s">
        <v>71</v>
      </c>
      <c r="C71" t="s">
        <v>35</v>
      </c>
      <c r="D71" t="s">
        <v>32</v>
      </c>
      <c r="E71" s="3"/>
      <c r="F71">
        <v>370</v>
      </c>
      <c r="G71">
        <v>0</v>
      </c>
      <c r="H71">
        <v>370</v>
      </c>
      <c r="I71">
        <v>940</v>
      </c>
      <c r="J71" t="s">
        <v>14</v>
      </c>
      <c r="K71" s="4">
        <f>IF(AND(ISNUMBER(Raw_Data[[#This Row],[Opening_Stock]]),ISNUMBER(Raw_Data[[#This Row],[Units_Sold]]),Raw_Data[[#This Row],[Opening_Stock]]&gt;0),Raw_Data[[#This Row],[Units_Sold]]/Raw_Data[[#This Row],[Opening_Stock]],"")</f>
        <v>0</v>
      </c>
      <c r="L71" t="str">
        <f>IF(NOT(ISNUMBER(Raw_Data[[#This Row],[Sell_through%]])),"Check",IF(Raw_Data[[#This Row],[Sell_through%]]=0,"Non-moving",IF(Raw_Data[[#This Row],[Sell_through%]]&gt;=0.6,"Fast","Slow")))</f>
        <v>Non-moving</v>
      </c>
      <c r="M71">
        <f>IF(AND(ISNUMBER(Raw_Data[[#This Row],[Closing_Stock]]),ISNUMBER(Raw_Data[[#This Row],[Unit_Cost]])),Raw_Data[[#This Row],[Closing_Stock]]*Raw_Data[[#This Row],[Unit_Cost]],"")</f>
        <v>347800</v>
      </c>
      <c r="N7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2" spans="1:14" x14ac:dyDescent="0.3">
      <c r="A72" t="s">
        <v>171</v>
      </c>
      <c r="B72" t="s">
        <v>151</v>
      </c>
      <c r="C72" t="s">
        <v>35</v>
      </c>
      <c r="D72" t="s">
        <v>21</v>
      </c>
      <c r="E72" s="3">
        <v>46287</v>
      </c>
      <c r="F72">
        <v>354</v>
      </c>
      <c r="G72">
        <v>92</v>
      </c>
      <c r="H72">
        <v>262</v>
      </c>
      <c r="J72" t="s">
        <v>14</v>
      </c>
      <c r="K72" s="4">
        <f>IF(AND(ISNUMBER(Raw_Data[[#This Row],[Opening_Stock]]),ISNUMBER(Raw_Data[[#This Row],[Units_Sold]]),Raw_Data[[#This Row],[Opening_Stock]]&gt;0),Raw_Data[[#This Row],[Units_Sold]]/Raw_Data[[#This Row],[Opening_Stock]],"")</f>
        <v>0.25988700564971751</v>
      </c>
      <c r="L72" t="str">
        <f>IF(NOT(ISNUMBER(Raw_Data[[#This Row],[Sell_through%]])),"Check",IF(Raw_Data[[#This Row],[Sell_through%]]=0,"Non-moving",IF(Raw_Data[[#This Row],[Sell_through%]]&gt;=0.6,"Fast","Slow")))</f>
        <v>Slow</v>
      </c>
      <c r="M72" t="str">
        <f>IF(AND(ISNUMBER(Raw_Data[[#This Row],[Closing_Stock]]),ISNUMBER(Raw_Data[[#This Row],[Unit_Cost]])),Raw_Data[[#This Row],[Closing_Stock]]*Raw_Data[[#This Row],[Unit_Cost]],"")</f>
        <v/>
      </c>
      <c r="N7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3" spans="1:14" x14ac:dyDescent="0.3">
      <c r="A73" t="s">
        <v>172</v>
      </c>
      <c r="B73" t="s">
        <v>184</v>
      </c>
      <c r="C73" t="s">
        <v>31</v>
      </c>
      <c r="D73" t="s">
        <v>13</v>
      </c>
      <c r="E73" s="3"/>
      <c r="F73">
        <v>225</v>
      </c>
      <c r="G73">
        <v>0</v>
      </c>
      <c r="H73">
        <v>225</v>
      </c>
      <c r="I73">
        <v>2114</v>
      </c>
      <c r="J73" t="s">
        <v>14</v>
      </c>
      <c r="K73" s="4">
        <f>IF(AND(ISNUMBER(Raw_Data[[#This Row],[Opening_Stock]]),ISNUMBER(Raw_Data[[#This Row],[Units_Sold]]),Raw_Data[[#This Row],[Opening_Stock]]&gt;0),Raw_Data[[#This Row],[Units_Sold]]/Raw_Data[[#This Row],[Opening_Stock]],"")</f>
        <v>0</v>
      </c>
      <c r="L73" t="str">
        <f>IF(NOT(ISNUMBER(Raw_Data[[#This Row],[Sell_through%]])),"Check",IF(Raw_Data[[#This Row],[Sell_through%]]=0,"Non-moving",IF(Raw_Data[[#This Row],[Sell_through%]]&gt;=0.6,"Fast","Slow")))</f>
        <v>Non-moving</v>
      </c>
      <c r="M73">
        <f>IF(AND(ISNUMBER(Raw_Data[[#This Row],[Closing_Stock]]),ISNUMBER(Raw_Data[[#This Row],[Unit_Cost]])),Raw_Data[[#This Row],[Closing_Stock]]*Raw_Data[[#This Row],[Unit_Cost]],"")</f>
        <v>475650</v>
      </c>
      <c r="N7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4" spans="1:14" x14ac:dyDescent="0.3">
      <c r="A74" t="s">
        <v>174</v>
      </c>
      <c r="B74" t="s">
        <v>60</v>
      </c>
      <c r="C74" t="s">
        <v>28</v>
      </c>
      <c r="D74" t="s">
        <v>32</v>
      </c>
      <c r="E74" s="3">
        <v>46233</v>
      </c>
      <c r="F74">
        <v>148</v>
      </c>
      <c r="G74">
        <v>57</v>
      </c>
      <c r="H74">
        <v>91</v>
      </c>
      <c r="I74">
        <v>69</v>
      </c>
      <c r="J74" t="s">
        <v>14</v>
      </c>
      <c r="K74" s="4">
        <f>IF(AND(ISNUMBER(Raw_Data[[#This Row],[Opening_Stock]]),ISNUMBER(Raw_Data[[#This Row],[Units_Sold]]),Raw_Data[[#This Row],[Opening_Stock]]&gt;0),Raw_Data[[#This Row],[Units_Sold]]/Raw_Data[[#This Row],[Opening_Stock]],"")</f>
        <v>0.38513513513513514</v>
      </c>
      <c r="L74" t="str">
        <f>IF(NOT(ISNUMBER(Raw_Data[[#This Row],[Sell_through%]])),"Check",IF(Raw_Data[[#This Row],[Sell_through%]]=0,"Non-moving",IF(Raw_Data[[#This Row],[Sell_through%]]&gt;=0.6,"Fast","Slow")))</f>
        <v>Slow</v>
      </c>
      <c r="M74">
        <f>IF(AND(ISNUMBER(Raw_Data[[#This Row],[Closing_Stock]]),ISNUMBER(Raw_Data[[#This Row],[Unit_Cost]])),Raw_Data[[#This Row],[Closing_Stock]]*Raw_Data[[#This Row],[Unit_Cost]],"")</f>
        <v>6279</v>
      </c>
      <c r="N7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5" spans="1:14" x14ac:dyDescent="0.3">
      <c r="A75" t="s">
        <v>175</v>
      </c>
      <c r="B75" t="s">
        <v>80</v>
      </c>
      <c r="C75" t="s">
        <v>12</v>
      </c>
      <c r="D75" t="s">
        <v>21</v>
      </c>
      <c r="E75" s="3">
        <v>46078</v>
      </c>
      <c r="G75">
        <v>183</v>
      </c>
      <c r="H75">
        <v>30</v>
      </c>
      <c r="I75">
        <v>1887</v>
      </c>
      <c r="J75" t="s">
        <v>17</v>
      </c>
      <c r="K75" s="4" t="str">
        <f>IF(AND(ISNUMBER(Raw_Data[[#This Row],[Opening_Stock]]),ISNUMBER(Raw_Data[[#This Row],[Units_Sold]]),Raw_Data[[#This Row],[Opening_Stock]]&gt;0),Raw_Data[[#This Row],[Units_Sold]]/Raw_Data[[#This Row],[Opening_Stock]],"")</f>
        <v/>
      </c>
      <c r="L75" t="str">
        <f>IF(NOT(ISNUMBER(Raw_Data[[#This Row],[Sell_through%]])),"Check",IF(Raw_Data[[#This Row],[Sell_through%]]=0,"Non-moving",IF(Raw_Data[[#This Row],[Sell_through%]]&gt;=0.6,"Fast","Slow")))</f>
        <v>Check</v>
      </c>
      <c r="M75">
        <f>IF(AND(ISNUMBER(Raw_Data[[#This Row],[Closing_Stock]]),ISNUMBER(Raw_Data[[#This Row],[Unit_Cost]])),Raw_Data[[#This Row],[Closing_Stock]]*Raw_Data[[#This Row],[Unit_Cost]],"")</f>
        <v>56610</v>
      </c>
      <c r="N7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76" spans="1:14" x14ac:dyDescent="0.3">
      <c r="A76" t="s">
        <v>176</v>
      </c>
      <c r="B76" t="s">
        <v>177</v>
      </c>
      <c r="C76" t="s">
        <v>31</v>
      </c>
      <c r="D76" t="s">
        <v>36</v>
      </c>
      <c r="E76" s="3"/>
      <c r="F76">
        <v>422</v>
      </c>
      <c r="G76">
        <v>0</v>
      </c>
      <c r="H76">
        <v>422</v>
      </c>
      <c r="I76">
        <v>2097</v>
      </c>
      <c r="J76" t="s">
        <v>14</v>
      </c>
      <c r="K76" s="4">
        <f>IF(AND(ISNUMBER(Raw_Data[[#This Row],[Opening_Stock]]),ISNUMBER(Raw_Data[[#This Row],[Units_Sold]]),Raw_Data[[#This Row],[Opening_Stock]]&gt;0),Raw_Data[[#This Row],[Units_Sold]]/Raw_Data[[#This Row],[Opening_Stock]],"")</f>
        <v>0</v>
      </c>
      <c r="L76" t="str">
        <f>IF(NOT(ISNUMBER(Raw_Data[[#This Row],[Sell_through%]])),"Check",IF(Raw_Data[[#This Row],[Sell_through%]]=0,"Non-moving",IF(Raw_Data[[#This Row],[Sell_through%]]&gt;=0.6,"Fast","Slow")))</f>
        <v>Non-moving</v>
      </c>
      <c r="M76">
        <f>IF(AND(ISNUMBER(Raw_Data[[#This Row],[Closing_Stock]]),ISNUMBER(Raw_Data[[#This Row],[Unit_Cost]])),Raw_Data[[#This Row],[Closing_Stock]]*Raw_Data[[#This Row],[Unit_Cost]],"")</f>
        <v>884934</v>
      </c>
      <c r="N7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7" spans="1:14" x14ac:dyDescent="0.3">
      <c r="A77" t="s">
        <v>178</v>
      </c>
      <c r="B77" t="s">
        <v>236</v>
      </c>
      <c r="C77" t="s">
        <v>12</v>
      </c>
      <c r="D77" t="s">
        <v>21</v>
      </c>
      <c r="E77" s="3">
        <v>46281</v>
      </c>
      <c r="F77">
        <v>183</v>
      </c>
      <c r="G77">
        <v>129</v>
      </c>
      <c r="H77">
        <v>54</v>
      </c>
      <c r="I77">
        <v>813</v>
      </c>
      <c r="J77" t="s">
        <v>17</v>
      </c>
      <c r="K77" s="4">
        <f>IF(AND(ISNUMBER(Raw_Data[[#This Row],[Opening_Stock]]),ISNUMBER(Raw_Data[[#This Row],[Units_Sold]]),Raw_Data[[#This Row],[Opening_Stock]]&gt;0),Raw_Data[[#This Row],[Units_Sold]]/Raw_Data[[#This Row],[Opening_Stock]],"")</f>
        <v>0.70491803278688525</v>
      </c>
      <c r="L77" t="str">
        <f>IF(NOT(ISNUMBER(Raw_Data[[#This Row],[Sell_through%]])),"Check",IF(Raw_Data[[#This Row],[Sell_through%]]=0,"Non-moving",IF(Raw_Data[[#This Row],[Sell_through%]]&gt;=0.6,"Fast","Slow")))</f>
        <v>Fast</v>
      </c>
      <c r="M77">
        <f>IF(AND(ISNUMBER(Raw_Data[[#This Row],[Closing_Stock]]),ISNUMBER(Raw_Data[[#This Row],[Unit_Cost]])),Raw_Data[[#This Row],[Closing_Stock]]*Raw_Data[[#This Row],[Unit_Cost]],"")</f>
        <v>43902</v>
      </c>
      <c r="N7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8" spans="1:14" x14ac:dyDescent="0.3">
      <c r="A78" t="s">
        <v>181</v>
      </c>
      <c r="B78" t="s">
        <v>182</v>
      </c>
      <c r="C78" t="s">
        <v>12</v>
      </c>
      <c r="D78" t="s">
        <v>32</v>
      </c>
      <c r="E78" s="3">
        <v>46223</v>
      </c>
      <c r="F78">
        <v>145</v>
      </c>
      <c r="G78">
        <v>139</v>
      </c>
      <c r="H78">
        <v>6</v>
      </c>
      <c r="I78">
        <v>1724</v>
      </c>
      <c r="J78" t="s">
        <v>17</v>
      </c>
      <c r="K78" s="4">
        <f>IF(AND(ISNUMBER(Raw_Data[[#This Row],[Opening_Stock]]),ISNUMBER(Raw_Data[[#This Row],[Units_Sold]]),Raw_Data[[#This Row],[Opening_Stock]]&gt;0),Raw_Data[[#This Row],[Units_Sold]]/Raw_Data[[#This Row],[Opening_Stock]],"")</f>
        <v>0.95862068965517244</v>
      </c>
      <c r="L78" t="str">
        <f>IF(NOT(ISNUMBER(Raw_Data[[#This Row],[Sell_through%]])),"Check",IF(Raw_Data[[#This Row],[Sell_through%]]=0,"Non-moving",IF(Raw_Data[[#This Row],[Sell_through%]]&gt;=0.6,"Fast","Slow")))</f>
        <v>Fast</v>
      </c>
      <c r="M78">
        <f>IF(AND(ISNUMBER(Raw_Data[[#This Row],[Closing_Stock]]),ISNUMBER(Raw_Data[[#This Row],[Unit_Cost]])),Raw_Data[[#This Row],[Closing_Stock]]*Raw_Data[[#This Row],[Unit_Cost]],"")</f>
        <v>10344</v>
      </c>
      <c r="N7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9" spans="1:14" x14ac:dyDescent="0.3">
      <c r="A79" t="s">
        <v>183</v>
      </c>
      <c r="B79" t="s">
        <v>184</v>
      </c>
      <c r="C79" t="s">
        <v>31</v>
      </c>
      <c r="D79" t="s">
        <v>13</v>
      </c>
      <c r="E79" s="3">
        <v>46126</v>
      </c>
      <c r="F79">
        <v>220</v>
      </c>
      <c r="G79">
        <v>186</v>
      </c>
      <c r="H79">
        <v>34</v>
      </c>
      <c r="I79">
        <v>2528</v>
      </c>
      <c r="J79" t="s">
        <v>17</v>
      </c>
      <c r="K79" s="4">
        <f>IF(AND(ISNUMBER(Raw_Data[[#This Row],[Opening_Stock]]),ISNUMBER(Raw_Data[[#This Row],[Units_Sold]]),Raw_Data[[#This Row],[Opening_Stock]]&gt;0),Raw_Data[[#This Row],[Units_Sold]]/Raw_Data[[#This Row],[Opening_Stock]],"")</f>
        <v>0.84545454545454546</v>
      </c>
      <c r="L79" t="str">
        <f>IF(NOT(ISNUMBER(Raw_Data[[#This Row],[Sell_through%]])),"Check",IF(Raw_Data[[#This Row],[Sell_through%]]=0,"Non-moving",IF(Raw_Data[[#This Row],[Sell_through%]]&gt;=0.6,"Fast","Slow")))</f>
        <v>Fast</v>
      </c>
      <c r="M79">
        <f>IF(AND(ISNUMBER(Raw_Data[[#This Row],[Closing_Stock]]),ISNUMBER(Raw_Data[[#This Row],[Unit_Cost]])),Raw_Data[[#This Row],[Closing_Stock]]*Raw_Data[[#This Row],[Unit_Cost]],"")</f>
        <v>85952</v>
      </c>
      <c r="N7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0" spans="1:14" x14ac:dyDescent="0.3">
      <c r="A80" t="s">
        <v>186</v>
      </c>
      <c r="B80" t="s">
        <v>93</v>
      </c>
      <c r="D80" t="s">
        <v>36</v>
      </c>
      <c r="E80" s="3"/>
      <c r="G80">
        <v>0</v>
      </c>
      <c r="H80">
        <v>491</v>
      </c>
      <c r="I80">
        <v>1676</v>
      </c>
      <c r="J80" t="s">
        <v>14</v>
      </c>
      <c r="K80" s="4" t="str">
        <f>IF(AND(ISNUMBER(Raw_Data[[#This Row],[Opening_Stock]]),ISNUMBER(Raw_Data[[#This Row],[Units_Sold]]),Raw_Data[[#This Row],[Opening_Stock]]&gt;0),Raw_Data[[#This Row],[Units_Sold]]/Raw_Data[[#This Row],[Opening_Stock]],"")</f>
        <v/>
      </c>
      <c r="L80" t="str">
        <f>IF(NOT(ISNUMBER(Raw_Data[[#This Row],[Sell_through%]])),"Check",IF(Raw_Data[[#This Row],[Sell_through%]]=0,"Non-moving",IF(Raw_Data[[#This Row],[Sell_through%]]&gt;=0.6,"Fast","Slow")))</f>
        <v>Check</v>
      </c>
      <c r="M80">
        <f>IF(AND(ISNUMBER(Raw_Data[[#This Row],[Closing_Stock]]),ISNUMBER(Raw_Data[[#This Row],[Unit_Cost]])),Raw_Data[[#This Row],[Closing_Stock]]*Raw_Data[[#This Row],[Unit_Cost]],"")</f>
        <v>822916</v>
      </c>
      <c r="N80"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1" spans="1:14" x14ac:dyDescent="0.3">
      <c r="A81" t="s">
        <v>188</v>
      </c>
      <c r="B81" t="s">
        <v>189</v>
      </c>
      <c r="C81" t="s">
        <v>49</v>
      </c>
      <c r="D81" t="s">
        <v>32</v>
      </c>
      <c r="E81" s="3">
        <v>46236</v>
      </c>
      <c r="F81">
        <v>263</v>
      </c>
      <c r="G81">
        <v>260</v>
      </c>
      <c r="H81">
        <v>3</v>
      </c>
      <c r="I81">
        <v>2102</v>
      </c>
      <c r="J81" t="s">
        <v>17</v>
      </c>
      <c r="K81" s="4">
        <f>IF(AND(ISNUMBER(Raw_Data[[#This Row],[Opening_Stock]]),ISNUMBER(Raw_Data[[#This Row],[Units_Sold]]),Raw_Data[[#This Row],[Opening_Stock]]&gt;0),Raw_Data[[#This Row],[Units_Sold]]/Raw_Data[[#This Row],[Opening_Stock]],"")</f>
        <v>0.98859315589353614</v>
      </c>
      <c r="L81" t="str">
        <f>IF(NOT(ISNUMBER(Raw_Data[[#This Row],[Sell_through%]])),"Check",IF(Raw_Data[[#This Row],[Sell_through%]]=0,"Non-moving",IF(Raw_Data[[#This Row],[Sell_through%]]&gt;=0.6,"Fast","Slow")))</f>
        <v>Fast</v>
      </c>
      <c r="M81">
        <f>IF(AND(ISNUMBER(Raw_Data[[#This Row],[Closing_Stock]]),ISNUMBER(Raw_Data[[#This Row],[Unit_Cost]])),Raw_Data[[#This Row],[Closing_Stock]]*Raw_Data[[#This Row],[Unit_Cost]],"")</f>
        <v>6306</v>
      </c>
      <c r="N8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2" spans="1:14" x14ac:dyDescent="0.3">
      <c r="A82" t="s">
        <v>190</v>
      </c>
      <c r="B82" t="s">
        <v>1344</v>
      </c>
      <c r="C82" t="s">
        <v>28</v>
      </c>
      <c r="D82" t="s">
        <v>21</v>
      </c>
      <c r="E82" s="3"/>
      <c r="F82">
        <v>497</v>
      </c>
      <c r="G82">
        <v>0</v>
      </c>
      <c r="H82">
        <v>497</v>
      </c>
      <c r="I82">
        <v>1289</v>
      </c>
      <c r="J82" t="s">
        <v>14</v>
      </c>
      <c r="K82" s="4">
        <f>IF(AND(ISNUMBER(Raw_Data[[#This Row],[Opening_Stock]]),ISNUMBER(Raw_Data[[#This Row],[Units_Sold]]),Raw_Data[[#This Row],[Opening_Stock]]&gt;0),Raw_Data[[#This Row],[Units_Sold]]/Raw_Data[[#This Row],[Opening_Stock]],"")</f>
        <v>0</v>
      </c>
      <c r="L82" t="str">
        <f>IF(NOT(ISNUMBER(Raw_Data[[#This Row],[Sell_through%]])),"Check",IF(Raw_Data[[#This Row],[Sell_through%]]=0,"Non-moving",IF(Raw_Data[[#This Row],[Sell_through%]]&gt;=0.6,"Fast","Slow")))</f>
        <v>Non-moving</v>
      </c>
      <c r="M82">
        <f>IF(AND(ISNUMBER(Raw_Data[[#This Row],[Closing_Stock]]),ISNUMBER(Raw_Data[[#This Row],[Unit_Cost]])),Raw_Data[[#This Row],[Closing_Stock]]*Raw_Data[[#This Row],[Unit_Cost]],"")</f>
        <v>640633</v>
      </c>
      <c r="N8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3" spans="1:14" x14ac:dyDescent="0.3">
      <c r="A83" t="s">
        <v>193</v>
      </c>
      <c r="B83" t="s">
        <v>315</v>
      </c>
      <c r="C83" t="s">
        <v>49</v>
      </c>
      <c r="D83" t="s">
        <v>21</v>
      </c>
      <c r="E83" s="3">
        <v>46143</v>
      </c>
      <c r="F83">
        <v>436</v>
      </c>
      <c r="G83">
        <v>356</v>
      </c>
      <c r="H83">
        <v>80</v>
      </c>
      <c r="I83">
        <v>253</v>
      </c>
      <c r="J83" t="s">
        <v>14</v>
      </c>
      <c r="K83" s="4">
        <f>IF(AND(ISNUMBER(Raw_Data[[#This Row],[Opening_Stock]]),ISNUMBER(Raw_Data[[#This Row],[Units_Sold]]),Raw_Data[[#This Row],[Opening_Stock]]&gt;0),Raw_Data[[#This Row],[Units_Sold]]/Raw_Data[[#This Row],[Opening_Stock]],"")</f>
        <v>0.8165137614678899</v>
      </c>
      <c r="L83" t="str">
        <f>IF(NOT(ISNUMBER(Raw_Data[[#This Row],[Sell_through%]])),"Check",IF(Raw_Data[[#This Row],[Sell_through%]]=0,"Non-moving",IF(Raw_Data[[#This Row],[Sell_through%]]&gt;=0.6,"Fast","Slow")))</f>
        <v>Fast</v>
      </c>
      <c r="M83">
        <f>IF(AND(ISNUMBER(Raw_Data[[#This Row],[Closing_Stock]]),ISNUMBER(Raw_Data[[#This Row],[Unit_Cost]])),Raw_Data[[#This Row],[Closing_Stock]]*Raw_Data[[#This Row],[Unit_Cost]],"")</f>
        <v>20240</v>
      </c>
      <c r="N8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4" spans="1:14" x14ac:dyDescent="0.3">
      <c r="A84" t="s">
        <v>195</v>
      </c>
      <c r="B84" t="s">
        <v>62</v>
      </c>
      <c r="C84" t="s">
        <v>49</v>
      </c>
      <c r="D84" t="s">
        <v>13</v>
      </c>
      <c r="E84" s="3"/>
      <c r="F84">
        <v>292</v>
      </c>
      <c r="G84">
        <v>0</v>
      </c>
      <c r="H84">
        <v>292</v>
      </c>
      <c r="I84">
        <v>1122</v>
      </c>
      <c r="J84" t="s">
        <v>14</v>
      </c>
      <c r="K84" s="4">
        <f>IF(AND(ISNUMBER(Raw_Data[[#This Row],[Opening_Stock]]),ISNUMBER(Raw_Data[[#This Row],[Units_Sold]]),Raw_Data[[#This Row],[Opening_Stock]]&gt;0),Raw_Data[[#This Row],[Units_Sold]]/Raw_Data[[#This Row],[Opening_Stock]],"")</f>
        <v>0</v>
      </c>
      <c r="L84" t="str">
        <f>IF(NOT(ISNUMBER(Raw_Data[[#This Row],[Sell_through%]])),"Check",IF(Raw_Data[[#This Row],[Sell_through%]]=0,"Non-moving",IF(Raw_Data[[#This Row],[Sell_through%]]&gt;=0.6,"Fast","Slow")))</f>
        <v>Non-moving</v>
      </c>
      <c r="M84">
        <f>IF(AND(ISNUMBER(Raw_Data[[#This Row],[Closing_Stock]]),ISNUMBER(Raw_Data[[#This Row],[Unit_Cost]])),Raw_Data[[#This Row],[Closing_Stock]]*Raw_Data[[#This Row],[Unit_Cost]],"")</f>
        <v>327624</v>
      </c>
      <c r="N8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5" spans="1:14" x14ac:dyDescent="0.3">
      <c r="A85" t="s">
        <v>196</v>
      </c>
      <c r="B85" t="s">
        <v>23</v>
      </c>
      <c r="C85" t="s">
        <v>35</v>
      </c>
      <c r="D85" t="s">
        <v>21</v>
      </c>
      <c r="E85" s="3">
        <v>46192</v>
      </c>
      <c r="F85">
        <v>96</v>
      </c>
      <c r="G85">
        <v>68</v>
      </c>
      <c r="H85">
        <v>28</v>
      </c>
      <c r="I85">
        <v>695</v>
      </c>
      <c r="J85" t="s">
        <v>17</v>
      </c>
      <c r="K85" s="4">
        <f>IF(AND(ISNUMBER(Raw_Data[[#This Row],[Opening_Stock]]),ISNUMBER(Raw_Data[[#This Row],[Units_Sold]]),Raw_Data[[#This Row],[Opening_Stock]]&gt;0),Raw_Data[[#This Row],[Units_Sold]]/Raw_Data[[#This Row],[Opening_Stock]],"")</f>
        <v>0.70833333333333337</v>
      </c>
      <c r="L85" t="str">
        <f>IF(NOT(ISNUMBER(Raw_Data[[#This Row],[Sell_through%]])),"Check",IF(Raw_Data[[#This Row],[Sell_through%]]=0,"Non-moving",IF(Raw_Data[[#This Row],[Sell_through%]]&gt;=0.6,"Fast","Slow")))</f>
        <v>Fast</v>
      </c>
      <c r="M85">
        <f>IF(AND(ISNUMBER(Raw_Data[[#This Row],[Closing_Stock]]),ISNUMBER(Raw_Data[[#This Row],[Unit_Cost]])),Raw_Data[[#This Row],[Closing_Stock]]*Raw_Data[[#This Row],[Unit_Cost]],"")</f>
        <v>19460</v>
      </c>
      <c r="N85"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6" spans="1:14" x14ac:dyDescent="0.3">
      <c r="A86" t="s">
        <v>197</v>
      </c>
      <c r="B86" t="s">
        <v>198</v>
      </c>
      <c r="C86" t="s">
        <v>31</v>
      </c>
      <c r="D86" t="s">
        <v>36</v>
      </c>
      <c r="E86" s="3">
        <v>46063</v>
      </c>
      <c r="F86">
        <v>441</v>
      </c>
      <c r="G86">
        <v>393</v>
      </c>
      <c r="H86">
        <v>48</v>
      </c>
      <c r="I86">
        <v>421</v>
      </c>
      <c r="J86" t="s">
        <v>17</v>
      </c>
      <c r="K86" s="4">
        <f>IF(AND(ISNUMBER(Raw_Data[[#This Row],[Opening_Stock]]),ISNUMBER(Raw_Data[[#This Row],[Units_Sold]]),Raw_Data[[#This Row],[Opening_Stock]]&gt;0),Raw_Data[[#This Row],[Units_Sold]]/Raw_Data[[#This Row],[Opening_Stock]],"")</f>
        <v>0.891156462585034</v>
      </c>
      <c r="L86" t="str">
        <f>IF(NOT(ISNUMBER(Raw_Data[[#This Row],[Sell_through%]])),"Check",IF(Raw_Data[[#This Row],[Sell_through%]]=0,"Non-moving",IF(Raw_Data[[#This Row],[Sell_through%]]&gt;=0.6,"Fast","Slow")))</f>
        <v>Fast</v>
      </c>
      <c r="M86">
        <f>IF(AND(ISNUMBER(Raw_Data[[#This Row],[Closing_Stock]]),ISNUMBER(Raw_Data[[#This Row],[Unit_Cost]])),Raw_Data[[#This Row],[Closing_Stock]]*Raw_Data[[#This Row],[Unit_Cost]],"")</f>
        <v>20208</v>
      </c>
      <c r="N86"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7" spans="1:14" x14ac:dyDescent="0.3">
      <c r="A87" t="s">
        <v>199</v>
      </c>
      <c r="B87" t="s">
        <v>200</v>
      </c>
      <c r="C87" t="s">
        <v>35</v>
      </c>
      <c r="D87" t="s">
        <v>21</v>
      </c>
      <c r="E87" s="3"/>
      <c r="F87">
        <v>461</v>
      </c>
      <c r="G87">
        <v>0</v>
      </c>
      <c r="H87">
        <v>461</v>
      </c>
      <c r="I87">
        <v>756</v>
      </c>
      <c r="J87" t="s">
        <v>14</v>
      </c>
      <c r="K87" s="4">
        <f>IF(AND(ISNUMBER(Raw_Data[[#This Row],[Opening_Stock]]),ISNUMBER(Raw_Data[[#This Row],[Units_Sold]]),Raw_Data[[#This Row],[Opening_Stock]]&gt;0),Raw_Data[[#This Row],[Units_Sold]]/Raw_Data[[#This Row],[Opening_Stock]],"")</f>
        <v>0</v>
      </c>
      <c r="L87" t="str">
        <f>IF(NOT(ISNUMBER(Raw_Data[[#This Row],[Sell_through%]])),"Check",IF(Raw_Data[[#This Row],[Sell_through%]]=0,"Non-moving",IF(Raw_Data[[#This Row],[Sell_through%]]&gt;=0.6,"Fast","Slow")))</f>
        <v>Non-moving</v>
      </c>
      <c r="M87">
        <f>IF(AND(ISNUMBER(Raw_Data[[#This Row],[Closing_Stock]]),ISNUMBER(Raw_Data[[#This Row],[Unit_Cost]])),Raw_Data[[#This Row],[Closing_Stock]]*Raw_Data[[#This Row],[Unit_Cost]],"")</f>
        <v>348516</v>
      </c>
      <c r="N8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8" spans="1:14" x14ac:dyDescent="0.3">
      <c r="A88" t="s">
        <v>201</v>
      </c>
      <c r="B88" t="s">
        <v>11</v>
      </c>
      <c r="C88" t="s">
        <v>12</v>
      </c>
      <c r="D88" t="s">
        <v>32</v>
      </c>
      <c r="E88" s="3">
        <v>46134</v>
      </c>
      <c r="F88">
        <v>182</v>
      </c>
      <c r="G88">
        <v>12</v>
      </c>
      <c r="H88">
        <v>170</v>
      </c>
      <c r="I88">
        <v>2663</v>
      </c>
      <c r="J88" t="s">
        <v>14</v>
      </c>
      <c r="K88" s="4">
        <f>IF(AND(ISNUMBER(Raw_Data[[#This Row],[Opening_Stock]]),ISNUMBER(Raw_Data[[#This Row],[Units_Sold]]),Raw_Data[[#This Row],[Opening_Stock]]&gt;0),Raw_Data[[#This Row],[Units_Sold]]/Raw_Data[[#This Row],[Opening_Stock]],"")</f>
        <v>6.5934065934065936E-2</v>
      </c>
      <c r="L88" t="str">
        <f>IF(NOT(ISNUMBER(Raw_Data[[#This Row],[Sell_through%]])),"Check",IF(Raw_Data[[#This Row],[Sell_through%]]=0,"Non-moving",IF(Raw_Data[[#This Row],[Sell_through%]]&gt;=0.6,"Fast","Slow")))</f>
        <v>Slow</v>
      </c>
      <c r="M88">
        <f>IF(AND(ISNUMBER(Raw_Data[[#This Row],[Closing_Stock]]),ISNUMBER(Raw_Data[[#This Row],[Unit_Cost]])),Raw_Data[[#This Row],[Closing_Stock]]*Raw_Data[[#This Row],[Unit_Cost]],"")</f>
        <v>452710</v>
      </c>
      <c r="N8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9" spans="1:14" x14ac:dyDescent="0.3">
      <c r="A89" t="s">
        <v>203</v>
      </c>
      <c r="B89" t="s">
        <v>184</v>
      </c>
      <c r="C89" t="s">
        <v>31</v>
      </c>
      <c r="D89" t="s">
        <v>32</v>
      </c>
      <c r="E89" s="3"/>
      <c r="F89">
        <v>51</v>
      </c>
      <c r="G89">
        <v>0</v>
      </c>
      <c r="H89">
        <v>51</v>
      </c>
      <c r="I89">
        <v>2007</v>
      </c>
      <c r="J89" t="s">
        <v>17</v>
      </c>
      <c r="K89" s="4">
        <f>IF(AND(ISNUMBER(Raw_Data[[#This Row],[Opening_Stock]]),ISNUMBER(Raw_Data[[#This Row],[Units_Sold]]),Raw_Data[[#This Row],[Opening_Stock]]&gt;0),Raw_Data[[#This Row],[Units_Sold]]/Raw_Data[[#This Row],[Opening_Stock]],"")</f>
        <v>0</v>
      </c>
      <c r="L89" t="str">
        <f>IF(NOT(ISNUMBER(Raw_Data[[#This Row],[Sell_through%]])),"Check",IF(Raw_Data[[#This Row],[Sell_through%]]=0,"Non-moving",IF(Raw_Data[[#This Row],[Sell_through%]]&gt;=0.6,"Fast","Slow")))</f>
        <v>Non-moving</v>
      </c>
      <c r="M89">
        <f>IF(AND(ISNUMBER(Raw_Data[[#This Row],[Closing_Stock]]),ISNUMBER(Raw_Data[[#This Row],[Unit_Cost]])),Raw_Data[[#This Row],[Closing_Stock]]*Raw_Data[[#This Row],[Unit_Cost]],"")</f>
        <v>102357</v>
      </c>
      <c r="N8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90" spans="1:14" x14ac:dyDescent="0.3">
      <c r="A90" t="s">
        <v>205</v>
      </c>
      <c r="B90" t="s">
        <v>142</v>
      </c>
      <c r="C90" t="s">
        <v>49</v>
      </c>
      <c r="D90" t="s">
        <v>32</v>
      </c>
      <c r="E90" s="3">
        <v>46142</v>
      </c>
      <c r="F90">
        <v>351</v>
      </c>
      <c r="G90">
        <v>63</v>
      </c>
      <c r="H90">
        <v>288</v>
      </c>
      <c r="I90">
        <v>494</v>
      </c>
      <c r="J90" t="s">
        <v>14</v>
      </c>
      <c r="K90" s="4">
        <f>IF(AND(ISNUMBER(Raw_Data[[#This Row],[Opening_Stock]]),ISNUMBER(Raw_Data[[#This Row],[Units_Sold]]),Raw_Data[[#This Row],[Opening_Stock]]&gt;0),Raw_Data[[#This Row],[Units_Sold]]/Raw_Data[[#This Row],[Opening_Stock]],"")</f>
        <v>0.17948717948717949</v>
      </c>
      <c r="L90" t="str">
        <f>IF(NOT(ISNUMBER(Raw_Data[[#This Row],[Sell_through%]])),"Check",IF(Raw_Data[[#This Row],[Sell_through%]]=0,"Non-moving",IF(Raw_Data[[#This Row],[Sell_through%]]&gt;=0.6,"Fast","Slow")))</f>
        <v>Slow</v>
      </c>
      <c r="M90">
        <f>IF(AND(ISNUMBER(Raw_Data[[#This Row],[Closing_Stock]]),ISNUMBER(Raw_Data[[#This Row],[Unit_Cost]])),Raw_Data[[#This Row],[Closing_Stock]]*Raw_Data[[#This Row],[Unit_Cost]],"")</f>
        <v>142272</v>
      </c>
      <c r="N9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1" spans="1:14" x14ac:dyDescent="0.3">
      <c r="A91" t="s">
        <v>206</v>
      </c>
      <c r="B91" t="s">
        <v>95</v>
      </c>
      <c r="C91" t="s">
        <v>31</v>
      </c>
      <c r="D91" t="s">
        <v>21</v>
      </c>
      <c r="E91" s="3"/>
      <c r="F91">
        <v>250</v>
      </c>
      <c r="G91">
        <v>0</v>
      </c>
      <c r="H91">
        <v>250</v>
      </c>
      <c r="I91">
        <v>1437</v>
      </c>
      <c r="J91" t="s">
        <v>14</v>
      </c>
      <c r="K91" s="4">
        <f>IF(AND(ISNUMBER(Raw_Data[[#This Row],[Opening_Stock]]),ISNUMBER(Raw_Data[[#This Row],[Units_Sold]]),Raw_Data[[#This Row],[Opening_Stock]]&gt;0),Raw_Data[[#This Row],[Units_Sold]]/Raw_Data[[#This Row],[Opening_Stock]],"")</f>
        <v>0</v>
      </c>
      <c r="L91" t="str">
        <f>IF(NOT(ISNUMBER(Raw_Data[[#This Row],[Sell_through%]])),"Check",IF(Raw_Data[[#This Row],[Sell_through%]]=0,"Non-moving",IF(Raw_Data[[#This Row],[Sell_through%]]&gt;=0.6,"Fast","Slow")))</f>
        <v>Non-moving</v>
      </c>
      <c r="M91">
        <f>IF(AND(ISNUMBER(Raw_Data[[#This Row],[Closing_Stock]]),ISNUMBER(Raw_Data[[#This Row],[Unit_Cost]])),Raw_Data[[#This Row],[Closing_Stock]]*Raw_Data[[#This Row],[Unit_Cost]],"")</f>
        <v>359250</v>
      </c>
      <c r="N9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2" spans="1:14" x14ac:dyDescent="0.3">
      <c r="A92" t="s">
        <v>207</v>
      </c>
      <c r="B92" t="s">
        <v>80</v>
      </c>
      <c r="C92" t="s">
        <v>12</v>
      </c>
      <c r="D92" t="s">
        <v>36</v>
      </c>
      <c r="E92" s="3">
        <v>46224</v>
      </c>
      <c r="F92">
        <v>345</v>
      </c>
      <c r="G92">
        <v>130</v>
      </c>
      <c r="H92">
        <v>215</v>
      </c>
      <c r="I92">
        <v>2502</v>
      </c>
      <c r="J92" t="s">
        <v>14</v>
      </c>
      <c r="K92" s="4">
        <f>IF(AND(ISNUMBER(Raw_Data[[#This Row],[Opening_Stock]]),ISNUMBER(Raw_Data[[#This Row],[Units_Sold]]),Raw_Data[[#This Row],[Opening_Stock]]&gt;0),Raw_Data[[#This Row],[Units_Sold]]/Raw_Data[[#This Row],[Opening_Stock]],"")</f>
        <v>0.37681159420289856</v>
      </c>
      <c r="L92" t="str">
        <f>IF(NOT(ISNUMBER(Raw_Data[[#This Row],[Sell_through%]])),"Check",IF(Raw_Data[[#This Row],[Sell_through%]]=0,"Non-moving",IF(Raw_Data[[#This Row],[Sell_through%]]&gt;=0.6,"Fast","Slow")))</f>
        <v>Slow</v>
      </c>
      <c r="M92">
        <f>IF(AND(ISNUMBER(Raw_Data[[#This Row],[Closing_Stock]]),ISNUMBER(Raw_Data[[#This Row],[Unit_Cost]])),Raw_Data[[#This Row],[Closing_Stock]]*Raw_Data[[#This Row],[Unit_Cost]],"")</f>
        <v>537930</v>
      </c>
      <c r="N9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3" spans="1:14" x14ac:dyDescent="0.3">
      <c r="A93" t="s">
        <v>210</v>
      </c>
      <c r="B93" t="s">
        <v>211</v>
      </c>
      <c r="C93" t="s">
        <v>35</v>
      </c>
      <c r="D93" t="s">
        <v>13</v>
      </c>
      <c r="E93" s="3"/>
      <c r="F93">
        <v>461</v>
      </c>
      <c r="G93">
        <v>0</v>
      </c>
      <c r="H93">
        <v>461</v>
      </c>
      <c r="I93">
        <v>1157</v>
      </c>
      <c r="J93" t="s">
        <v>14</v>
      </c>
      <c r="K93" s="4">
        <f>IF(AND(ISNUMBER(Raw_Data[[#This Row],[Opening_Stock]]),ISNUMBER(Raw_Data[[#This Row],[Units_Sold]]),Raw_Data[[#This Row],[Opening_Stock]]&gt;0),Raw_Data[[#This Row],[Units_Sold]]/Raw_Data[[#This Row],[Opening_Stock]],"")</f>
        <v>0</v>
      </c>
      <c r="L93" t="str">
        <f>IF(NOT(ISNUMBER(Raw_Data[[#This Row],[Sell_through%]])),"Check",IF(Raw_Data[[#This Row],[Sell_through%]]=0,"Non-moving",IF(Raw_Data[[#This Row],[Sell_through%]]&gt;=0.6,"Fast","Slow")))</f>
        <v>Non-moving</v>
      </c>
      <c r="M93">
        <f>IF(AND(ISNUMBER(Raw_Data[[#This Row],[Closing_Stock]]),ISNUMBER(Raw_Data[[#This Row],[Unit_Cost]])),Raw_Data[[#This Row],[Closing_Stock]]*Raw_Data[[#This Row],[Unit_Cost]],"")</f>
        <v>533377</v>
      </c>
      <c r="N9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4" spans="1:14" x14ac:dyDescent="0.3">
      <c r="A94" t="s">
        <v>212</v>
      </c>
      <c r="B94" t="s">
        <v>138</v>
      </c>
      <c r="C94" t="s">
        <v>31</v>
      </c>
      <c r="D94" t="s">
        <v>21</v>
      </c>
      <c r="E94" s="3"/>
      <c r="F94">
        <v>103</v>
      </c>
      <c r="G94">
        <v>0</v>
      </c>
      <c r="H94">
        <v>103</v>
      </c>
      <c r="I94">
        <v>669</v>
      </c>
      <c r="J94" t="s">
        <v>14</v>
      </c>
      <c r="K94" s="4">
        <f>IF(AND(ISNUMBER(Raw_Data[[#This Row],[Opening_Stock]]),ISNUMBER(Raw_Data[[#This Row],[Units_Sold]]),Raw_Data[[#This Row],[Opening_Stock]]&gt;0),Raw_Data[[#This Row],[Units_Sold]]/Raw_Data[[#This Row],[Opening_Stock]],"")</f>
        <v>0</v>
      </c>
      <c r="L94" t="str">
        <f>IF(NOT(ISNUMBER(Raw_Data[[#This Row],[Sell_through%]])),"Check",IF(Raw_Data[[#This Row],[Sell_through%]]=0,"Non-moving",IF(Raw_Data[[#This Row],[Sell_through%]]&gt;=0.6,"Fast","Slow")))</f>
        <v>Non-moving</v>
      </c>
      <c r="M94">
        <f>IF(AND(ISNUMBER(Raw_Data[[#This Row],[Closing_Stock]]),ISNUMBER(Raw_Data[[#This Row],[Unit_Cost]])),Raw_Data[[#This Row],[Closing_Stock]]*Raw_Data[[#This Row],[Unit_Cost]],"")</f>
        <v>68907</v>
      </c>
      <c r="N9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5" spans="1:14" x14ac:dyDescent="0.3">
      <c r="A95" t="s">
        <v>215</v>
      </c>
      <c r="B95" t="s">
        <v>30</v>
      </c>
      <c r="C95" t="s">
        <v>31</v>
      </c>
      <c r="D95" t="s">
        <v>36</v>
      </c>
      <c r="E95" s="3">
        <v>46013</v>
      </c>
      <c r="F95">
        <v>379</v>
      </c>
      <c r="G95">
        <v>30</v>
      </c>
      <c r="H95">
        <v>349</v>
      </c>
      <c r="I95">
        <v>643</v>
      </c>
      <c r="J95" t="s">
        <v>14</v>
      </c>
      <c r="K95" s="4">
        <f>IF(AND(ISNUMBER(Raw_Data[[#This Row],[Opening_Stock]]),ISNUMBER(Raw_Data[[#This Row],[Units_Sold]]),Raw_Data[[#This Row],[Opening_Stock]]&gt;0),Raw_Data[[#This Row],[Units_Sold]]/Raw_Data[[#This Row],[Opening_Stock]],"")</f>
        <v>7.9155672823219003E-2</v>
      </c>
      <c r="L95" t="str">
        <f>IF(NOT(ISNUMBER(Raw_Data[[#This Row],[Sell_through%]])),"Check",IF(Raw_Data[[#This Row],[Sell_through%]]=0,"Non-moving",IF(Raw_Data[[#This Row],[Sell_through%]]&gt;=0.6,"Fast","Slow")))</f>
        <v>Slow</v>
      </c>
      <c r="M95">
        <f>IF(AND(ISNUMBER(Raw_Data[[#This Row],[Closing_Stock]]),ISNUMBER(Raw_Data[[#This Row],[Unit_Cost]])),Raw_Data[[#This Row],[Closing_Stock]]*Raw_Data[[#This Row],[Unit_Cost]],"")</f>
        <v>224407</v>
      </c>
      <c r="N9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6" spans="1:14" x14ac:dyDescent="0.3">
      <c r="A96" t="s">
        <v>216</v>
      </c>
      <c r="B96" t="s">
        <v>73</v>
      </c>
      <c r="C96" t="s">
        <v>49</v>
      </c>
      <c r="D96" t="s">
        <v>13</v>
      </c>
      <c r="E96" s="3">
        <v>46244</v>
      </c>
      <c r="F96">
        <v>119</v>
      </c>
      <c r="G96">
        <v>9</v>
      </c>
      <c r="H96">
        <v>110</v>
      </c>
      <c r="I96">
        <v>2898</v>
      </c>
      <c r="J96" t="s">
        <v>14</v>
      </c>
      <c r="K96" s="4">
        <f>IF(AND(ISNUMBER(Raw_Data[[#This Row],[Opening_Stock]]),ISNUMBER(Raw_Data[[#This Row],[Units_Sold]]),Raw_Data[[#This Row],[Opening_Stock]]&gt;0),Raw_Data[[#This Row],[Units_Sold]]/Raw_Data[[#This Row],[Opening_Stock]],"")</f>
        <v>7.5630252100840331E-2</v>
      </c>
      <c r="L96" t="str">
        <f>IF(NOT(ISNUMBER(Raw_Data[[#This Row],[Sell_through%]])),"Check",IF(Raw_Data[[#This Row],[Sell_through%]]=0,"Non-moving",IF(Raw_Data[[#This Row],[Sell_through%]]&gt;=0.6,"Fast","Slow")))</f>
        <v>Slow</v>
      </c>
      <c r="M96">
        <f>IF(AND(ISNUMBER(Raw_Data[[#This Row],[Closing_Stock]]),ISNUMBER(Raw_Data[[#This Row],[Unit_Cost]])),Raw_Data[[#This Row],[Closing_Stock]]*Raw_Data[[#This Row],[Unit_Cost]],"")</f>
        <v>318780</v>
      </c>
      <c r="N9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7" spans="1:14" x14ac:dyDescent="0.3">
      <c r="A97" t="s">
        <v>217</v>
      </c>
      <c r="B97" t="s">
        <v>30</v>
      </c>
      <c r="C97" t="s">
        <v>31</v>
      </c>
      <c r="D97" t="s">
        <v>13</v>
      </c>
      <c r="E97" s="3">
        <v>46033</v>
      </c>
      <c r="F97">
        <v>132</v>
      </c>
      <c r="G97">
        <v>97</v>
      </c>
      <c r="H97">
        <v>35</v>
      </c>
      <c r="I97">
        <v>1051</v>
      </c>
      <c r="J97" t="s">
        <v>17</v>
      </c>
      <c r="K97" s="4">
        <f>IF(AND(ISNUMBER(Raw_Data[[#This Row],[Opening_Stock]]),ISNUMBER(Raw_Data[[#This Row],[Units_Sold]]),Raw_Data[[#This Row],[Opening_Stock]]&gt;0),Raw_Data[[#This Row],[Units_Sold]]/Raw_Data[[#This Row],[Opening_Stock]],"")</f>
        <v>0.73484848484848486</v>
      </c>
      <c r="L97" t="str">
        <f>IF(NOT(ISNUMBER(Raw_Data[[#This Row],[Sell_through%]])),"Check",IF(Raw_Data[[#This Row],[Sell_through%]]=0,"Non-moving",IF(Raw_Data[[#This Row],[Sell_through%]]&gt;=0.6,"Fast","Slow")))</f>
        <v>Fast</v>
      </c>
      <c r="M97">
        <f>IF(AND(ISNUMBER(Raw_Data[[#This Row],[Closing_Stock]]),ISNUMBER(Raw_Data[[#This Row],[Unit_Cost]])),Raw_Data[[#This Row],[Closing_Stock]]*Raw_Data[[#This Row],[Unit_Cost]],"")</f>
        <v>36785</v>
      </c>
      <c r="N9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98" spans="1:14" x14ac:dyDescent="0.3">
      <c r="A98" t="s">
        <v>218</v>
      </c>
      <c r="B98" t="s">
        <v>177</v>
      </c>
      <c r="C98" t="s">
        <v>31</v>
      </c>
      <c r="D98" t="s">
        <v>32</v>
      </c>
      <c r="E98" s="3"/>
      <c r="F98">
        <v>244</v>
      </c>
      <c r="G98">
        <v>0</v>
      </c>
      <c r="H98">
        <v>244</v>
      </c>
      <c r="I98">
        <v>1013</v>
      </c>
      <c r="J98" t="s">
        <v>14</v>
      </c>
      <c r="K98" s="4">
        <f>IF(AND(ISNUMBER(Raw_Data[[#This Row],[Opening_Stock]]),ISNUMBER(Raw_Data[[#This Row],[Units_Sold]]),Raw_Data[[#This Row],[Opening_Stock]]&gt;0),Raw_Data[[#This Row],[Units_Sold]]/Raw_Data[[#This Row],[Opening_Stock]],"")</f>
        <v>0</v>
      </c>
      <c r="L98" t="str">
        <f>IF(NOT(ISNUMBER(Raw_Data[[#This Row],[Sell_through%]])),"Check",IF(Raw_Data[[#This Row],[Sell_through%]]=0,"Non-moving",IF(Raw_Data[[#This Row],[Sell_through%]]&gt;=0.6,"Fast","Slow")))</f>
        <v>Non-moving</v>
      </c>
      <c r="M98">
        <f>IF(AND(ISNUMBER(Raw_Data[[#This Row],[Closing_Stock]]),ISNUMBER(Raw_Data[[#This Row],[Unit_Cost]])),Raw_Data[[#This Row],[Closing_Stock]]*Raw_Data[[#This Row],[Unit_Cost]],"")</f>
        <v>247172</v>
      </c>
      <c r="N9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9" spans="1:14" x14ac:dyDescent="0.3">
      <c r="A99" t="s">
        <v>219</v>
      </c>
      <c r="B99" t="s">
        <v>93</v>
      </c>
      <c r="C99" t="s">
        <v>12</v>
      </c>
      <c r="D99" t="s">
        <v>36</v>
      </c>
      <c r="E99" s="3"/>
      <c r="F99">
        <v>104</v>
      </c>
      <c r="G99">
        <v>0</v>
      </c>
      <c r="H99">
        <v>104</v>
      </c>
      <c r="I99">
        <v>872</v>
      </c>
      <c r="J99" t="s">
        <v>14</v>
      </c>
      <c r="K99" s="4">
        <f>IF(AND(ISNUMBER(Raw_Data[[#This Row],[Opening_Stock]]),ISNUMBER(Raw_Data[[#This Row],[Units_Sold]]),Raw_Data[[#This Row],[Opening_Stock]]&gt;0),Raw_Data[[#This Row],[Units_Sold]]/Raw_Data[[#This Row],[Opening_Stock]],"")</f>
        <v>0</v>
      </c>
      <c r="L99" t="str">
        <f>IF(NOT(ISNUMBER(Raw_Data[[#This Row],[Sell_through%]])),"Check",IF(Raw_Data[[#This Row],[Sell_through%]]=0,"Non-moving",IF(Raw_Data[[#This Row],[Sell_through%]]&gt;=0.6,"Fast","Slow")))</f>
        <v>Non-moving</v>
      </c>
      <c r="M99">
        <f>IF(AND(ISNUMBER(Raw_Data[[#This Row],[Closing_Stock]]),ISNUMBER(Raw_Data[[#This Row],[Unit_Cost]])),Raw_Data[[#This Row],[Closing_Stock]]*Raw_Data[[#This Row],[Unit_Cost]],"")</f>
        <v>90688</v>
      </c>
      <c r="N9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00" spans="1:14" x14ac:dyDescent="0.3">
      <c r="A100" t="s">
        <v>220</v>
      </c>
      <c r="B100" t="s">
        <v>45</v>
      </c>
      <c r="C100" t="s">
        <v>35</v>
      </c>
      <c r="D100" t="s">
        <v>13</v>
      </c>
      <c r="E100" s="3"/>
      <c r="F100">
        <v>338</v>
      </c>
      <c r="G100">
        <v>0</v>
      </c>
      <c r="H100">
        <v>338</v>
      </c>
      <c r="I100">
        <v>1297</v>
      </c>
      <c r="J100" t="s">
        <v>14</v>
      </c>
      <c r="K100" s="4">
        <f>IF(AND(ISNUMBER(Raw_Data[[#This Row],[Opening_Stock]]),ISNUMBER(Raw_Data[[#This Row],[Units_Sold]]),Raw_Data[[#This Row],[Opening_Stock]]&gt;0),Raw_Data[[#This Row],[Units_Sold]]/Raw_Data[[#This Row],[Opening_Stock]],"")</f>
        <v>0</v>
      </c>
      <c r="L100" t="str">
        <f>IF(NOT(ISNUMBER(Raw_Data[[#This Row],[Sell_through%]])),"Check",IF(Raw_Data[[#This Row],[Sell_through%]]=0,"Non-moving",IF(Raw_Data[[#This Row],[Sell_through%]]&gt;=0.6,"Fast","Slow")))</f>
        <v>Non-moving</v>
      </c>
      <c r="M100">
        <f>IF(AND(ISNUMBER(Raw_Data[[#This Row],[Closing_Stock]]),ISNUMBER(Raw_Data[[#This Row],[Unit_Cost]])),Raw_Data[[#This Row],[Closing_Stock]]*Raw_Data[[#This Row],[Unit_Cost]],"")</f>
        <v>438386</v>
      </c>
      <c r="N10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01" spans="1:14" x14ac:dyDescent="0.3">
      <c r="A101" t="s">
        <v>221</v>
      </c>
      <c r="B101" t="s">
        <v>62</v>
      </c>
      <c r="C101" t="s">
        <v>49</v>
      </c>
      <c r="D101" t="s">
        <v>32</v>
      </c>
      <c r="E101" s="3">
        <v>46216</v>
      </c>
      <c r="F101">
        <v>215</v>
      </c>
      <c r="G101">
        <v>39</v>
      </c>
      <c r="H101">
        <v>176</v>
      </c>
      <c r="I101">
        <v>1194</v>
      </c>
      <c r="J101" t="s">
        <v>14</v>
      </c>
      <c r="K101" s="4">
        <f>IF(AND(ISNUMBER(Raw_Data[[#This Row],[Opening_Stock]]),ISNUMBER(Raw_Data[[#This Row],[Units_Sold]]),Raw_Data[[#This Row],[Opening_Stock]]&gt;0),Raw_Data[[#This Row],[Units_Sold]]/Raw_Data[[#This Row],[Opening_Stock]],"")</f>
        <v>0.18139534883720931</v>
      </c>
      <c r="L101" t="str">
        <f>IF(NOT(ISNUMBER(Raw_Data[[#This Row],[Sell_through%]])),"Check",IF(Raw_Data[[#This Row],[Sell_through%]]=0,"Non-moving",IF(Raw_Data[[#This Row],[Sell_through%]]&gt;=0.6,"Fast","Slow")))</f>
        <v>Slow</v>
      </c>
      <c r="M101">
        <f>IF(AND(ISNUMBER(Raw_Data[[#This Row],[Closing_Stock]]),ISNUMBER(Raw_Data[[#This Row],[Unit_Cost]])),Raw_Data[[#This Row],[Closing_Stock]]*Raw_Data[[#This Row],[Unit_Cost]],"")</f>
        <v>210144</v>
      </c>
      <c r="N10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02" spans="1:14" x14ac:dyDescent="0.3">
      <c r="A102" t="s">
        <v>222</v>
      </c>
      <c r="B102" t="s">
        <v>211</v>
      </c>
      <c r="C102" t="s">
        <v>35</v>
      </c>
      <c r="D102" t="s">
        <v>36</v>
      </c>
      <c r="E102" s="3">
        <v>45998</v>
      </c>
      <c r="F102">
        <v>466</v>
      </c>
      <c r="G102">
        <v>425</v>
      </c>
      <c r="H102">
        <v>41</v>
      </c>
      <c r="I102">
        <v>2740</v>
      </c>
      <c r="J102" t="s">
        <v>17</v>
      </c>
      <c r="K102" s="4">
        <f>IF(AND(ISNUMBER(Raw_Data[[#This Row],[Opening_Stock]]),ISNUMBER(Raw_Data[[#This Row],[Units_Sold]]),Raw_Data[[#This Row],[Opening_Stock]]&gt;0),Raw_Data[[#This Row],[Units_Sold]]/Raw_Data[[#This Row],[Opening_Stock]],"")</f>
        <v>0.91201716738197425</v>
      </c>
      <c r="L102" t="str">
        <f>IF(NOT(ISNUMBER(Raw_Data[[#This Row],[Sell_through%]])),"Check",IF(Raw_Data[[#This Row],[Sell_through%]]=0,"Non-moving",IF(Raw_Data[[#This Row],[Sell_through%]]&gt;=0.6,"Fast","Slow")))</f>
        <v>Fast</v>
      </c>
      <c r="M102">
        <f>IF(AND(ISNUMBER(Raw_Data[[#This Row],[Closing_Stock]]),ISNUMBER(Raw_Data[[#This Row],[Unit_Cost]])),Raw_Data[[#This Row],[Closing_Stock]]*Raw_Data[[#This Row],[Unit_Cost]],"")</f>
        <v>112340</v>
      </c>
      <c r="N102"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03" spans="1:14" x14ac:dyDescent="0.3">
      <c r="A103" t="s">
        <v>223</v>
      </c>
      <c r="B103" t="s">
        <v>224</v>
      </c>
      <c r="C103" t="s">
        <v>49</v>
      </c>
      <c r="D103" t="s">
        <v>36</v>
      </c>
      <c r="E103" s="3"/>
      <c r="F103">
        <v>170</v>
      </c>
      <c r="G103">
        <v>0</v>
      </c>
      <c r="H103">
        <v>170</v>
      </c>
      <c r="I103">
        <v>2023</v>
      </c>
      <c r="J103" t="s">
        <v>14</v>
      </c>
      <c r="K103" s="4">
        <f>IF(AND(ISNUMBER(Raw_Data[[#This Row],[Opening_Stock]]),ISNUMBER(Raw_Data[[#This Row],[Units_Sold]]),Raw_Data[[#This Row],[Opening_Stock]]&gt;0),Raw_Data[[#This Row],[Units_Sold]]/Raw_Data[[#This Row],[Opening_Stock]],"")</f>
        <v>0</v>
      </c>
      <c r="L103" t="str">
        <f>IF(NOT(ISNUMBER(Raw_Data[[#This Row],[Sell_through%]])),"Check",IF(Raw_Data[[#This Row],[Sell_through%]]=0,"Non-moving",IF(Raw_Data[[#This Row],[Sell_through%]]&gt;=0.6,"Fast","Slow")))</f>
        <v>Non-moving</v>
      </c>
      <c r="M103">
        <f>IF(AND(ISNUMBER(Raw_Data[[#This Row],[Closing_Stock]]),ISNUMBER(Raw_Data[[#This Row],[Unit_Cost]])),Raw_Data[[#This Row],[Closing_Stock]]*Raw_Data[[#This Row],[Unit_Cost]],"")</f>
        <v>343910</v>
      </c>
      <c r="N10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04" spans="1:14" x14ac:dyDescent="0.3">
      <c r="A104" t="s">
        <v>225</v>
      </c>
      <c r="B104" t="s">
        <v>57</v>
      </c>
      <c r="C104" t="s">
        <v>28</v>
      </c>
      <c r="D104" t="s">
        <v>21</v>
      </c>
      <c r="E104" s="3">
        <v>46004</v>
      </c>
      <c r="F104">
        <v>109</v>
      </c>
      <c r="G104">
        <v>86</v>
      </c>
      <c r="H104">
        <v>23</v>
      </c>
      <c r="I104">
        <v>1370</v>
      </c>
      <c r="J104" t="s">
        <v>17</v>
      </c>
      <c r="K104" s="4">
        <f>IF(AND(ISNUMBER(Raw_Data[[#This Row],[Opening_Stock]]),ISNUMBER(Raw_Data[[#This Row],[Units_Sold]]),Raw_Data[[#This Row],[Opening_Stock]]&gt;0),Raw_Data[[#This Row],[Units_Sold]]/Raw_Data[[#This Row],[Opening_Stock]],"")</f>
        <v>0.78899082568807344</v>
      </c>
      <c r="L104" t="str">
        <f>IF(NOT(ISNUMBER(Raw_Data[[#This Row],[Sell_through%]])),"Check",IF(Raw_Data[[#This Row],[Sell_through%]]=0,"Non-moving",IF(Raw_Data[[#This Row],[Sell_through%]]&gt;=0.6,"Fast","Slow")))</f>
        <v>Fast</v>
      </c>
      <c r="M104">
        <f>IF(AND(ISNUMBER(Raw_Data[[#This Row],[Closing_Stock]]),ISNUMBER(Raw_Data[[#This Row],[Unit_Cost]])),Raw_Data[[#This Row],[Closing_Stock]]*Raw_Data[[#This Row],[Unit_Cost]],"")</f>
        <v>31510</v>
      </c>
      <c r="N10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05" spans="1:14" x14ac:dyDescent="0.3">
      <c r="A105" t="s">
        <v>227</v>
      </c>
      <c r="B105" t="s">
        <v>131</v>
      </c>
      <c r="C105" t="s">
        <v>49</v>
      </c>
      <c r="D105" t="s">
        <v>36</v>
      </c>
      <c r="E105" s="3"/>
      <c r="F105">
        <v>60</v>
      </c>
      <c r="G105">
        <v>0</v>
      </c>
      <c r="H105">
        <v>60</v>
      </c>
      <c r="I105">
        <v>2069</v>
      </c>
      <c r="J105" t="s">
        <v>14</v>
      </c>
      <c r="K105" s="4">
        <f>IF(AND(ISNUMBER(Raw_Data[[#This Row],[Opening_Stock]]),ISNUMBER(Raw_Data[[#This Row],[Units_Sold]]),Raw_Data[[#This Row],[Opening_Stock]]&gt;0),Raw_Data[[#This Row],[Units_Sold]]/Raw_Data[[#This Row],[Opening_Stock]],"")</f>
        <v>0</v>
      </c>
      <c r="L105" t="str">
        <f>IF(NOT(ISNUMBER(Raw_Data[[#This Row],[Sell_through%]])),"Check",IF(Raw_Data[[#This Row],[Sell_through%]]=0,"Non-moving",IF(Raw_Data[[#This Row],[Sell_through%]]&gt;=0.6,"Fast","Slow")))</f>
        <v>Non-moving</v>
      </c>
      <c r="M105">
        <f>IF(AND(ISNUMBER(Raw_Data[[#This Row],[Closing_Stock]]),ISNUMBER(Raw_Data[[#This Row],[Unit_Cost]])),Raw_Data[[#This Row],[Closing_Stock]]*Raw_Data[[#This Row],[Unit_Cost]],"")</f>
        <v>124140</v>
      </c>
      <c r="N10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06" spans="1:14" x14ac:dyDescent="0.3">
      <c r="A106" t="s">
        <v>228</v>
      </c>
      <c r="B106" t="s">
        <v>124</v>
      </c>
      <c r="C106" t="s">
        <v>28</v>
      </c>
      <c r="D106" t="s">
        <v>13</v>
      </c>
      <c r="E106" s="3"/>
      <c r="F106">
        <v>398</v>
      </c>
      <c r="G106">
        <v>5</v>
      </c>
      <c r="H106">
        <v>398</v>
      </c>
      <c r="I106">
        <v>336</v>
      </c>
      <c r="J106" t="s">
        <v>14</v>
      </c>
      <c r="K106" s="4">
        <f>IF(AND(ISNUMBER(Raw_Data[[#This Row],[Opening_Stock]]),ISNUMBER(Raw_Data[[#This Row],[Units_Sold]]),Raw_Data[[#This Row],[Opening_Stock]]&gt;0),Raw_Data[[#This Row],[Units_Sold]]/Raw_Data[[#This Row],[Opening_Stock]],"")</f>
        <v>1.2562814070351759E-2</v>
      </c>
      <c r="L106" t="str">
        <f>IF(NOT(ISNUMBER(Raw_Data[[#This Row],[Sell_through%]])),"Check",IF(Raw_Data[[#This Row],[Sell_through%]]=0,"Non-moving",IF(Raw_Data[[#This Row],[Sell_through%]]&gt;=0.6,"Fast","Slow")))</f>
        <v>Slow</v>
      </c>
      <c r="M106">
        <f>IF(AND(ISNUMBER(Raw_Data[[#This Row],[Closing_Stock]]),ISNUMBER(Raw_Data[[#This Row],[Unit_Cost]])),Raw_Data[[#This Row],[Closing_Stock]]*Raw_Data[[#This Row],[Unit_Cost]],"")</f>
        <v>133728</v>
      </c>
      <c r="N10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07" spans="1:14" x14ac:dyDescent="0.3">
      <c r="A107" t="s">
        <v>230</v>
      </c>
      <c r="B107" t="s">
        <v>1344</v>
      </c>
      <c r="C107" t="s">
        <v>28</v>
      </c>
      <c r="D107" t="s">
        <v>21</v>
      </c>
      <c r="E107" s="3">
        <v>46283</v>
      </c>
      <c r="F107">
        <v>212</v>
      </c>
      <c r="G107">
        <v>46</v>
      </c>
      <c r="H107">
        <v>166</v>
      </c>
      <c r="I107">
        <v>878</v>
      </c>
      <c r="J107" t="s">
        <v>14</v>
      </c>
      <c r="K107" s="4">
        <f>IF(AND(ISNUMBER(Raw_Data[[#This Row],[Opening_Stock]]),ISNUMBER(Raw_Data[[#This Row],[Units_Sold]]),Raw_Data[[#This Row],[Opening_Stock]]&gt;0),Raw_Data[[#This Row],[Units_Sold]]/Raw_Data[[#This Row],[Opening_Stock]],"")</f>
        <v>0.21698113207547171</v>
      </c>
      <c r="L107" t="str">
        <f>IF(NOT(ISNUMBER(Raw_Data[[#This Row],[Sell_through%]])),"Check",IF(Raw_Data[[#This Row],[Sell_through%]]=0,"Non-moving",IF(Raw_Data[[#This Row],[Sell_through%]]&gt;=0.6,"Fast","Slow")))</f>
        <v>Slow</v>
      </c>
      <c r="M107">
        <f>IF(AND(ISNUMBER(Raw_Data[[#This Row],[Closing_Stock]]),ISNUMBER(Raw_Data[[#This Row],[Unit_Cost]])),Raw_Data[[#This Row],[Closing_Stock]]*Raw_Data[[#This Row],[Unit_Cost]],"")</f>
        <v>145748</v>
      </c>
      <c r="N10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08" spans="1:14" x14ac:dyDescent="0.3">
      <c r="A108" t="s">
        <v>231</v>
      </c>
      <c r="B108" t="s">
        <v>93</v>
      </c>
      <c r="C108" t="s">
        <v>12</v>
      </c>
      <c r="D108" t="s">
        <v>13</v>
      </c>
      <c r="E108" s="3">
        <v>46185</v>
      </c>
      <c r="F108">
        <v>428</v>
      </c>
      <c r="G108">
        <v>36</v>
      </c>
      <c r="H108">
        <v>392</v>
      </c>
      <c r="I108">
        <v>2196</v>
      </c>
      <c r="J108" t="s">
        <v>14</v>
      </c>
      <c r="K108" s="4">
        <f>IF(AND(ISNUMBER(Raw_Data[[#This Row],[Opening_Stock]]),ISNUMBER(Raw_Data[[#This Row],[Units_Sold]]),Raw_Data[[#This Row],[Opening_Stock]]&gt;0),Raw_Data[[#This Row],[Units_Sold]]/Raw_Data[[#This Row],[Opening_Stock]],"")</f>
        <v>8.4112149532710276E-2</v>
      </c>
      <c r="L108" t="str">
        <f>IF(NOT(ISNUMBER(Raw_Data[[#This Row],[Sell_through%]])),"Check",IF(Raw_Data[[#This Row],[Sell_through%]]=0,"Non-moving",IF(Raw_Data[[#This Row],[Sell_through%]]&gt;=0.6,"Fast","Slow")))</f>
        <v>Slow</v>
      </c>
      <c r="M108">
        <f>IF(AND(ISNUMBER(Raw_Data[[#This Row],[Closing_Stock]]),ISNUMBER(Raw_Data[[#This Row],[Unit_Cost]])),Raw_Data[[#This Row],[Closing_Stock]]*Raw_Data[[#This Row],[Unit_Cost]],"")</f>
        <v>860832</v>
      </c>
      <c r="N10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09" spans="1:14" x14ac:dyDescent="0.3">
      <c r="A109" t="s">
        <v>232</v>
      </c>
      <c r="B109" t="s">
        <v>30</v>
      </c>
      <c r="C109" t="s">
        <v>31</v>
      </c>
      <c r="D109" t="s">
        <v>36</v>
      </c>
      <c r="E109" s="3">
        <v>46168</v>
      </c>
      <c r="G109">
        <v>429</v>
      </c>
      <c r="H109">
        <v>43</v>
      </c>
      <c r="I109">
        <v>432</v>
      </c>
      <c r="J109" t="s">
        <v>17</v>
      </c>
      <c r="K109" s="4" t="str">
        <f>IF(AND(ISNUMBER(Raw_Data[[#This Row],[Opening_Stock]]),ISNUMBER(Raw_Data[[#This Row],[Units_Sold]]),Raw_Data[[#This Row],[Opening_Stock]]&gt;0),Raw_Data[[#This Row],[Units_Sold]]/Raw_Data[[#This Row],[Opening_Stock]],"")</f>
        <v/>
      </c>
      <c r="L109" t="str">
        <f>IF(NOT(ISNUMBER(Raw_Data[[#This Row],[Sell_through%]])),"Check",IF(Raw_Data[[#This Row],[Sell_through%]]=0,"Non-moving",IF(Raw_Data[[#This Row],[Sell_through%]]&gt;=0.6,"Fast","Slow")))</f>
        <v>Check</v>
      </c>
      <c r="M109">
        <f>IF(AND(ISNUMBER(Raw_Data[[#This Row],[Closing_Stock]]),ISNUMBER(Raw_Data[[#This Row],[Unit_Cost]])),Raw_Data[[#This Row],[Closing_Stock]]*Raw_Data[[#This Row],[Unit_Cost]],"")</f>
        <v>18576</v>
      </c>
      <c r="N10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110" spans="1:14" x14ac:dyDescent="0.3">
      <c r="A110" t="s">
        <v>233</v>
      </c>
      <c r="B110" t="s">
        <v>234</v>
      </c>
      <c r="C110" t="s">
        <v>28</v>
      </c>
      <c r="D110" t="s">
        <v>36</v>
      </c>
      <c r="E110" s="3">
        <v>46015</v>
      </c>
      <c r="F110">
        <v>139</v>
      </c>
      <c r="G110">
        <v>43</v>
      </c>
      <c r="H110">
        <v>96</v>
      </c>
      <c r="I110">
        <v>2136</v>
      </c>
      <c r="J110" t="s">
        <v>14</v>
      </c>
      <c r="K110" s="4">
        <f>IF(AND(ISNUMBER(Raw_Data[[#This Row],[Opening_Stock]]),ISNUMBER(Raw_Data[[#This Row],[Units_Sold]]),Raw_Data[[#This Row],[Opening_Stock]]&gt;0),Raw_Data[[#This Row],[Units_Sold]]/Raw_Data[[#This Row],[Opening_Stock]],"")</f>
        <v>0.30935251798561153</v>
      </c>
      <c r="L110" t="str">
        <f>IF(NOT(ISNUMBER(Raw_Data[[#This Row],[Sell_through%]])),"Check",IF(Raw_Data[[#This Row],[Sell_through%]]=0,"Non-moving",IF(Raw_Data[[#This Row],[Sell_through%]]&gt;=0.6,"Fast","Slow")))</f>
        <v>Slow</v>
      </c>
      <c r="M110">
        <f>IF(AND(ISNUMBER(Raw_Data[[#This Row],[Closing_Stock]]),ISNUMBER(Raw_Data[[#This Row],[Unit_Cost]])),Raw_Data[[#This Row],[Closing_Stock]]*Raw_Data[[#This Row],[Unit_Cost]],"")</f>
        <v>205056</v>
      </c>
      <c r="N11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11" spans="1:14" x14ac:dyDescent="0.3">
      <c r="A111" t="s">
        <v>235</v>
      </c>
      <c r="B111" t="s">
        <v>236</v>
      </c>
      <c r="C111" t="s">
        <v>12</v>
      </c>
      <c r="D111" t="s">
        <v>36</v>
      </c>
      <c r="E111" s="3">
        <v>46250</v>
      </c>
      <c r="G111">
        <v>22</v>
      </c>
      <c r="H111">
        <v>121</v>
      </c>
      <c r="I111">
        <v>2053</v>
      </c>
      <c r="J111" t="s">
        <v>14</v>
      </c>
      <c r="K111" s="4" t="str">
        <f>IF(AND(ISNUMBER(Raw_Data[[#This Row],[Opening_Stock]]),ISNUMBER(Raw_Data[[#This Row],[Units_Sold]]),Raw_Data[[#This Row],[Opening_Stock]]&gt;0),Raw_Data[[#This Row],[Units_Sold]]/Raw_Data[[#This Row],[Opening_Stock]],"")</f>
        <v/>
      </c>
      <c r="L111" t="str">
        <f>IF(NOT(ISNUMBER(Raw_Data[[#This Row],[Sell_through%]])),"Check",IF(Raw_Data[[#This Row],[Sell_through%]]=0,"Non-moving",IF(Raw_Data[[#This Row],[Sell_through%]]&gt;=0.6,"Fast","Slow")))</f>
        <v>Check</v>
      </c>
      <c r="M111">
        <f>IF(AND(ISNUMBER(Raw_Data[[#This Row],[Closing_Stock]]),ISNUMBER(Raw_Data[[#This Row],[Unit_Cost]])),Raw_Data[[#This Row],[Closing_Stock]]*Raw_Data[[#This Row],[Unit_Cost]],"")</f>
        <v>248413</v>
      </c>
      <c r="N11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112" spans="1:14" x14ac:dyDescent="0.3">
      <c r="A112" t="s">
        <v>237</v>
      </c>
      <c r="B112" t="s">
        <v>238</v>
      </c>
      <c r="C112" t="s">
        <v>28</v>
      </c>
      <c r="D112" t="s">
        <v>21</v>
      </c>
      <c r="E112" s="3">
        <v>46186</v>
      </c>
      <c r="F112">
        <v>276</v>
      </c>
      <c r="G112">
        <v>105</v>
      </c>
      <c r="H112">
        <v>171</v>
      </c>
      <c r="I112">
        <v>2848</v>
      </c>
      <c r="J112" t="s">
        <v>14</v>
      </c>
      <c r="K112" s="4">
        <f>IF(AND(ISNUMBER(Raw_Data[[#This Row],[Opening_Stock]]),ISNUMBER(Raw_Data[[#This Row],[Units_Sold]]),Raw_Data[[#This Row],[Opening_Stock]]&gt;0),Raw_Data[[#This Row],[Units_Sold]]/Raw_Data[[#This Row],[Opening_Stock]],"")</f>
        <v>0.38043478260869568</v>
      </c>
      <c r="L112" t="str">
        <f>IF(NOT(ISNUMBER(Raw_Data[[#This Row],[Sell_through%]])),"Check",IF(Raw_Data[[#This Row],[Sell_through%]]=0,"Non-moving",IF(Raw_Data[[#This Row],[Sell_through%]]&gt;=0.6,"Fast","Slow")))</f>
        <v>Slow</v>
      </c>
      <c r="M112">
        <f>IF(AND(ISNUMBER(Raw_Data[[#This Row],[Closing_Stock]]),ISNUMBER(Raw_Data[[#This Row],[Unit_Cost]])),Raw_Data[[#This Row],[Closing_Stock]]*Raw_Data[[#This Row],[Unit_Cost]],"")</f>
        <v>487008</v>
      </c>
      <c r="N11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13" spans="1:14" x14ac:dyDescent="0.3">
      <c r="A113" t="s">
        <v>239</v>
      </c>
      <c r="B113" t="s">
        <v>240</v>
      </c>
      <c r="C113" t="s">
        <v>49</v>
      </c>
      <c r="D113" t="s">
        <v>36</v>
      </c>
      <c r="E113" s="3">
        <v>46135</v>
      </c>
      <c r="F113">
        <v>145</v>
      </c>
      <c r="G113">
        <v>20</v>
      </c>
      <c r="I113">
        <v>1889</v>
      </c>
      <c r="J113" t="s">
        <v>14</v>
      </c>
      <c r="K113" s="4">
        <f>IF(AND(ISNUMBER(Raw_Data[[#This Row],[Opening_Stock]]),ISNUMBER(Raw_Data[[#This Row],[Units_Sold]]),Raw_Data[[#This Row],[Opening_Stock]]&gt;0),Raw_Data[[#This Row],[Units_Sold]]/Raw_Data[[#This Row],[Opening_Stock]],"")</f>
        <v>0.13793103448275862</v>
      </c>
      <c r="L113" t="str">
        <f>IF(NOT(ISNUMBER(Raw_Data[[#This Row],[Sell_through%]])),"Check",IF(Raw_Data[[#This Row],[Sell_through%]]=0,"Non-moving",IF(Raw_Data[[#This Row],[Sell_through%]]&gt;=0.6,"Fast","Slow")))</f>
        <v>Slow</v>
      </c>
      <c r="M113" t="str">
        <f>IF(AND(ISNUMBER(Raw_Data[[#This Row],[Closing_Stock]]),ISNUMBER(Raw_Data[[#This Row],[Unit_Cost]])),Raw_Data[[#This Row],[Closing_Stock]]*Raw_Data[[#This Row],[Unit_Cost]],"")</f>
        <v/>
      </c>
      <c r="N11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14" spans="1:14" x14ac:dyDescent="0.3">
      <c r="A114" t="s">
        <v>242</v>
      </c>
      <c r="B114" t="s">
        <v>243</v>
      </c>
      <c r="C114" t="s">
        <v>28</v>
      </c>
      <c r="D114" t="s">
        <v>13</v>
      </c>
      <c r="E114" s="3">
        <v>46210</v>
      </c>
      <c r="F114">
        <v>287</v>
      </c>
      <c r="G114">
        <v>272</v>
      </c>
      <c r="H114">
        <v>15</v>
      </c>
      <c r="I114">
        <v>2946</v>
      </c>
      <c r="J114" t="s">
        <v>17</v>
      </c>
      <c r="K114" s="4">
        <f>IF(AND(ISNUMBER(Raw_Data[[#This Row],[Opening_Stock]]),ISNUMBER(Raw_Data[[#This Row],[Units_Sold]]),Raw_Data[[#This Row],[Opening_Stock]]&gt;0),Raw_Data[[#This Row],[Units_Sold]]/Raw_Data[[#This Row],[Opening_Stock]],"")</f>
        <v>0.94773519163763065</v>
      </c>
      <c r="L114" t="str">
        <f>IF(NOT(ISNUMBER(Raw_Data[[#This Row],[Sell_through%]])),"Check",IF(Raw_Data[[#This Row],[Sell_through%]]=0,"Non-moving",IF(Raw_Data[[#This Row],[Sell_through%]]&gt;=0.6,"Fast","Slow")))</f>
        <v>Fast</v>
      </c>
      <c r="M114">
        <f>IF(AND(ISNUMBER(Raw_Data[[#This Row],[Closing_Stock]]),ISNUMBER(Raw_Data[[#This Row],[Unit_Cost]])),Raw_Data[[#This Row],[Closing_Stock]]*Raw_Data[[#This Row],[Unit_Cost]],"")</f>
        <v>44190</v>
      </c>
      <c r="N11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15" spans="1:14" x14ac:dyDescent="0.3">
      <c r="A115" t="s">
        <v>244</v>
      </c>
      <c r="B115" t="s">
        <v>117</v>
      </c>
      <c r="C115" t="s">
        <v>28</v>
      </c>
      <c r="D115" t="s">
        <v>32</v>
      </c>
      <c r="E115" s="3">
        <v>46119</v>
      </c>
      <c r="F115">
        <v>456</v>
      </c>
      <c r="G115">
        <v>111</v>
      </c>
      <c r="H115">
        <v>345</v>
      </c>
      <c r="I115">
        <v>1358</v>
      </c>
      <c r="J115" t="s">
        <v>14</v>
      </c>
      <c r="K115" s="4">
        <f>IF(AND(ISNUMBER(Raw_Data[[#This Row],[Opening_Stock]]),ISNUMBER(Raw_Data[[#This Row],[Units_Sold]]),Raw_Data[[#This Row],[Opening_Stock]]&gt;0),Raw_Data[[#This Row],[Units_Sold]]/Raw_Data[[#This Row],[Opening_Stock]],"")</f>
        <v>0.24342105263157895</v>
      </c>
      <c r="L115" t="str">
        <f>IF(NOT(ISNUMBER(Raw_Data[[#This Row],[Sell_through%]])),"Check",IF(Raw_Data[[#This Row],[Sell_through%]]=0,"Non-moving",IF(Raw_Data[[#This Row],[Sell_through%]]&gt;=0.6,"Fast","Slow")))</f>
        <v>Slow</v>
      </c>
      <c r="M115">
        <f>IF(AND(ISNUMBER(Raw_Data[[#This Row],[Closing_Stock]]),ISNUMBER(Raw_Data[[#This Row],[Unit_Cost]])),Raw_Data[[#This Row],[Closing_Stock]]*Raw_Data[[#This Row],[Unit_Cost]],"")</f>
        <v>468510</v>
      </c>
      <c r="N11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16" spans="1:14" x14ac:dyDescent="0.3">
      <c r="A116" t="s">
        <v>246</v>
      </c>
      <c r="B116" t="s">
        <v>211</v>
      </c>
      <c r="C116" t="s">
        <v>35</v>
      </c>
      <c r="D116" t="s">
        <v>21</v>
      </c>
      <c r="E116" s="3"/>
      <c r="F116">
        <v>95</v>
      </c>
      <c r="G116">
        <v>0</v>
      </c>
      <c r="H116">
        <v>95</v>
      </c>
      <c r="I116">
        <v>138</v>
      </c>
      <c r="J116" t="s">
        <v>14</v>
      </c>
      <c r="K116" s="4">
        <f>IF(AND(ISNUMBER(Raw_Data[[#This Row],[Opening_Stock]]),ISNUMBER(Raw_Data[[#This Row],[Units_Sold]]),Raw_Data[[#This Row],[Opening_Stock]]&gt;0),Raw_Data[[#This Row],[Units_Sold]]/Raw_Data[[#This Row],[Opening_Stock]],"")</f>
        <v>0</v>
      </c>
      <c r="L116" t="str">
        <f>IF(NOT(ISNUMBER(Raw_Data[[#This Row],[Sell_through%]])),"Check",IF(Raw_Data[[#This Row],[Sell_through%]]=0,"Non-moving",IF(Raw_Data[[#This Row],[Sell_through%]]&gt;=0.6,"Fast","Slow")))</f>
        <v>Non-moving</v>
      </c>
      <c r="M116">
        <f>IF(AND(ISNUMBER(Raw_Data[[#This Row],[Closing_Stock]]),ISNUMBER(Raw_Data[[#This Row],[Unit_Cost]])),Raw_Data[[#This Row],[Closing_Stock]]*Raw_Data[[#This Row],[Unit_Cost]],"")</f>
        <v>13110</v>
      </c>
      <c r="N11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17" spans="1:14" x14ac:dyDescent="0.3">
      <c r="A117" t="s">
        <v>248</v>
      </c>
      <c r="B117" t="s">
        <v>57</v>
      </c>
      <c r="C117" t="s">
        <v>28</v>
      </c>
      <c r="D117" t="s">
        <v>32</v>
      </c>
      <c r="E117" s="3"/>
      <c r="F117">
        <v>499</v>
      </c>
      <c r="G117">
        <v>0</v>
      </c>
      <c r="H117">
        <v>499</v>
      </c>
      <c r="I117">
        <v>495</v>
      </c>
      <c r="J117" t="s">
        <v>14</v>
      </c>
      <c r="K117" s="4">
        <f>IF(AND(ISNUMBER(Raw_Data[[#This Row],[Opening_Stock]]),ISNUMBER(Raw_Data[[#This Row],[Units_Sold]]),Raw_Data[[#This Row],[Opening_Stock]]&gt;0),Raw_Data[[#This Row],[Units_Sold]]/Raw_Data[[#This Row],[Opening_Stock]],"")</f>
        <v>0</v>
      </c>
      <c r="L117" t="str">
        <f>IF(NOT(ISNUMBER(Raw_Data[[#This Row],[Sell_through%]])),"Check",IF(Raw_Data[[#This Row],[Sell_through%]]=0,"Non-moving",IF(Raw_Data[[#This Row],[Sell_through%]]&gt;=0.6,"Fast","Slow")))</f>
        <v>Non-moving</v>
      </c>
      <c r="M117">
        <f>IF(AND(ISNUMBER(Raw_Data[[#This Row],[Closing_Stock]]),ISNUMBER(Raw_Data[[#This Row],[Unit_Cost]])),Raw_Data[[#This Row],[Closing_Stock]]*Raw_Data[[#This Row],[Unit_Cost]],"")</f>
        <v>247005</v>
      </c>
      <c r="N11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18" spans="1:14" x14ac:dyDescent="0.3">
      <c r="A118" t="s">
        <v>250</v>
      </c>
      <c r="B118" t="s">
        <v>138</v>
      </c>
      <c r="C118" t="s">
        <v>31</v>
      </c>
      <c r="D118" t="s">
        <v>32</v>
      </c>
      <c r="E118" s="3">
        <v>46281</v>
      </c>
      <c r="F118">
        <v>401</v>
      </c>
      <c r="G118">
        <v>145</v>
      </c>
      <c r="H118">
        <v>256</v>
      </c>
      <c r="I118">
        <v>1184</v>
      </c>
      <c r="J118" t="s">
        <v>14</v>
      </c>
      <c r="K118" s="4">
        <f>IF(AND(ISNUMBER(Raw_Data[[#This Row],[Opening_Stock]]),ISNUMBER(Raw_Data[[#This Row],[Units_Sold]]),Raw_Data[[#This Row],[Opening_Stock]]&gt;0),Raw_Data[[#This Row],[Units_Sold]]/Raw_Data[[#This Row],[Opening_Stock]],"")</f>
        <v>0.36159600997506236</v>
      </c>
      <c r="L118" t="str">
        <f>IF(NOT(ISNUMBER(Raw_Data[[#This Row],[Sell_through%]])),"Check",IF(Raw_Data[[#This Row],[Sell_through%]]=0,"Non-moving",IF(Raw_Data[[#This Row],[Sell_through%]]&gt;=0.6,"Fast","Slow")))</f>
        <v>Slow</v>
      </c>
      <c r="M118">
        <f>IF(AND(ISNUMBER(Raw_Data[[#This Row],[Closing_Stock]]),ISNUMBER(Raw_Data[[#This Row],[Unit_Cost]])),Raw_Data[[#This Row],[Closing_Stock]]*Raw_Data[[#This Row],[Unit_Cost]],"")</f>
        <v>303104</v>
      </c>
      <c r="N11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19" spans="1:14" x14ac:dyDescent="0.3">
      <c r="A119" t="s">
        <v>253</v>
      </c>
      <c r="B119" t="s">
        <v>48</v>
      </c>
      <c r="D119" t="s">
        <v>21</v>
      </c>
      <c r="E119" s="3">
        <v>46111</v>
      </c>
      <c r="F119">
        <v>129</v>
      </c>
      <c r="G119">
        <v>30</v>
      </c>
      <c r="H119">
        <v>99</v>
      </c>
      <c r="I119">
        <v>1862</v>
      </c>
      <c r="J119" t="s">
        <v>14</v>
      </c>
      <c r="K119" s="4">
        <f>IF(AND(ISNUMBER(Raw_Data[[#This Row],[Opening_Stock]]),ISNUMBER(Raw_Data[[#This Row],[Units_Sold]]),Raw_Data[[#This Row],[Opening_Stock]]&gt;0),Raw_Data[[#This Row],[Units_Sold]]/Raw_Data[[#This Row],[Opening_Stock]],"")</f>
        <v>0.23255813953488372</v>
      </c>
      <c r="L119" t="str">
        <f>IF(NOT(ISNUMBER(Raw_Data[[#This Row],[Sell_through%]])),"Check",IF(Raw_Data[[#This Row],[Sell_through%]]=0,"Non-moving",IF(Raw_Data[[#This Row],[Sell_through%]]&gt;=0.6,"Fast","Slow")))</f>
        <v>Slow</v>
      </c>
      <c r="M119">
        <f>IF(AND(ISNUMBER(Raw_Data[[#This Row],[Closing_Stock]]),ISNUMBER(Raw_Data[[#This Row],[Unit_Cost]])),Raw_Data[[#This Row],[Closing_Stock]]*Raw_Data[[#This Row],[Unit_Cost]],"")</f>
        <v>184338</v>
      </c>
      <c r="N11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20" spans="1:14" x14ac:dyDescent="0.3">
      <c r="A120" t="s">
        <v>255</v>
      </c>
      <c r="B120" t="s">
        <v>19</v>
      </c>
      <c r="C120" t="s">
        <v>28</v>
      </c>
      <c r="D120" t="s">
        <v>13</v>
      </c>
      <c r="E120" s="3">
        <v>46067</v>
      </c>
      <c r="F120">
        <v>234</v>
      </c>
      <c r="G120">
        <v>13</v>
      </c>
      <c r="H120">
        <v>221</v>
      </c>
      <c r="I120">
        <v>2114</v>
      </c>
      <c r="J120" t="s">
        <v>14</v>
      </c>
      <c r="K120" s="4">
        <f>IF(AND(ISNUMBER(Raw_Data[[#This Row],[Opening_Stock]]),ISNUMBER(Raw_Data[[#This Row],[Units_Sold]]),Raw_Data[[#This Row],[Opening_Stock]]&gt;0),Raw_Data[[#This Row],[Units_Sold]]/Raw_Data[[#This Row],[Opening_Stock]],"")</f>
        <v>5.5555555555555552E-2</v>
      </c>
      <c r="L120" t="str">
        <f>IF(NOT(ISNUMBER(Raw_Data[[#This Row],[Sell_through%]])),"Check",IF(Raw_Data[[#This Row],[Sell_through%]]=0,"Non-moving",IF(Raw_Data[[#This Row],[Sell_through%]]&gt;=0.6,"Fast","Slow")))</f>
        <v>Slow</v>
      </c>
      <c r="M120">
        <f>IF(AND(ISNUMBER(Raw_Data[[#This Row],[Closing_Stock]]),ISNUMBER(Raw_Data[[#This Row],[Unit_Cost]])),Raw_Data[[#This Row],[Closing_Stock]]*Raw_Data[[#This Row],[Unit_Cost]],"")</f>
        <v>467194</v>
      </c>
      <c r="N12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21" spans="1:14" x14ac:dyDescent="0.3">
      <c r="A121" t="s">
        <v>256</v>
      </c>
      <c r="B121" t="s">
        <v>182</v>
      </c>
      <c r="C121" t="s">
        <v>12</v>
      </c>
      <c r="D121" t="s">
        <v>21</v>
      </c>
      <c r="E121" s="3">
        <v>46165</v>
      </c>
      <c r="F121">
        <v>471</v>
      </c>
      <c r="G121">
        <v>117</v>
      </c>
      <c r="H121">
        <v>354</v>
      </c>
      <c r="I121">
        <v>67</v>
      </c>
      <c r="J121" t="s">
        <v>14</v>
      </c>
      <c r="K121" s="4">
        <f>IF(AND(ISNUMBER(Raw_Data[[#This Row],[Opening_Stock]]),ISNUMBER(Raw_Data[[#This Row],[Units_Sold]]),Raw_Data[[#This Row],[Opening_Stock]]&gt;0),Raw_Data[[#This Row],[Units_Sold]]/Raw_Data[[#This Row],[Opening_Stock]],"")</f>
        <v>0.24840764331210191</v>
      </c>
      <c r="L121" t="str">
        <f>IF(NOT(ISNUMBER(Raw_Data[[#This Row],[Sell_through%]])),"Check",IF(Raw_Data[[#This Row],[Sell_through%]]=0,"Non-moving",IF(Raw_Data[[#This Row],[Sell_through%]]&gt;=0.6,"Fast","Slow")))</f>
        <v>Slow</v>
      </c>
      <c r="M121">
        <f>IF(AND(ISNUMBER(Raw_Data[[#This Row],[Closing_Stock]]),ISNUMBER(Raw_Data[[#This Row],[Unit_Cost]])),Raw_Data[[#This Row],[Closing_Stock]]*Raw_Data[[#This Row],[Unit_Cost]],"")</f>
        <v>23718</v>
      </c>
      <c r="N12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22" spans="1:14" x14ac:dyDescent="0.3">
      <c r="A122" t="s">
        <v>257</v>
      </c>
      <c r="B122" t="s">
        <v>142</v>
      </c>
      <c r="C122" t="s">
        <v>49</v>
      </c>
      <c r="D122" t="s">
        <v>21</v>
      </c>
      <c r="E122" s="3"/>
      <c r="F122">
        <v>497</v>
      </c>
      <c r="G122">
        <v>0</v>
      </c>
      <c r="H122">
        <v>497</v>
      </c>
      <c r="I122">
        <v>1573</v>
      </c>
      <c r="J122" t="s">
        <v>14</v>
      </c>
      <c r="K122" s="4">
        <f>IF(AND(ISNUMBER(Raw_Data[[#This Row],[Opening_Stock]]),ISNUMBER(Raw_Data[[#This Row],[Units_Sold]]),Raw_Data[[#This Row],[Opening_Stock]]&gt;0),Raw_Data[[#This Row],[Units_Sold]]/Raw_Data[[#This Row],[Opening_Stock]],"")</f>
        <v>0</v>
      </c>
      <c r="L122" t="str">
        <f>IF(NOT(ISNUMBER(Raw_Data[[#This Row],[Sell_through%]])),"Check",IF(Raw_Data[[#This Row],[Sell_through%]]=0,"Non-moving",IF(Raw_Data[[#This Row],[Sell_through%]]&gt;=0.6,"Fast","Slow")))</f>
        <v>Non-moving</v>
      </c>
      <c r="M122">
        <f>IF(AND(ISNUMBER(Raw_Data[[#This Row],[Closing_Stock]]),ISNUMBER(Raw_Data[[#This Row],[Unit_Cost]])),Raw_Data[[#This Row],[Closing_Stock]]*Raw_Data[[#This Row],[Unit_Cost]],"")</f>
        <v>781781</v>
      </c>
      <c r="N12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23" spans="1:14" x14ac:dyDescent="0.3">
      <c r="A123" t="s">
        <v>258</v>
      </c>
      <c r="B123" t="s">
        <v>240</v>
      </c>
      <c r="C123" t="s">
        <v>49</v>
      </c>
      <c r="D123" t="s">
        <v>36</v>
      </c>
      <c r="E123" s="3"/>
      <c r="F123">
        <v>442</v>
      </c>
      <c r="G123">
        <v>0</v>
      </c>
      <c r="H123">
        <v>442</v>
      </c>
      <c r="I123">
        <v>245</v>
      </c>
      <c r="J123" t="s">
        <v>14</v>
      </c>
      <c r="K123" s="4">
        <f>IF(AND(ISNUMBER(Raw_Data[[#This Row],[Opening_Stock]]),ISNUMBER(Raw_Data[[#This Row],[Units_Sold]]),Raw_Data[[#This Row],[Opening_Stock]]&gt;0),Raw_Data[[#This Row],[Units_Sold]]/Raw_Data[[#This Row],[Opening_Stock]],"")</f>
        <v>0</v>
      </c>
      <c r="L123" t="str">
        <f>IF(NOT(ISNUMBER(Raw_Data[[#This Row],[Sell_through%]])),"Check",IF(Raw_Data[[#This Row],[Sell_through%]]=0,"Non-moving",IF(Raw_Data[[#This Row],[Sell_through%]]&gt;=0.6,"Fast","Slow")))</f>
        <v>Non-moving</v>
      </c>
      <c r="M123">
        <f>IF(AND(ISNUMBER(Raw_Data[[#This Row],[Closing_Stock]]),ISNUMBER(Raw_Data[[#This Row],[Unit_Cost]])),Raw_Data[[#This Row],[Closing_Stock]]*Raw_Data[[#This Row],[Unit_Cost]],"")</f>
        <v>108290</v>
      </c>
      <c r="N12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24" spans="1:14" x14ac:dyDescent="0.3">
      <c r="A124" t="s">
        <v>261</v>
      </c>
      <c r="B124" t="s">
        <v>262</v>
      </c>
      <c r="C124" t="s">
        <v>12</v>
      </c>
      <c r="D124" t="s">
        <v>21</v>
      </c>
      <c r="E124" s="3"/>
      <c r="F124">
        <v>422</v>
      </c>
      <c r="G124">
        <v>0</v>
      </c>
      <c r="H124">
        <v>422</v>
      </c>
      <c r="I124">
        <v>808</v>
      </c>
      <c r="J124" t="s">
        <v>14</v>
      </c>
      <c r="K124" s="4">
        <f>IF(AND(ISNUMBER(Raw_Data[[#This Row],[Opening_Stock]]),ISNUMBER(Raw_Data[[#This Row],[Units_Sold]]),Raw_Data[[#This Row],[Opening_Stock]]&gt;0),Raw_Data[[#This Row],[Units_Sold]]/Raw_Data[[#This Row],[Opening_Stock]],"")</f>
        <v>0</v>
      </c>
      <c r="L124" t="str">
        <f>IF(NOT(ISNUMBER(Raw_Data[[#This Row],[Sell_through%]])),"Check",IF(Raw_Data[[#This Row],[Sell_through%]]=0,"Non-moving",IF(Raw_Data[[#This Row],[Sell_through%]]&gt;=0.6,"Fast","Slow")))</f>
        <v>Non-moving</v>
      </c>
      <c r="M124">
        <f>IF(AND(ISNUMBER(Raw_Data[[#This Row],[Closing_Stock]]),ISNUMBER(Raw_Data[[#This Row],[Unit_Cost]])),Raw_Data[[#This Row],[Closing_Stock]]*Raw_Data[[#This Row],[Unit_Cost]],"")</f>
        <v>340976</v>
      </c>
      <c r="N12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25" spans="1:14" x14ac:dyDescent="0.3">
      <c r="A125" t="s">
        <v>263</v>
      </c>
      <c r="B125" t="s">
        <v>57</v>
      </c>
      <c r="C125" t="s">
        <v>28</v>
      </c>
      <c r="D125" t="s">
        <v>32</v>
      </c>
      <c r="E125" s="3">
        <v>46054</v>
      </c>
      <c r="F125">
        <v>80</v>
      </c>
      <c r="G125">
        <v>72</v>
      </c>
      <c r="H125">
        <v>8</v>
      </c>
      <c r="I125">
        <v>2445</v>
      </c>
      <c r="J125" t="s">
        <v>17</v>
      </c>
      <c r="K125" s="4">
        <f>IF(AND(ISNUMBER(Raw_Data[[#This Row],[Opening_Stock]]),ISNUMBER(Raw_Data[[#This Row],[Units_Sold]]),Raw_Data[[#This Row],[Opening_Stock]]&gt;0),Raw_Data[[#This Row],[Units_Sold]]/Raw_Data[[#This Row],[Opening_Stock]],"")</f>
        <v>0.9</v>
      </c>
      <c r="L125" t="str">
        <f>IF(NOT(ISNUMBER(Raw_Data[[#This Row],[Sell_through%]])),"Check",IF(Raw_Data[[#This Row],[Sell_through%]]=0,"Non-moving",IF(Raw_Data[[#This Row],[Sell_through%]]&gt;=0.6,"Fast","Slow")))</f>
        <v>Fast</v>
      </c>
      <c r="M125">
        <f>IF(AND(ISNUMBER(Raw_Data[[#This Row],[Closing_Stock]]),ISNUMBER(Raw_Data[[#This Row],[Unit_Cost]])),Raw_Data[[#This Row],[Closing_Stock]]*Raw_Data[[#This Row],[Unit_Cost]],"")</f>
        <v>19560</v>
      </c>
      <c r="N125"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26" spans="1:14" x14ac:dyDescent="0.3">
      <c r="A126" t="s">
        <v>264</v>
      </c>
      <c r="B126" t="s">
        <v>105</v>
      </c>
      <c r="C126" t="s">
        <v>28</v>
      </c>
      <c r="D126" t="s">
        <v>32</v>
      </c>
      <c r="E126" s="3"/>
      <c r="F126">
        <v>352</v>
      </c>
      <c r="G126">
        <v>0</v>
      </c>
      <c r="H126">
        <v>352</v>
      </c>
      <c r="I126">
        <v>1149</v>
      </c>
      <c r="J126" t="s">
        <v>14</v>
      </c>
      <c r="K126" s="4">
        <f>IF(AND(ISNUMBER(Raw_Data[[#This Row],[Opening_Stock]]),ISNUMBER(Raw_Data[[#This Row],[Units_Sold]]),Raw_Data[[#This Row],[Opening_Stock]]&gt;0),Raw_Data[[#This Row],[Units_Sold]]/Raw_Data[[#This Row],[Opening_Stock]],"")</f>
        <v>0</v>
      </c>
      <c r="L126" t="str">
        <f>IF(NOT(ISNUMBER(Raw_Data[[#This Row],[Sell_through%]])),"Check",IF(Raw_Data[[#This Row],[Sell_through%]]=0,"Non-moving",IF(Raw_Data[[#This Row],[Sell_through%]]&gt;=0.6,"Fast","Slow")))</f>
        <v>Non-moving</v>
      </c>
      <c r="M126">
        <f>IF(AND(ISNUMBER(Raw_Data[[#This Row],[Closing_Stock]]),ISNUMBER(Raw_Data[[#This Row],[Unit_Cost]])),Raw_Data[[#This Row],[Closing_Stock]]*Raw_Data[[#This Row],[Unit_Cost]],"")</f>
        <v>404448</v>
      </c>
      <c r="N12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27" spans="1:14" x14ac:dyDescent="0.3">
      <c r="A127" t="s">
        <v>265</v>
      </c>
      <c r="B127" t="s">
        <v>367</v>
      </c>
      <c r="C127" t="s">
        <v>35</v>
      </c>
      <c r="D127" t="s">
        <v>21</v>
      </c>
      <c r="E127" s="3">
        <v>46268</v>
      </c>
      <c r="F127">
        <v>107</v>
      </c>
      <c r="G127">
        <v>34</v>
      </c>
      <c r="H127">
        <v>73</v>
      </c>
      <c r="I127">
        <v>1814</v>
      </c>
      <c r="J127" t="s">
        <v>14</v>
      </c>
      <c r="K127" s="4">
        <f>IF(AND(ISNUMBER(Raw_Data[[#This Row],[Opening_Stock]]),ISNUMBER(Raw_Data[[#This Row],[Units_Sold]]),Raw_Data[[#This Row],[Opening_Stock]]&gt;0),Raw_Data[[#This Row],[Units_Sold]]/Raw_Data[[#This Row],[Opening_Stock]],"")</f>
        <v>0.31775700934579437</v>
      </c>
      <c r="L127" t="str">
        <f>IF(NOT(ISNUMBER(Raw_Data[[#This Row],[Sell_through%]])),"Check",IF(Raw_Data[[#This Row],[Sell_through%]]=0,"Non-moving",IF(Raw_Data[[#This Row],[Sell_through%]]&gt;=0.6,"Fast","Slow")))</f>
        <v>Slow</v>
      </c>
      <c r="M127">
        <f>IF(AND(ISNUMBER(Raw_Data[[#This Row],[Closing_Stock]]),ISNUMBER(Raw_Data[[#This Row],[Unit_Cost]])),Raw_Data[[#This Row],[Closing_Stock]]*Raw_Data[[#This Row],[Unit_Cost]],"")</f>
        <v>132422</v>
      </c>
      <c r="N12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28" spans="1:14" x14ac:dyDescent="0.3">
      <c r="A128" t="s">
        <v>267</v>
      </c>
      <c r="B128" t="s">
        <v>51</v>
      </c>
      <c r="C128" t="s">
        <v>49</v>
      </c>
      <c r="D128" t="s">
        <v>13</v>
      </c>
      <c r="E128" s="3"/>
      <c r="F128">
        <v>362</v>
      </c>
      <c r="G128">
        <v>0</v>
      </c>
      <c r="H128">
        <v>362</v>
      </c>
      <c r="I128">
        <v>2416</v>
      </c>
      <c r="J128" t="s">
        <v>14</v>
      </c>
      <c r="K128" s="4">
        <f>IF(AND(ISNUMBER(Raw_Data[[#This Row],[Opening_Stock]]),ISNUMBER(Raw_Data[[#This Row],[Units_Sold]]),Raw_Data[[#This Row],[Opening_Stock]]&gt;0),Raw_Data[[#This Row],[Units_Sold]]/Raw_Data[[#This Row],[Opening_Stock]],"")</f>
        <v>0</v>
      </c>
      <c r="L128" t="str">
        <f>IF(NOT(ISNUMBER(Raw_Data[[#This Row],[Sell_through%]])),"Check",IF(Raw_Data[[#This Row],[Sell_through%]]=0,"Non-moving",IF(Raw_Data[[#This Row],[Sell_through%]]&gt;=0.6,"Fast","Slow")))</f>
        <v>Non-moving</v>
      </c>
      <c r="M128">
        <f>IF(AND(ISNUMBER(Raw_Data[[#This Row],[Closing_Stock]]),ISNUMBER(Raw_Data[[#This Row],[Unit_Cost]])),Raw_Data[[#This Row],[Closing_Stock]]*Raw_Data[[#This Row],[Unit_Cost]],"")</f>
        <v>874592</v>
      </c>
      <c r="N12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29" spans="1:14" x14ac:dyDescent="0.3">
      <c r="A129" t="s">
        <v>268</v>
      </c>
      <c r="B129" t="s">
        <v>19</v>
      </c>
      <c r="C129" t="s">
        <v>28</v>
      </c>
      <c r="D129" t="s">
        <v>36</v>
      </c>
      <c r="E129" s="3">
        <v>46147</v>
      </c>
      <c r="F129">
        <v>92</v>
      </c>
      <c r="G129">
        <v>71</v>
      </c>
      <c r="H129">
        <v>21</v>
      </c>
      <c r="I129">
        <v>2790</v>
      </c>
      <c r="J129" t="s">
        <v>17</v>
      </c>
      <c r="K129" s="4">
        <f>IF(AND(ISNUMBER(Raw_Data[[#This Row],[Opening_Stock]]),ISNUMBER(Raw_Data[[#This Row],[Units_Sold]]),Raw_Data[[#This Row],[Opening_Stock]]&gt;0),Raw_Data[[#This Row],[Units_Sold]]/Raw_Data[[#This Row],[Opening_Stock]],"")</f>
        <v>0.77173913043478259</v>
      </c>
      <c r="L129" t="str">
        <f>IF(NOT(ISNUMBER(Raw_Data[[#This Row],[Sell_through%]])),"Check",IF(Raw_Data[[#This Row],[Sell_through%]]=0,"Non-moving",IF(Raw_Data[[#This Row],[Sell_through%]]&gt;=0.6,"Fast","Slow")))</f>
        <v>Fast</v>
      </c>
      <c r="M129">
        <f>IF(AND(ISNUMBER(Raw_Data[[#This Row],[Closing_Stock]]),ISNUMBER(Raw_Data[[#This Row],[Unit_Cost]])),Raw_Data[[#This Row],[Closing_Stock]]*Raw_Data[[#This Row],[Unit_Cost]],"")</f>
        <v>58590</v>
      </c>
      <c r="N12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30" spans="1:14" x14ac:dyDescent="0.3">
      <c r="A130" t="s">
        <v>269</v>
      </c>
      <c r="B130" t="s">
        <v>240</v>
      </c>
      <c r="C130" t="s">
        <v>49</v>
      </c>
      <c r="D130" t="s">
        <v>36</v>
      </c>
      <c r="E130" s="3">
        <v>46112</v>
      </c>
      <c r="F130">
        <v>73</v>
      </c>
      <c r="G130">
        <v>53</v>
      </c>
      <c r="H130">
        <v>20</v>
      </c>
      <c r="I130">
        <v>1421</v>
      </c>
      <c r="J130" t="s">
        <v>17</v>
      </c>
      <c r="K130" s="4">
        <f>IF(AND(ISNUMBER(Raw_Data[[#This Row],[Opening_Stock]]),ISNUMBER(Raw_Data[[#This Row],[Units_Sold]]),Raw_Data[[#This Row],[Opening_Stock]]&gt;0),Raw_Data[[#This Row],[Units_Sold]]/Raw_Data[[#This Row],[Opening_Stock]],"")</f>
        <v>0.72602739726027399</v>
      </c>
      <c r="L130" t="str">
        <f>IF(NOT(ISNUMBER(Raw_Data[[#This Row],[Sell_through%]])),"Check",IF(Raw_Data[[#This Row],[Sell_through%]]=0,"Non-moving",IF(Raw_Data[[#This Row],[Sell_through%]]&gt;=0.6,"Fast","Slow")))</f>
        <v>Fast</v>
      </c>
      <c r="M130">
        <f>IF(AND(ISNUMBER(Raw_Data[[#This Row],[Closing_Stock]]),ISNUMBER(Raw_Data[[#This Row],[Unit_Cost]])),Raw_Data[[#This Row],[Closing_Stock]]*Raw_Data[[#This Row],[Unit_Cost]],"")</f>
        <v>28420</v>
      </c>
      <c r="N13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31" spans="1:14" x14ac:dyDescent="0.3">
      <c r="A131" t="s">
        <v>272</v>
      </c>
      <c r="B131" t="s">
        <v>34</v>
      </c>
      <c r="C131" t="s">
        <v>35</v>
      </c>
      <c r="D131" t="s">
        <v>13</v>
      </c>
      <c r="E131" s="3">
        <v>46193</v>
      </c>
      <c r="F131">
        <v>447</v>
      </c>
      <c r="H131">
        <v>121</v>
      </c>
      <c r="I131">
        <v>2217</v>
      </c>
      <c r="J131" t="s">
        <v>14</v>
      </c>
      <c r="K131" s="4" t="str">
        <f>IF(AND(ISNUMBER(Raw_Data[[#This Row],[Opening_Stock]]),ISNUMBER(Raw_Data[[#This Row],[Units_Sold]]),Raw_Data[[#This Row],[Opening_Stock]]&gt;0),Raw_Data[[#This Row],[Units_Sold]]/Raw_Data[[#This Row],[Opening_Stock]],"")</f>
        <v/>
      </c>
      <c r="L131" t="str">
        <f>IF(NOT(ISNUMBER(Raw_Data[[#This Row],[Sell_through%]])),"Check",IF(Raw_Data[[#This Row],[Sell_through%]]=0,"Non-moving",IF(Raw_Data[[#This Row],[Sell_through%]]&gt;=0.6,"Fast","Slow")))</f>
        <v>Check</v>
      </c>
      <c r="M131">
        <f>IF(AND(ISNUMBER(Raw_Data[[#This Row],[Closing_Stock]]),ISNUMBER(Raw_Data[[#This Row],[Unit_Cost]])),Raw_Data[[#This Row],[Closing_Stock]]*Raw_Data[[#This Row],[Unit_Cost]],"")</f>
        <v>268257</v>
      </c>
      <c r="N13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132" spans="1:14" x14ac:dyDescent="0.3">
      <c r="A132" t="s">
        <v>273</v>
      </c>
      <c r="B132" t="s">
        <v>84</v>
      </c>
      <c r="C132" t="s">
        <v>28</v>
      </c>
      <c r="D132" t="s">
        <v>13</v>
      </c>
      <c r="E132" s="3"/>
      <c r="F132">
        <v>213</v>
      </c>
      <c r="G132">
        <v>0</v>
      </c>
      <c r="H132">
        <v>213</v>
      </c>
      <c r="I132">
        <v>1988</v>
      </c>
      <c r="J132" t="s">
        <v>14</v>
      </c>
      <c r="K132" s="4">
        <f>IF(AND(ISNUMBER(Raw_Data[[#This Row],[Opening_Stock]]),ISNUMBER(Raw_Data[[#This Row],[Units_Sold]]),Raw_Data[[#This Row],[Opening_Stock]]&gt;0),Raw_Data[[#This Row],[Units_Sold]]/Raw_Data[[#This Row],[Opening_Stock]],"")</f>
        <v>0</v>
      </c>
      <c r="L132" t="str">
        <f>IF(NOT(ISNUMBER(Raw_Data[[#This Row],[Sell_through%]])),"Check",IF(Raw_Data[[#This Row],[Sell_through%]]=0,"Non-moving",IF(Raw_Data[[#This Row],[Sell_through%]]&gt;=0.6,"Fast","Slow")))</f>
        <v>Non-moving</v>
      </c>
      <c r="M132">
        <f>IF(AND(ISNUMBER(Raw_Data[[#This Row],[Closing_Stock]]),ISNUMBER(Raw_Data[[#This Row],[Unit_Cost]])),Raw_Data[[#This Row],[Closing_Stock]]*Raw_Data[[#This Row],[Unit_Cost]],"")</f>
        <v>423444</v>
      </c>
      <c r="N13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33" spans="1:14" x14ac:dyDescent="0.3">
      <c r="A133" t="s">
        <v>275</v>
      </c>
      <c r="B133" t="s">
        <v>296</v>
      </c>
      <c r="C133" t="s">
        <v>31</v>
      </c>
      <c r="D133" t="s">
        <v>21</v>
      </c>
      <c r="E133" s="3">
        <v>46188</v>
      </c>
      <c r="F133">
        <v>415</v>
      </c>
      <c r="H133">
        <v>108</v>
      </c>
      <c r="I133">
        <v>1948</v>
      </c>
      <c r="J133" t="s">
        <v>14</v>
      </c>
      <c r="K133" s="4" t="str">
        <f>IF(AND(ISNUMBER(Raw_Data[[#This Row],[Opening_Stock]]),ISNUMBER(Raw_Data[[#This Row],[Units_Sold]]),Raw_Data[[#This Row],[Opening_Stock]]&gt;0),Raw_Data[[#This Row],[Units_Sold]]/Raw_Data[[#This Row],[Opening_Stock]],"")</f>
        <v/>
      </c>
      <c r="L133" t="str">
        <f>IF(NOT(ISNUMBER(Raw_Data[[#This Row],[Sell_through%]])),"Check",IF(Raw_Data[[#This Row],[Sell_through%]]=0,"Non-moving",IF(Raw_Data[[#This Row],[Sell_through%]]&gt;=0.6,"Fast","Slow")))</f>
        <v>Check</v>
      </c>
      <c r="M133">
        <f>IF(AND(ISNUMBER(Raw_Data[[#This Row],[Closing_Stock]]),ISNUMBER(Raw_Data[[#This Row],[Unit_Cost]])),Raw_Data[[#This Row],[Closing_Stock]]*Raw_Data[[#This Row],[Unit_Cost]],"")</f>
        <v>210384</v>
      </c>
      <c r="N13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134" spans="1:14" x14ac:dyDescent="0.3">
      <c r="A134" t="s">
        <v>277</v>
      </c>
      <c r="B134" t="s">
        <v>57</v>
      </c>
      <c r="C134" t="s">
        <v>28</v>
      </c>
      <c r="D134" t="s">
        <v>36</v>
      </c>
      <c r="E134" s="3"/>
      <c r="F134">
        <v>282</v>
      </c>
      <c r="G134">
        <v>0</v>
      </c>
      <c r="H134">
        <v>282</v>
      </c>
      <c r="I134">
        <v>1187</v>
      </c>
      <c r="K134" s="4">
        <f>IF(AND(ISNUMBER(Raw_Data[[#This Row],[Opening_Stock]]),ISNUMBER(Raw_Data[[#This Row],[Units_Sold]]),Raw_Data[[#This Row],[Opening_Stock]]&gt;0),Raw_Data[[#This Row],[Units_Sold]]/Raw_Data[[#This Row],[Opening_Stock]],"")</f>
        <v>0</v>
      </c>
      <c r="L134" t="str">
        <f>IF(NOT(ISNUMBER(Raw_Data[[#This Row],[Sell_through%]])),"Check",IF(Raw_Data[[#This Row],[Sell_through%]]=0,"Non-moving",IF(Raw_Data[[#This Row],[Sell_through%]]&gt;=0.6,"Fast","Slow")))</f>
        <v>Non-moving</v>
      </c>
      <c r="M134">
        <f>IF(AND(ISNUMBER(Raw_Data[[#This Row],[Closing_Stock]]),ISNUMBER(Raw_Data[[#This Row],[Unit_Cost]])),Raw_Data[[#This Row],[Closing_Stock]]*Raw_Data[[#This Row],[Unit_Cost]],"")</f>
        <v>334734</v>
      </c>
      <c r="N13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135" spans="1:14" x14ac:dyDescent="0.3">
      <c r="A135" t="s">
        <v>280</v>
      </c>
      <c r="B135" t="s">
        <v>93</v>
      </c>
      <c r="C135" t="s">
        <v>12</v>
      </c>
      <c r="D135" t="s">
        <v>36</v>
      </c>
      <c r="E135" s="3"/>
      <c r="F135">
        <v>356</v>
      </c>
      <c r="G135">
        <v>0</v>
      </c>
      <c r="H135">
        <v>356</v>
      </c>
      <c r="J135" t="s">
        <v>14</v>
      </c>
      <c r="K135" s="4">
        <f>IF(AND(ISNUMBER(Raw_Data[[#This Row],[Opening_Stock]]),ISNUMBER(Raw_Data[[#This Row],[Units_Sold]]),Raw_Data[[#This Row],[Opening_Stock]]&gt;0),Raw_Data[[#This Row],[Units_Sold]]/Raw_Data[[#This Row],[Opening_Stock]],"")</f>
        <v>0</v>
      </c>
      <c r="L135" t="str">
        <f>IF(NOT(ISNUMBER(Raw_Data[[#This Row],[Sell_through%]])),"Check",IF(Raw_Data[[#This Row],[Sell_through%]]=0,"Non-moving",IF(Raw_Data[[#This Row],[Sell_through%]]&gt;=0.6,"Fast","Slow")))</f>
        <v>Non-moving</v>
      </c>
      <c r="M135" t="str">
        <f>IF(AND(ISNUMBER(Raw_Data[[#This Row],[Closing_Stock]]),ISNUMBER(Raw_Data[[#This Row],[Unit_Cost]])),Raw_Data[[#This Row],[Closing_Stock]]*Raw_Data[[#This Row],[Unit_Cost]],"")</f>
        <v/>
      </c>
      <c r="N13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36" spans="1:14" x14ac:dyDescent="0.3">
      <c r="A136" t="s">
        <v>281</v>
      </c>
      <c r="B136" t="s">
        <v>240</v>
      </c>
      <c r="C136" t="s">
        <v>49</v>
      </c>
      <c r="D136" t="s">
        <v>32</v>
      </c>
      <c r="E136" s="3"/>
      <c r="F136">
        <v>151</v>
      </c>
      <c r="G136">
        <v>0</v>
      </c>
      <c r="H136">
        <v>151</v>
      </c>
      <c r="I136">
        <v>2769</v>
      </c>
      <c r="J136" t="s">
        <v>14</v>
      </c>
      <c r="K136" s="4">
        <f>IF(AND(ISNUMBER(Raw_Data[[#This Row],[Opening_Stock]]),ISNUMBER(Raw_Data[[#This Row],[Units_Sold]]),Raw_Data[[#This Row],[Opening_Stock]]&gt;0),Raw_Data[[#This Row],[Units_Sold]]/Raw_Data[[#This Row],[Opening_Stock]],"")</f>
        <v>0</v>
      </c>
      <c r="L136" t="str">
        <f>IF(NOT(ISNUMBER(Raw_Data[[#This Row],[Sell_through%]])),"Check",IF(Raw_Data[[#This Row],[Sell_through%]]=0,"Non-moving",IF(Raw_Data[[#This Row],[Sell_through%]]&gt;=0.6,"Fast","Slow")))</f>
        <v>Non-moving</v>
      </c>
      <c r="M136">
        <f>IF(AND(ISNUMBER(Raw_Data[[#This Row],[Closing_Stock]]),ISNUMBER(Raw_Data[[#This Row],[Unit_Cost]])),Raw_Data[[#This Row],[Closing_Stock]]*Raw_Data[[#This Row],[Unit_Cost]],"")</f>
        <v>418119</v>
      </c>
      <c r="N13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37" spans="1:14" x14ac:dyDescent="0.3">
      <c r="A137" t="s">
        <v>283</v>
      </c>
      <c r="B137" t="s">
        <v>284</v>
      </c>
      <c r="C137" t="s">
        <v>49</v>
      </c>
      <c r="D137" t="s">
        <v>13</v>
      </c>
      <c r="E137" s="3">
        <v>46268</v>
      </c>
      <c r="F137">
        <v>137</v>
      </c>
      <c r="G137">
        <v>131</v>
      </c>
      <c r="H137">
        <v>6</v>
      </c>
      <c r="I137">
        <v>1650</v>
      </c>
      <c r="J137" t="s">
        <v>17</v>
      </c>
      <c r="K137" s="4">
        <f>IF(AND(ISNUMBER(Raw_Data[[#This Row],[Opening_Stock]]),ISNUMBER(Raw_Data[[#This Row],[Units_Sold]]),Raw_Data[[#This Row],[Opening_Stock]]&gt;0),Raw_Data[[#This Row],[Units_Sold]]/Raw_Data[[#This Row],[Opening_Stock]],"")</f>
        <v>0.95620437956204385</v>
      </c>
      <c r="L137" t="str">
        <f>IF(NOT(ISNUMBER(Raw_Data[[#This Row],[Sell_through%]])),"Check",IF(Raw_Data[[#This Row],[Sell_through%]]=0,"Non-moving",IF(Raw_Data[[#This Row],[Sell_through%]]&gt;=0.6,"Fast","Slow")))</f>
        <v>Fast</v>
      </c>
      <c r="M137">
        <f>IF(AND(ISNUMBER(Raw_Data[[#This Row],[Closing_Stock]]),ISNUMBER(Raw_Data[[#This Row],[Unit_Cost]])),Raw_Data[[#This Row],[Closing_Stock]]*Raw_Data[[#This Row],[Unit_Cost]],"")</f>
        <v>9900</v>
      </c>
      <c r="N13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38" spans="1:14" x14ac:dyDescent="0.3">
      <c r="A138" t="s">
        <v>285</v>
      </c>
      <c r="B138" t="s">
        <v>11</v>
      </c>
      <c r="C138" t="s">
        <v>12</v>
      </c>
      <c r="D138" t="s">
        <v>36</v>
      </c>
      <c r="E138" s="3">
        <v>46275</v>
      </c>
      <c r="F138">
        <v>214</v>
      </c>
      <c r="G138">
        <v>81</v>
      </c>
      <c r="H138">
        <v>133</v>
      </c>
      <c r="I138">
        <v>2933</v>
      </c>
      <c r="J138" t="s">
        <v>14</v>
      </c>
      <c r="K138" s="4">
        <f>IF(AND(ISNUMBER(Raw_Data[[#This Row],[Opening_Stock]]),ISNUMBER(Raw_Data[[#This Row],[Units_Sold]]),Raw_Data[[#This Row],[Opening_Stock]]&gt;0),Raw_Data[[#This Row],[Units_Sold]]/Raw_Data[[#This Row],[Opening_Stock]],"")</f>
        <v>0.37850467289719625</v>
      </c>
      <c r="L138" t="str">
        <f>IF(NOT(ISNUMBER(Raw_Data[[#This Row],[Sell_through%]])),"Check",IF(Raw_Data[[#This Row],[Sell_through%]]=0,"Non-moving",IF(Raw_Data[[#This Row],[Sell_through%]]&gt;=0.6,"Fast","Slow")))</f>
        <v>Slow</v>
      </c>
      <c r="M138">
        <f>IF(AND(ISNUMBER(Raw_Data[[#This Row],[Closing_Stock]]),ISNUMBER(Raw_Data[[#This Row],[Unit_Cost]])),Raw_Data[[#This Row],[Closing_Stock]]*Raw_Data[[#This Row],[Unit_Cost]],"")</f>
        <v>390089</v>
      </c>
      <c r="N13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39" spans="1:14" x14ac:dyDescent="0.3">
      <c r="A139" t="s">
        <v>286</v>
      </c>
      <c r="B139" t="s">
        <v>54</v>
      </c>
      <c r="C139" t="s">
        <v>31</v>
      </c>
      <c r="D139" t="s">
        <v>21</v>
      </c>
      <c r="E139" s="3"/>
      <c r="G139">
        <v>0</v>
      </c>
      <c r="H139">
        <v>336</v>
      </c>
      <c r="I139">
        <v>2820</v>
      </c>
      <c r="J139" t="s">
        <v>14</v>
      </c>
      <c r="K139" s="4" t="str">
        <f>IF(AND(ISNUMBER(Raw_Data[[#This Row],[Opening_Stock]]),ISNUMBER(Raw_Data[[#This Row],[Units_Sold]]),Raw_Data[[#This Row],[Opening_Stock]]&gt;0),Raw_Data[[#This Row],[Units_Sold]]/Raw_Data[[#This Row],[Opening_Stock]],"")</f>
        <v/>
      </c>
      <c r="L139" t="str">
        <f>IF(NOT(ISNUMBER(Raw_Data[[#This Row],[Sell_through%]])),"Check",IF(Raw_Data[[#This Row],[Sell_through%]]=0,"Non-moving",IF(Raw_Data[[#This Row],[Sell_through%]]&gt;=0.6,"Fast","Slow")))</f>
        <v>Check</v>
      </c>
      <c r="M139">
        <f>IF(AND(ISNUMBER(Raw_Data[[#This Row],[Closing_Stock]]),ISNUMBER(Raw_Data[[#This Row],[Unit_Cost]])),Raw_Data[[#This Row],[Closing_Stock]]*Raw_Data[[#This Row],[Unit_Cost]],"")</f>
        <v>947520</v>
      </c>
      <c r="N13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140" spans="1:14" x14ac:dyDescent="0.3">
      <c r="A140" t="s">
        <v>287</v>
      </c>
      <c r="B140" t="s">
        <v>236</v>
      </c>
      <c r="C140" t="s">
        <v>12</v>
      </c>
      <c r="D140" t="s">
        <v>13</v>
      </c>
      <c r="E140" s="3">
        <v>46286</v>
      </c>
      <c r="F140">
        <v>390</v>
      </c>
      <c r="G140">
        <v>59</v>
      </c>
      <c r="H140">
        <v>331</v>
      </c>
      <c r="I140">
        <v>2595</v>
      </c>
      <c r="J140" t="s">
        <v>14</v>
      </c>
      <c r="K140" s="4">
        <f>IF(AND(ISNUMBER(Raw_Data[[#This Row],[Opening_Stock]]),ISNUMBER(Raw_Data[[#This Row],[Units_Sold]]),Raw_Data[[#This Row],[Opening_Stock]]&gt;0),Raw_Data[[#This Row],[Units_Sold]]/Raw_Data[[#This Row],[Opening_Stock]],"")</f>
        <v>0.15128205128205127</v>
      </c>
      <c r="L140" t="str">
        <f>IF(NOT(ISNUMBER(Raw_Data[[#This Row],[Sell_through%]])),"Check",IF(Raw_Data[[#This Row],[Sell_through%]]=0,"Non-moving",IF(Raw_Data[[#This Row],[Sell_through%]]&gt;=0.6,"Fast","Slow")))</f>
        <v>Slow</v>
      </c>
      <c r="M140">
        <f>IF(AND(ISNUMBER(Raw_Data[[#This Row],[Closing_Stock]]),ISNUMBER(Raw_Data[[#This Row],[Unit_Cost]])),Raw_Data[[#This Row],[Closing_Stock]]*Raw_Data[[#This Row],[Unit_Cost]],"")</f>
        <v>858945</v>
      </c>
      <c r="N14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41" spans="1:14" x14ac:dyDescent="0.3">
      <c r="A141" t="s">
        <v>288</v>
      </c>
      <c r="B141" t="s">
        <v>189</v>
      </c>
      <c r="C141" t="s">
        <v>49</v>
      </c>
      <c r="D141" t="s">
        <v>32</v>
      </c>
      <c r="E141" s="3">
        <v>46141</v>
      </c>
      <c r="F141">
        <v>229</v>
      </c>
      <c r="G141">
        <v>198</v>
      </c>
      <c r="H141">
        <v>31</v>
      </c>
      <c r="I141">
        <v>994</v>
      </c>
      <c r="J141" t="s">
        <v>17</v>
      </c>
      <c r="K141" s="4">
        <f>IF(AND(ISNUMBER(Raw_Data[[#This Row],[Opening_Stock]]),ISNUMBER(Raw_Data[[#This Row],[Units_Sold]]),Raw_Data[[#This Row],[Opening_Stock]]&gt;0),Raw_Data[[#This Row],[Units_Sold]]/Raw_Data[[#This Row],[Opening_Stock]],"")</f>
        <v>0.86462882096069871</v>
      </c>
      <c r="L141" t="str">
        <f>IF(NOT(ISNUMBER(Raw_Data[[#This Row],[Sell_through%]])),"Check",IF(Raw_Data[[#This Row],[Sell_through%]]=0,"Non-moving",IF(Raw_Data[[#This Row],[Sell_through%]]&gt;=0.6,"Fast","Slow")))</f>
        <v>Fast</v>
      </c>
      <c r="M141">
        <f>IF(AND(ISNUMBER(Raw_Data[[#This Row],[Closing_Stock]]),ISNUMBER(Raw_Data[[#This Row],[Unit_Cost]])),Raw_Data[[#This Row],[Closing_Stock]]*Raw_Data[[#This Row],[Unit_Cost]],"")</f>
        <v>30814</v>
      </c>
      <c r="N14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42" spans="1:14" x14ac:dyDescent="0.3">
      <c r="A142" t="s">
        <v>290</v>
      </c>
      <c r="B142" t="s">
        <v>234</v>
      </c>
      <c r="C142" t="s">
        <v>28</v>
      </c>
      <c r="D142" t="s">
        <v>21</v>
      </c>
      <c r="E142" s="3">
        <v>46172</v>
      </c>
      <c r="F142">
        <v>437</v>
      </c>
      <c r="G142">
        <v>35</v>
      </c>
      <c r="H142">
        <v>402</v>
      </c>
      <c r="I142">
        <v>2745</v>
      </c>
      <c r="J142" t="s">
        <v>14</v>
      </c>
      <c r="K142" s="4">
        <f>IF(AND(ISNUMBER(Raw_Data[[#This Row],[Opening_Stock]]),ISNUMBER(Raw_Data[[#This Row],[Units_Sold]]),Raw_Data[[#This Row],[Opening_Stock]]&gt;0),Raw_Data[[#This Row],[Units_Sold]]/Raw_Data[[#This Row],[Opening_Stock]],"")</f>
        <v>8.0091533180778038E-2</v>
      </c>
      <c r="L142" t="str">
        <f>IF(NOT(ISNUMBER(Raw_Data[[#This Row],[Sell_through%]])),"Check",IF(Raw_Data[[#This Row],[Sell_through%]]=0,"Non-moving",IF(Raw_Data[[#This Row],[Sell_through%]]&gt;=0.6,"Fast","Slow")))</f>
        <v>Slow</v>
      </c>
      <c r="M142">
        <f>IF(AND(ISNUMBER(Raw_Data[[#This Row],[Closing_Stock]]),ISNUMBER(Raw_Data[[#This Row],[Unit_Cost]])),Raw_Data[[#This Row],[Closing_Stock]]*Raw_Data[[#This Row],[Unit_Cost]],"")</f>
        <v>1103490</v>
      </c>
      <c r="N14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43" spans="1:14" x14ac:dyDescent="0.3">
      <c r="A143" t="s">
        <v>291</v>
      </c>
      <c r="B143" t="s">
        <v>41</v>
      </c>
      <c r="C143" t="s">
        <v>49</v>
      </c>
      <c r="D143" t="s">
        <v>21</v>
      </c>
      <c r="E143" s="3"/>
      <c r="F143">
        <v>189</v>
      </c>
      <c r="G143">
        <v>0</v>
      </c>
      <c r="H143">
        <v>189</v>
      </c>
      <c r="I143">
        <v>788</v>
      </c>
      <c r="J143" t="s">
        <v>14</v>
      </c>
      <c r="K143" s="4">
        <f>IF(AND(ISNUMBER(Raw_Data[[#This Row],[Opening_Stock]]),ISNUMBER(Raw_Data[[#This Row],[Units_Sold]]),Raw_Data[[#This Row],[Opening_Stock]]&gt;0),Raw_Data[[#This Row],[Units_Sold]]/Raw_Data[[#This Row],[Opening_Stock]],"")</f>
        <v>0</v>
      </c>
      <c r="L143" t="str">
        <f>IF(NOT(ISNUMBER(Raw_Data[[#This Row],[Sell_through%]])),"Check",IF(Raw_Data[[#This Row],[Sell_through%]]=0,"Non-moving",IF(Raw_Data[[#This Row],[Sell_through%]]&gt;=0.6,"Fast","Slow")))</f>
        <v>Non-moving</v>
      </c>
      <c r="M143">
        <f>IF(AND(ISNUMBER(Raw_Data[[#This Row],[Closing_Stock]]),ISNUMBER(Raw_Data[[#This Row],[Unit_Cost]])),Raw_Data[[#This Row],[Closing_Stock]]*Raw_Data[[#This Row],[Unit_Cost]],"")</f>
        <v>148932</v>
      </c>
      <c r="N14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44" spans="1:14" x14ac:dyDescent="0.3">
      <c r="A144" t="s">
        <v>292</v>
      </c>
      <c r="B144" t="s">
        <v>45</v>
      </c>
      <c r="C144" t="s">
        <v>35</v>
      </c>
      <c r="D144" t="s">
        <v>32</v>
      </c>
      <c r="E144" s="3">
        <v>46103</v>
      </c>
      <c r="F144">
        <v>366</v>
      </c>
      <c r="G144">
        <v>68</v>
      </c>
      <c r="H144">
        <v>298</v>
      </c>
      <c r="I144">
        <v>1325</v>
      </c>
      <c r="J144" t="s">
        <v>14</v>
      </c>
      <c r="K144" s="4">
        <f>IF(AND(ISNUMBER(Raw_Data[[#This Row],[Opening_Stock]]),ISNUMBER(Raw_Data[[#This Row],[Units_Sold]]),Raw_Data[[#This Row],[Opening_Stock]]&gt;0),Raw_Data[[#This Row],[Units_Sold]]/Raw_Data[[#This Row],[Opening_Stock]],"")</f>
        <v>0.18579234972677597</v>
      </c>
      <c r="L144" t="str">
        <f>IF(NOT(ISNUMBER(Raw_Data[[#This Row],[Sell_through%]])),"Check",IF(Raw_Data[[#This Row],[Sell_through%]]=0,"Non-moving",IF(Raw_Data[[#This Row],[Sell_through%]]&gt;=0.6,"Fast","Slow")))</f>
        <v>Slow</v>
      </c>
      <c r="M144">
        <f>IF(AND(ISNUMBER(Raw_Data[[#This Row],[Closing_Stock]]),ISNUMBER(Raw_Data[[#This Row],[Unit_Cost]])),Raw_Data[[#This Row],[Closing_Stock]]*Raw_Data[[#This Row],[Unit_Cost]],"")</f>
        <v>394850</v>
      </c>
      <c r="N14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45" spans="1:14" x14ac:dyDescent="0.3">
      <c r="A145" t="s">
        <v>293</v>
      </c>
      <c r="B145" t="s">
        <v>294</v>
      </c>
      <c r="C145" t="s">
        <v>35</v>
      </c>
      <c r="D145" t="s">
        <v>13</v>
      </c>
      <c r="E145" s="3">
        <v>46143</v>
      </c>
      <c r="F145">
        <v>112</v>
      </c>
      <c r="G145">
        <v>91</v>
      </c>
      <c r="H145">
        <v>21</v>
      </c>
      <c r="I145">
        <v>153</v>
      </c>
      <c r="J145" t="s">
        <v>17</v>
      </c>
      <c r="K145" s="4">
        <f>IF(AND(ISNUMBER(Raw_Data[[#This Row],[Opening_Stock]]),ISNUMBER(Raw_Data[[#This Row],[Units_Sold]]),Raw_Data[[#This Row],[Opening_Stock]]&gt;0),Raw_Data[[#This Row],[Units_Sold]]/Raw_Data[[#This Row],[Opening_Stock]],"")</f>
        <v>0.8125</v>
      </c>
      <c r="L145" t="str">
        <f>IF(NOT(ISNUMBER(Raw_Data[[#This Row],[Sell_through%]])),"Check",IF(Raw_Data[[#This Row],[Sell_through%]]=0,"Non-moving",IF(Raw_Data[[#This Row],[Sell_through%]]&gt;=0.6,"Fast","Slow")))</f>
        <v>Fast</v>
      </c>
      <c r="M145">
        <f>IF(AND(ISNUMBER(Raw_Data[[#This Row],[Closing_Stock]]),ISNUMBER(Raw_Data[[#This Row],[Unit_Cost]])),Raw_Data[[#This Row],[Closing_Stock]]*Raw_Data[[#This Row],[Unit_Cost]],"")</f>
        <v>3213</v>
      </c>
      <c r="N145"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46" spans="1:14" x14ac:dyDescent="0.3">
      <c r="A146" t="s">
        <v>295</v>
      </c>
      <c r="B146" t="s">
        <v>296</v>
      </c>
      <c r="C146" t="s">
        <v>31</v>
      </c>
      <c r="D146" t="s">
        <v>32</v>
      </c>
      <c r="E146" s="3">
        <v>46136</v>
      </c>
      <c r="F146">
        <v>339</v>
      </c>
      <c r="G146">
        <v>320</v>
      </c>
      <c r="H146">
        <v>19</v>
      </c>
      <c r="I146">
        <v>226</v>
      </c>
      <c r="J146" t="s">
        <v>17</v>
      </c>
      <c r="K146" s="4">
        <f>IF(AND(ISNUMBER(Raw_Data[[#This Row],[Opening_Stock]]),ISNUMBER(Raw_Data[[#This Row],[Units_Sold]]),Raw_Data[[#This Row],[Opening_Stock]]&gt;0),Raw_Data[[#This Row],[Units_Sold]]/Raw_Data[[#This Row],[Opening_Stock]],"")</f>
        <v>0.94395280235988199</v>
      </c>
      <c r="L146" t="str">
        <f>IF(NOT(ISNUMBER(Raw_Data[[#This Row],[Sell_through%]])),"Check",IF(Raw_Data[[#This Row],[Sell_through%]]=0,"Non-moving",IF(Raw_Data[[#This Row],[Sell_through%]]&gt;=0.6,"Fast","Slow")))</f>
        <v>Fast</v>
      </c>
      <c r="M146">
        <f>IF(AND(ISNUMBER(Raw_Data[[#This Row],[Closing_Stock]]),ISNUMBER(Raw_Data[[#This Row],[Unit_Cost]])),Raw_Data[[#This Row],[Closing_Stock]]*Raw_Data[[#This Row],[Unit_Cost]],"")</f>
        <v>4294</v>
      </c>
      <c r="N146"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47" spans="1:14" x14ac:dyDescent="0.3">
      <c r="A147" t="s">
        <v>297</v>
      </c>
      <c r="B147" t="s">
        <v>479</v>
      </c>
      <c r="C147" t="s">
        <v>31</v>
      </c>
      <c r="D147" t="s">
        <v>13</v>
      </c>
      <c r="E147" s="3">
        <v>46245</v>
      </c>
      <c r="F147">
        <v>131</v>
      </c>
      <c r="G147">
        <v>44</v>
      </c>
      <c r="H147">
        <v>87</v>
      </c>
      <c r="I147">
        <v>1758</v>
      </c>
      <c r="J147" t="s">
        <v>14</v>
      </c>
      <c r="K147" s="4">
        <f>IF(AND(ISNUMBER(Raw_Data[[#This Row],[Opening_Stock]]),ISNUMBER(Raw_Data[[#This Row],[Units_Sold]]),Raw_Data[[#This Row],[Opening_Stock]]&gt;0),Raw_Data[[#This Row],[Units_Sold]]/Raw_Data[[#This Row],[Opening_Stock]],"")</f>
        <v>0.33587786259541985</v>
      </c>
      <c r="L147" t="str">
        <f>IF(NOT(ISNUMBER(Raw_Data[[#This Row],[Sell_through%]])),"Check",IF(Raw_Data[[#This Row],[Sell_through%]]=0,"Non-moving",IF(Raw_Data[[#This Row],[Sell_through%]]&gt;=0.6,"Fast","Slow")))</f>
        <v>Slow</v>
      </c>
      <c r="M147">
        <f>IF(AND(ISNUMBER(Raw_Data[[#This Row],[Closing_Stock]]),ISNUMBER(Raw_Data[[#This Row],[Unit_Cost]])),Raw_Data[[#This Row],[Closing_Stock]]*Raw_Data[[#This Row],[Unit_Cost]],"")</f>
        <v>152946</v>
      </c>
      <c r="N14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48" spans="1:14" x14ac:dyDescent="0.3">
      <c r="A148" t="s">
        <v>299</v>
      </c>
      <c r="B148" t="s">
        <v>243</v>
      </c>
      <c r="C148" t="s">
        <v>28</v>
      </c>
      <c r="D148" t="s">
        <v>13</v>
      </c>
      <c r="E148" s="3"/>
      <c r="F148">
        <v>215</v>
      </c>
      <c r="G148">
        <v>0</v>
      </c>
      <c r="H148">
        <v>215</v>
      </c>
      <c r="I148">
        <v>1051</v>
      </c>
      <c r="J148" t="s">
        <v>14</v>
      </c>
      <c r="K148" s="4">
        <f>IF(AND(ISNUMBER(Raw_Data[[#This Row],[Opening_Stock]]),ISNUMBER(Raw_Data[[#This Row],[Units_Sold]]),Raw_Data[[#This Row],[Opening_Stock]]&gt;0),Raw_Data[[#This Row],[Units_Sold]]/Raw_Data[[#This Row],[Opening_Stock]],"")</f>
        <v>0</v>
      </c>
      <c r="L148" t="str">
        <f>IF(NOT(ISNUMBER(Raw_Data[[#This Row],[Sell_through%]])),"Check",IF(Raw_Data[[#This Row],[Sell_through%]]=0,"Non-moving",IF(Raw_Data[[#This Row],[Sell_through%]]&gt;=0.6,"Fast","Slow")))</f>
        <v>Non-moving</v>
      </c>
      <c r="M148">
        <f>IF(AND(ISNUMBER(Raw_Data[[#This Row],[Closing_Stock]]),ISNUMBER(Raw_Data[[#This Row],[Unit_Cost]])),Raw_Data[[#This Row],[Closing_Stock]]*Raw_Data[[#This Row],[Unit_Cost]],"")</f>
        <v>225965</v>
      </c>
      <c r="N14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49" spans="1:14" x14ac:dyDescent="0.3">
      <c r="A149" t="s">
        <v>301</v>
      </c>
      <c r="B149" t="s">
        <v>363</v>
      </c>
      <c r="C149" t="s">
        <v>12</v>
      </c>
      <c r="D149" t="s">
        <v>36</v>
      </c>
      <c r="E149" s="3"/>
      <c r="F149">
        <v>122</v>
      </c>
      <c r="G149">
        <v>0</v>
      </c>
      <c r="H149">
        <v>122</v>
      </c>
      <c r="I149">
        <v>1743</v>
      </c>
      <c r="J149" t="s">
        <v>14</v>
      </c>
      <c r="K149" s="4">
        <f>IF(AND(ISNUMBER(Raw_Data[[#This Row],[Opening_Stock]]),ISNUMBER(Raw_Data[[#This Row],[Units_Sold]]),Raw_Data[[#This Row],[Opening_Stock]]&gt;0),Raw_Data[[#This Row],[Units_Sold]]/Raw_Data[[#This Row],[Opening_Stock]],"")</f>
        <v>0</v>
      </c>
      <c r="L149" t="str">
        <f>IF(NOT(ISNUMBER(Raw_Data[[#This Row],[Sell_through%]])),"Check",IF(Raw_Data[[#This Row],[Sell_through%]]=0,"Non-moving",IF(Raw_Data[[#This Row],[Sell_through%]]&gt;=0.6,"Fast","Slow")))</f>
        <v>Non-moving</v>
      </c>
      <c r="M149">
        <f>IF(AND(ISNUMBER(Raw_Data[[#This Row],[Closing_Stock]]),ISNUMBER(Raw_Data[[#This Row],[Unit_Cost]])),Raw_Data[[#This Row],[Closing_Stock]]*Raw_Data[[#This Row],[Unit_Cost]],"")</f>
        <v>212646</v>
      </c>
      <c r="N14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50" spans="1:14" x14ac:dyDescent="0.3">
      <c r="A150" t="s">
        <v>303</v>
      </c>
      <c r="B150" t="s">
        <v>177</v>
      </c>
      <c r="C150" t="s">
        <v>31</v>
      </c>
      <c r="D150" t="s">
        <v>13</v>
      </c>
      <c r="E150" s="3"/>
      <c r="F150">
        <v>470</v>
      </c>
      <c r="G150">
        <v>0</v>
      </c>
      <c r="H150">
        <v>470</v>
      </c>
      <c r="I150">
        <v>615</v>
      </c>
      <c r="J150" t="s">
        <v>14</v>
      </c>
      <c r="K150" s="4">
        <f>IF(AND(ISNUMBER(Raw_Data[[#This Row],[Opening_Stock]]),ISNUMBER(Raw_Data[[#This Row],[Units_Sold]]),Raw_Data[[#This Row],[Opening_Stock]]&gt;0),Raw_Data[[#This Row],[Units_Sold]]/Raw_Data[[#This Row],[Opening_Stock]],"")</f>
        <v>0</v>
      </c>
      <c r="L150" t="str">
        <f>IF(NOT(ISNUMBER(Raw_Data[[#This Row],[Sell_through%]])),"Check",IF(Raw_Data[[#This Row],[Sell_through%]]=0,"Non-moving",IF(Raw_Data[[#This Row],[Sell_through%]]&gt;=0.6,"Fast","Slow")))</f>
        <v>Non-moving</v>
      </c>
      <c r="M150">
        <f>IF(AND(ISNUMBER(Raw_Data[[#This Row],[Closing_Stock]]),ISNUMBER(Raw_Data[[#This Row],[Unit_Cost]])),Raw_Data[[#This Row],[Closing_Stock]]*Raw_Data[[#This Row],[Unit_Cost]],"")</f>
        <v>289050</v>
      </c>
      <c r="N15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51" spans="1:14" x14ac:dyDescent="0.3">
      <c r="A151" t="s">
        <v>305</v>
      </c>
      <c r="B151" t="s">
        <v>101</v>
      </c>
      <c r="C151" t="s">
        <v>12</v>
      </c>
      <c r="D151" t="s">
        <v>36</v>
      </c>
      <c r="E151" s="3">
        <v>46161</v>
      </c>
      <c r="F151">
        <v>150</v>
      </c>
      <c r="G151">
        <v>137</v>
      </c>
      <c r="H151">
        <v>13</v>
      </c>
      <c r="I151">
        <v>373</v>
      </c>
      <c r="J151" t="s">
        <v>17</v>
      </c>
      <c r="K151" s="4">
        <f>IF(AND(ISNUMBER(Raw_Data[[#This Row],[Opening_Stock]]),ISNUMBER(Raw_Data[[#This Row],[Units_Sold]]),Raw_Data[[#This Row],[Opening_Stock]]&gt;0),Raw_Data[[#This Row],[Units_Sold]]/Raw_Data[[#This Row],[Opening_Stock]],"")</f>
        <v>0.91333333333333333</v>
      </c>
      <c r="L151" t="str">
        <f>IF(NOT(ISNUMBER(Raw_Data[[#This Row],[Sell_through%]])),"Check",IF(Raw_Data[[#This Row],[Sell_through%]]=0,"Non-moving",IF(Raw_Data[[#This Row],[Sell_through%]]&gt;=0.6,"Fast","Slow")))</f>
        <v>Fast</v>
      </c>
      <c r="M151">
        <f>IF(AND(ISNUMBER(Raw_Data[[#This Row],[Closing_Stock]]),ISNUMBER(Raw_Data[[#This Row],[Unit_Cost]])),Raw_Data[[#This Row],[Closing_Stock]]*Raw_Data[[#This Row],[Unit_Cost]],"")</f>
        <v>4849</v>
      </c>
      <c r="N15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52" spans="1:14" x14ac:dyDescent="0.3">
      <c r="A152" t="s">
        <v>306</v>
      </c>
      <c r="B152" t="s">
        <v>198</v>
      </c>
      <c r="C152" t="s">
        <v>31</v>
      </c>
      <c r="D152" t="s">
        <v>13</v>
      </c>
      <c r="E152" s="3"/>
      <c r="F152">
        <v>290</v>
      </c>
      <c r="G152">
        <v>0</v>
      </c>
      <c r="H152">
        <v>290</v>
      </c>
      <c r="I152">
        <v>2837</v>
      </c>
      <c r="J152" t="s">
        <v>14</v>
      </c>
      <c r="K152" s="4">
        <f>IF(AND(ISNUMBER(Raw_Data[[#This Row],[Opening_Stock]]),ISNUMBER(Raw_Data[[#This Row],[Units_Sold]]),Raw_Data[[#This Row],[Opening_Stock]]&gt;0),Raw_Data[[#This Row],[Units_Sold]]/Raw_Data[[#This Row],[Opening_Stock]],"")</f>
        <v>0</v>
      </c>
      <c r="L152" t="str">
        <f>IF(NOT(ISNUMBER(Raw_Data[[#This Row],[Sell_through%]])),"Check",IF(Raw_Data[[#This Row],[Sell_through%]]=0,"Non-moving",IF(Raw_Data[[#This Row],[Sell_through%]]&gt;=0.6,"Fast","Slow")))</f>
        <v>Non-moving</v>
      </c>
      <c r="M152">
        <f>IF(AND(ISNUMBER(Raw_Data[[#This Row],[Closing_Stock]]),ISNUMBER(Raw_Data[[#This Row],[Unit_Cost]])),Raw_Data[[#This Row],[Closing_Stock]]*Raw_Data[[#This Row],[Unit_Cost]],"")</f>
        <v>822730</v>
      </c>
      <c r="N15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53" spans="1:14" x14ac:dyDescent="0.3">
      <c r="A153" t="s">
        <v>307</v>
      </c>
      <c r="B153" t="s">
        <v>308</v>
      </c>
      <c r="C153" t="s">
        <v>12</v>
      </c>
      <c r="D153" t="s">
        <v>21</v>
      </c>
      <c r="E153" s="3"/>
      <c r="F153">
        <v>291</v>
      </c>
      <c r="G153">
        <v>0</v>
      </c>
      <c r="H153">
        <v>291</v>
      </c>
      <c r="I153">
        <v>126</v>
      </c>
      <c r="J153" t="s">
        <v>14</v>
      </c>
      <c r="K153" s="4">
        <f>IF(AND(ISNUMBER(Raw_Data[[#This Row],[Opening_Stock]]),ISNUMBER(Raw_Data[[#This Row],[Units_Sold]]),Raw_Data[[#This Row],[Opening_Stock]]&gt;0),Raw_Data[[#This Row],[Units_Sold]]/Raw_Data[[#This Row],[Opening_Stock]],"")</f>
        <v>0</v>
      </c>
      <c r="L153" t="str">
        <f>IF(NOT(ISNUMBER(Raw_Data[[#This Row],[Sell_through%]])),"Check",IF(Raw_Data[[#This Row],[Sell_through%]]=0,"Non-moving",IF(Raw_Data[[#This Row],[Sell_through%]]&gt;=0.6,"Fast","Slow")))</f>
        <v>Non-moving</v>
      </c>
      <c r="M153">
        <f>IF(AND(ISNUMBER(Raw_Data[[#This Row],[Closing_Stock]]),ISNUMBER(Raw_Data[[#This Row],[Unit_Cost]])),Raw_Data[[#This Row],[Closing_Stock]]*Raw_Data[[#This Row],[Unit_Cost]],"")</f>
        <v>36666</v>
      </c>
      <c r="N15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54" spans="1:14" x14ac:dyDescent="0.3">
      <c r="A154" t="s">
        <v>309</v>
      </c>
      <c r="B154" t="s">
        <v>34</v>
      </c>
      <c r="C154" t="s">
        <v>35</v>
      </c>
      <c r="D154" t="s">
        <v>13</v>
      </c>
      <c r="E154" s="3"/>
      <c r="F154">
        <v>221</v>
      </c>
      <c r="G154">
        <v>0</v>
      </c>
      <c r="H154">
        <v>221</v>
      </c>
      <c r="I154">
        <v>794</v>
      </c>
      <c r="J154" t="s">
        <v>14</v>
      </c>
      <c r="K154" s="4">
        <f>IF(AND(ISNUMBER(Raw_Data[[#This Row],[Opening_Stock]]),ISNUMBER(Raw_Data[[#This Row],[Units_Sold]]),Raw_Data[[#This Row],[Opening_Stock]]&gt;0),Raw_Data[[#This Row],[Units_Sold]]/Raw_Data[[#This Row],[Opening_Stock]],"")</f>
        <v>0</v>
      </c>
      <c r="L154" t="str">
        <f>IF(NOT(ISNUMBER(Raw_Data[[#This Row],[Sell_through%]])),"Check",IF(Raw_Data[[#This Row],[Sell_through%]]=0,"Non-moving",IF(Raw_Data[[#This Row],[Sell_through%]]&gt;=0.6,"Fast","Slow")))</f>
        <v>Non-moving</v>
      </c>
      <c r="M154">
        <f>IF(AND(ISNUMBER(Raw_Data[[#This Row],[Closing_Stock]]),ISNUMBER(Raw_Data[[#This Row],[Unit_Cost]])),Raw_Data[[#This Row],[Closing_Stock]]*Raw_Data[[#This Row],[Unit_Cost]],"")</f>
        <v>175474</v>
      </c>
      <c r="N15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55" spans="1:14" x14ac:dyDescent="0.3">
      <c r="A155" t="s">
        <v>310</v>
      </c>
      <c r="B155" t="s">
        <v>16</v>
      </c>
      <c r="C155" t="s">
        <v>12</v>
      </c>
      <c r="D155" t="s">
        <v>36</v>
      </c>
      <c r="E155" s="3">
        <v>46147</v>
      </c>
      <c r="F155">
        <v>428</v>
      </c>
      <c r="G155">
        <v>334</v>
      </c>
      <c r="H155">
        <v>94</v>
      </c>
      <c r="I155">
        <v>2986</v>
      </c>
      <c r="J155" t="s">
        <v>14</v>
      </c>
      <c r="K155" s="4">
        <f>IF(AND(ISNUMBER(Raw_Data[[#This Row],[Opening_Stock]]),ISNUMBER(Raw_Data[[#This Row],[Units_Sold]]),Raw_Data[[#This Row],[Opening_Stock]]&gt;0),Raw_Data[[#This Row],[Units_Sold]]/Raw_Data[[#This Row],[Opening_Stock]],"")</f>
        <v>0.78037383177570097</v>
      </c>
      <c r="L155" t="str">
        <f>IF(NOT(ISNUMBER(Raw_Data[[#This Row],[Sell_through%]])),"Check",IF(Raw_Data[[#This Row],[Sell_through%]]=0,"Non-moving",IF(Raw_Data[[#This Row],[Sell_through%]]&gt;=0.6,"Fast","Slow")))</f>
        <v>Fast</v>
      </c>
      <c r="M155">
        <f>IF(AND(ISNUMBER(Raw_Data[[#This Row],[Closing_Stock]]),ISNUMBER(Raw_Data[[#This Row],[Unit_Cost]])),Raw_Data[[#This Row],[Closing_Stock]]*Raw_Data[[#This Row],[Unit_Cost]],"")</f>
        <v>280684</v>
      </c>
      <c r="N15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156" spans="1:14" x14ac:dyDescent="0.3">
      <c r="A156" t="s">
        <v>311</v>
      </c>
      <c r="B156" t="s">
        <v>182</v>
      </c>
      <c r="C156" t="s">
        <v>12</v>
      </c>
      <c r="D156" t="s">
        <v>36</v>
      </c>
      <c r="E156" s="3"/>
      <c r="F156">
        <v>364</v>
      </c>
      <c r="G156">
        <v>0</v>
      </c>
      <c r="H156">
        <v>364</v>
      </c>
      <c r="I156">
        <v>1375</v>
      </c>
      <c r="J156" t="s">
        <v>14</v>
      </c>
      <c r="K156" s="4">
        <f>IF(AND(ISNUMBER(Raw_Data[[#This Row],[Opening_Stock]]),ISNUMBER(Raw_Data[[#This Row],[Units_Sold]]),Raw_Data[[#This Row],[Opening_Stock]]&gt;0),Raw_Data[[#This Row],[Units_Sold]]/Raw_Data[[#This Row],[Opening_Stock]],"")</f>
        <v>0</v>
      </c>
      <c r="L156" t="str">
        <f>IF(NOT(ISNUMBER(Raw_Data[[#This Row],[Sell_through%]])),"Check",IF(Raw_Data[[#This Row],[Sell_through%]]=0,"Non-moving",IF(Raw_Data[[#This Row],[Sell_through%]]&gt;=0.6,"Fast","Slow")))</f>
        <v>Non-moving</v>
      </c>
      <c r="M156">
        <f>IF(AND(ISNUMBER(Raw_Data[[#This Row],[Closing_Stock]]),ISNUMBER(Raw_Data[[#This Row],[Unit_Cost]])),Raw_Data[[#This Row],[Closing_Stock]]*Raw_Data[[#This Row],[Unit_Cost]],"")</f>
        <v>500500</v>
      </c>
      <c r="N15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57" spans="1:14" x14ac:dyDescent="0.3">
      <c r="A157" t="s">
        <v>312</v>
      </c>
      <c r="B157" t="s">
        <v>189</v>
      </c>
      <c r="C157" t="s">
        <v>49</v>
      </c>
      <c r="D157" t="s">
        <v>13</v>
      </c>
      <c r="E157" s="3">
        <v>46224</v>
      </c>
      <c r="F157">
        <v>281</v>
      </c>
      <c r="G157">
        <v>100</v>
      </c>
      <c r="H157">
        <v>181</v>
      </c>
      <c r="I157">
        <v>345</v>
      </c>
      <c r="K157" s="4">
        <f>IF(AND(ISNUMBER(Raw_Data[[#This Row],[Opening_Stock]]),ISNUMBER(Raw_Data[[#This Row],[Units_Sold]]),Raw_Data[[#This Row],[Opening_Stock]]&gt;0),Raw_Data[[#This Row],[Units_Sold]]/Raw_Data[[#This Row],[Opening_Stock]],"")</f>
        <v>0.35587188612099646</v>
      </c>
      <c r="L157" t="str">
        <f>IF(NOT(ISNUMBER(Raw_Data[[#This Row],[Sell_through%]])),"Check",IF(Raw_Data[[#This Row],[Sell_through%]]=0,"Non-moving",IF(Raw_Data[[#This Row],[Sell_through%]]&gt;=0.6,"Fast","Slow")))</f>
        <v>Slow</v>
      </c>
      <c r="M157">
        <f>IF(AND(ISNUMBER(Raw_Data[[#This Row],[Closing_Stock]]),ISNUMBER(Raw_Data[[#This Row],[Unit_Cost]])),Raw_Data[[#This Row],[Closing_Stock]]*Raw_Data[[#This Row],[Unit_Cost]],"")</f>
        <v>62445</v>
      </c>
      <c r="N157"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158" spans="1:14" x14ac:dyDescent="0.3">
      <c r="A158" t="s">
        <v>314</v>
      </c>
      <c r="B158" t="s">
        <v>315</v>
      </c>
      <c r="C158" t="s">
        <v>49</v>
      </c>
      <c r="D158" t="s">
        <v>36</v>
      </c>
      <c r="E158" s="3">
        <v>46089</v>
      </c>
      <c r="F158">
        <v>178</v>
      </c>
      <c r="G158">
        <v>59</v>
      </c>
      <c r="H158">
        <v>119</v>
      </c>
      <c r="I158">
        <v>1862</v>
      </c>
      <c r="J158" t="s">
        <v>14</v>
      </c>
      <c r="K158" s="4">
        <f>IF(AND(ISNUMBER(Raw_Data[[#This Row],[Opening_Stock]]),ISNUMBER(Raw_Data[[#This Row],[Units_Sold]]),Raw_Data[[#This Row],[Opening_Stock]]&gt;0),Raw_Data[[#This Row],[Units_Sold]]/Raw_Data[[#This Row],[Opening_Stock]],"")</f>
        <v>0.33146067415730335</v>
      </c>
      <c r="L158" t="str">
        <f>IF(NOT(ISNUMBER(Raw_Data[[#This Row],[Sell_through%]])),"Check",IF(Raw_Data[[#This Row],[Sell_through%]]=0,"Non-moving",IF(Raw_Data[[#This Row],[Sell_through%]]&gt;=0.6,"Fast","Slow")))</f>
        <v>Slow</v>
      </c>
      <c r="M158">
        <f>IF(AND(ISNUMBER(Raw_Data[[#This Row],[Closing_Stock]]),ISNUMBER(Raw_Data[[#This Row],[Unit_Cost]])),Raw_Data[[#This Row],[Closing_Stock]]*Raw_Data[[#This Row],[Unit_Cost]],"")</f>
        <v>221578</v>
      </c>
      <c r="N15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59" spans="1:14" x14ac:dyDescent="0.3">
      <c r="A159" t="s">
        <v>316</v>
      </c>
      <c r="B159" t="s">
        <v>164</v>
      </c>
      <c r="D159" t="s">
        <v>32</v>
      </c>
      <c r="E159" s="3"/>
      <c r="F159">
        <v>137</v>
      </c>
      <c r="G159">
        <v>0</v>
      </c>
      <c r="H159">
        <v>137</v>
      </c>
      <c r="I159">
        <v>355</v>
      </c>
      <c r="J159" t="s">
        <v>14</v>
      </c>
      <c r="K159" s="4">
        <f>IF(AND(ISNUMBER(Raw_Data[[#This Row],[Opening_Stock]]),ISNUMBER(Raw_Data[[#This Row],[Units_Sold]]),Raw_Data[[#This Row],[Opening_Stock]]&gt;0),Raw_Data[[#This Row],[Units_Sold]]/Raw_Data[[#This Row],[Opening_Stock]],"")</f>
        <v>0</v>
      </c>
      <c r="L159" t="str">
        <f>IF(NOT(ISNUMBER(Raw_Data[[#This Row],[Sell_through%]])),"Check",IF(Raw_Data[[#This Row],[Sell_through%]]=0,"Non-moving",IF(Raw_Data[[#This Row],[Sell_through%]]&gt;=0.6,"Fast","Slow")))</f>
        <v>Non-moving</v>
      </c>
      <c r="M159">
        <f>IF(AND(ISNUMBER(Raw_Data[[#This Row],[Closing_Stock]]),ISNUMBER(Raw_Data[[#This Row],[Unit_Cost]])),Raw_Data[[#This Row],[Closing_Stock]]*Raw_Data[[#This Row],[Unit_Cost]],"")</f>
        <v>48635</v>
      </c>
      <c r="N15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60" spans="1:14" x14ac:dyDescent="0.3">
      <c r="A160" t="s">
        <v>317</v>
      </c>
      <c r="B160" t="s">
        <v>1344</v>
      </c>
      <c r="C160" t="s">
        <v>28</v>
      </c>
      <c r="D160" t="s">
        <v>32</v>
      </c>
      <c r="E160" s="3"/>
      <c r="F160">
        <v>456</v>
      </c>
      <c r="G160">
        <v>0</v>
      </c>
      <c r="H160">
        <v>456</v>
      </c>
      <c r="I160">
        <v>2501</v>
      </c>
      <c r="J160" t="s">
        <v>14</v>
      </c>
      <c r="K160" s="4">
        <f>IF(AND(ISNUMBER(Raw_Data[[#This Row],[Opening_Stock]]),ISNUMBER(Raw_Data[[#This Row],[Units_Sold]]),Raw_Data[[#This Row],[Opening_Stock]]&gt;0),Raw_Data[[#This Row],[Units_Sold]]/Raw_Data[[#This Row],[Opening_Stock]],"")</f>
        <v>0</v>
      </c>
      <c r="L160" t="str">
        <f>IF(NOT(ISNUMBER(Raw_Data[[#This Row],[Sell_through%]])),"Check",IF(Raw_Data[[#This Row],[Sell_through%]]=0,"Non-moving",IF(Raw_Data[[#This Row],[Sell_through%]]&gt;=0.6,"Fast","Slow")))</f>
        <v>Non-moving</v>
      </c>
      <c r="M160">
        <f>IF(AND(ISNUMBER(Raw_Data[[#This Row],[Closing_Stock]]),ISNUMBER(Raw_Data[[#This Row],[Unit_Cost]])),Raw_Data[[#This Row],[Closing_Stock]]*Raw_Data[[#This Row],[Unit_Cost]],"")</f>
        <v>1140456</v>
      </c>
      <c r="N16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61" spans="1:14" x14ac:dyDescent="0.3">
      <c r="A161" t="s">
        <v>320</v>
      </c>
      <c r="B161" t="s">
        <v>284</v>
      </c>
      <c r="C161" t="s">
        <v>49</v>
      </c>
      <c r="D161" t="s">
        <v>21</v>
      </c>
      <c r="E161" s="3"/>
      <c r="F161">
        <v>364</v>
      </c>
      <c r="G161">
        <v>0</v>
      </c>
      <c r="H161">
        <v>364</v>
      </c>
      <c r="I161">
        <v>2454</v>
      </c>
      <c r="J161" t="s">
        <v>14</v>
      </c>
      <c r="K161" s="4">
        <f>IF(AND(ISNUMBER(Raw_Data[[#This Row],[Opening_Stock]]),ISNUMBER(Raw_Data[[#This Row],[Units_Sold]]),Raw_Data[[#This Row],[Opening_Stock]]&gt;0),Raw_Data[[#This Row],[Units_Sold]]/Raw_Data[[#This Row],[Opening_Stock]],"")</f>
        <v>0</v>
      </c>
      <c r="L161" t="str">
        <f>IF(NOT(ISNUMBER(Raw_Data[[#This Row],[Sell_through%]])),"Check",IF(Raw_Data[[#This Row],[Sell_through%]]=0,"Non-moving",IF(Raw_Data[[#This Row],[Sell_through%]]&gt;=0.6,"Fast","Slow")))</f>
        <v>Non-moving</v>
      </c>
      <c r="M161">
        <f>IF(AND(ISNUMBER(Raw_Data[[#This Row],[Closing_Stock]]),ISNUMBER(Raw_Data[[#This Row],[Unit_Cost]])),Raw_Data[[#This Row],[Closing_Stock]]*Raw_Data[[#This Row],[Unit_Cost]],"")</f>
        <v>893256</v>
      </c>
      <c r="N16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62" spans="1:14" x14ac:dyDescent="0.3">
      <c r="A162" t="s">
        <v>322</v>
      </c>
      <c r="B162" t="s">
        <v>73</v>
      </c>
      <c r="C162" t="s">
        <v>49</v>
      </c>
      <c r="D162" t="s">
        <v>32</v>
      </c>
      <c r="E162" s="3">
        <v>46149</v>
      </c>
      <c r="F162">
        <v>226</v>
      </c>
      <c r="G162">
        <v>179</v>
      </c>
      <c r="H162">
        <v>52</v>
      </c>
      <c r="I162">
        <v>2618</v>
      </c>
      <c r="J162" t="s">
        <v>17</v>
      </c>
      <c r="K162" s="4">
        <f>IF(AND(ISNUMBER(Raw_Data[[#This Row],[Opening_Stock]]),ISNUMBER(Raw_Data[[#This Row],[Units_Sold]]),Raw_Data[[#This Row],[Opening_Stock]]&gt;0),Raw_Data[[#This Row],[Units_Sold]]/Raw_Data[[#This Row],[Opening_Stock]],"")</f>
        <v>0.79203539823008851</v>
      </c>
      <c r="L162" t="str">
        <f>IF(NOT(ISNUMBER(Raw_Data[[#This Row],[Sell_through%]])),"Check",IF(Raw_Data[[#This Row],[Sell_through%]]=0,"Non-moving",IF(Raw_Data[[#This Row],[Sell_through%]]&gt;=0.6,"Fast","Slow")))</f>
        <v>Fast</v>
      </c>
      <c r="M162">
        <f>IF(AND(ISNUMBER(Raw_Data[[#This Row],[Closing_Stock]]),ISNUMBER(Raw_Data[[#This Row],[Unit_Cost]])),Raw_Data[[#This Row],[Closing_Stock]]*Raw_Data[[#This Row],[Unit_Cost]],"")</f>
        <v>136136</v>
      </c>
      <c r="N162"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63" spans="1:14" x14ac:dyDescent="0.3">
      <c r="A163" t="s">
        <v>323</v>
      </c>
      <c r="B163" t="s">
        <v>324</v>
      </c>
      <c r="C163" t="s">
        <v>31</v>
      </c>
      <c r="D163" t="s">
        <v>13</v>
      </c>
      <c r="E163" s="3">
        <v>46182</v>
      </c>
      <c r="F163">
        <v>379</v>
      </c>
      <c r="G163">
        <v>84</v>
      </c>
      <c r="H163">
        <v>295</v>
      </c>
      <c r="I163">
        <v>2186</v>
      </c>
      <c r="K163" s="4">
        <f>IF(AND(ISNUMBER(Raw_Data[[#This Row],[Opening_Stock]]),ISNUMBER(Raw_Data[[#This Row],[Units_Sold]]),Raw_Data[[#This Row],[Opening_Stock]]&gt;0),Raw_Data[[#This Row],[Units_Sold]]/Raw_Data[[#This Row],[Opening_Stock]],"")</f>
        <v>0.22163588390501318</v>
      </c>
      <c r="L163" t="str">
        <f>IF(NOT(ISNUMBER(Raw_Data[[#This Row],[Sell_through%]])),"Check",IF(Raw_Data[[#This Row],[Sell_through%]]=0,"Non-moving",IF(Raw_Data[[#This Row],[Sell_through%]]&gt;=0.6,"Fast","Slow")))</f>
        <v>Slow</v>
      </c>
      <c r="M163">
        <f>IF(AND(ISNUMBER(Raw_Data[[#This Row],[Closing_Stock]]),ISNUMBER(Raw_Data[[#This Row],[Unit_Cost]])),Raw_Data[[#This Row],[Closing_Stock]]*Raw_Data[[#This Row],[Unit_Cost]],"")</f>
        <v>644870</v>
      </c>
      <c r="N16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164" spans="1:14" x14ac:dyDescent="0.3">
      <c r="A164" t="s">
        <v>325</v>
      </c>
      <c r="B164" t="s">
        <v>23</v>
      </c>
      <c r="C164" t="s">
        <v>35</v>
      </c>
      <c r="D164" t="s">
        <v>21</v>
      </c>
      <c r="E164" s="3">
        <v>46180</v>
      </c>
      <c r="F164">
        <v>351</v>
      </c>
      <c r="G164">
        <v>335</v>
      </c>
      <c r="H164">
        <v>16</v>
      </c>
      <c r="I164">
        <v>730</v>
      </c>
      <c r="J164" t="s">
        <v>17</v>
      </c>
      <c r="K164" s="4">
        <f>IF(AND(ISNUMBER(Raw_Data[[#This Row],[Opening_Stock]]),ISNUMBER(Raw_Data[[#This Row],[Units_Sold]]),Raw_Data[[#This Row],[Opening_Stock]]&gt;0),Raw_Data[[#This Row],[Units_Sold]]/Raw_Data[[#This Row],[Opening_Stock]],"")</f>
        <v>0.95441595441595439</v>
      </c>
      <c r="L164" t="str">
        <f>IF(NOT(ISNUMBER(Raw_Data[[#This Row],[Sell_through%]])),"Check",IF(Raw_Data[[#This Row],[Sell_through%]]=0,"Non-moving",IF(Raw_Data[[#This Row],[Sell_through%]]&gt;=0.6,"Fast","Slow")))</f>
        <v>Fast</v>
      </c>
      <c r="M164">
        <f>IF(AND(ISNUMBER(Raw_Data[[#This Row],[Closing_Stock]]),ISNUMBER(Raw_Data[[#This Row],[Unit_Cost]])),Raw_Data[[#This Row],[Closing_Stock]]*Raw_Data[[#This Row],[Unit_Cost]],"")</f>
        <v>11680</v>
      </c>
      <c r="N16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65" spans="1:14" x14ac:dyDescent="0.3">
      <c r="A165" t="s">
        <v>327</v>
      </c>
      <c r="B165" t="s">
        <v>117</v>
      </c>
      <c r="C165" t="s">
        <v>28</v>
      </c>
      <c r="D165" t="s">
        <v>21</v>
      </c>
      <c r="E165" s="3">
        <v>46153</v>
      </c>
      <c r="F165">
        <v>293</v>
      </c>
      <c r="G165">
        <v>47</v>
      </c>
      <c r="H165">
        <v>246</v>
      </c>
      <c r="I165">
        <v>1722</v>
      </c>
      <c r="J165" t="s">
        <v>14</v>
      </c>
      <c r="K165" s="4">
        <f>IF(AND(ISNUMBER(Raw_Data[[#This Row],[Opening_Stock]]),ISNUMBER(Raw_Data[[#This Row],[Units_Sold]]),Raw_Data[[#This Row],[Opening_Stock]]&gt;0),Raw_Data[[#This Row],[Units_Sold]]/Raw_Data[[#This Row],[Opening_Stock]],"")</f>
        <v>0.16040955631399317</v>
      </c>
      <c r="L165" t="str">
        <f>IF(NOT(ISNUMBER(Raw_Data[[#This Row],[Sell_through%]])),"Check",IF(Raw_Data[[#This Row],[Sell_through%]]=0,"Non-moving",IF(Raw_Data[[#This Row],[Sell_through%]]&gt;=0.6,"Fast","Slow")))</f>
        <v>Slow</v>
      </c>
      <c r="M165">
        <f>IF(AND(ISNUMBER(Raw_Data[[#This Row],[Closing_Stock]]),ISNUMBER(Raw_Data[[#This Row],[Unit_Cost]])),Raw_Data[[#This Row],[Closing_Stock]]*Raw_Data[[#This Row],[Unit_Cost]],"")</f>
        <v>423612</v>
      </c>
      <c r="N16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66" spans="1:14" x14ac:dyDescent="0.3">
      <c r="A166" t="s">
        <v>328</v>
      </c>
      <c r="B166" t="s">
        <v>57</v>
      </c>
      <c r="C166" t="s">
        <v>28</v>
      </c>
      <c r="D166" t="s">
        <v>13</v>
      </c>
      <c r="E166" s="3">
        <v>46288</v>
      </c>
      <c r="F166">
        <v>155</v>
      </c>
      <c r="G166">
        <v>29</v>
      </c>
      <c r="H166">
        <v>126</v>
      </c>
      <c r="I166">
        <v>984</v>
      </c>
      <c r="K166" s="4">
        <f>IF(AND(ISNUMBER(Raw_Data[[#This Row],[Opening_Stock]]),ISNUMBER(Raw_Data[[#This Row],[Units_Sold]]),Raw_Data[[#This Row],[Opening_Stock]]&gt;0),Raw_Data[[#This Row],[Units_Sold]]/Raw_Data[[#This Row],[Opening_Stock]],"")</f>
        <v>0.18709677419354839</v>
      </c>
      <c r="L166" t="str">
        <f>IF(NOT(ISNUMBER(Raw_Data[[#This Row],[Sell_through%]])),"Check",IF(Raw_Data[[#This Row],[Sell_through%]]=0,"Non-moving",IF(Raw_Data[[#This Row],[Sell_through%]]&gt;=0.6,"Fast","Slow")))</f>
        <v>Slow</v>
      </c>
      <c r="M166">
        <f>IF(AND(ISNUMBER(Raw_Data[[#This Row],[Closing_Stock]]),ISNUMBER(Raw_Data[[#This Row],[Unit_Cost]])),Raw_Data[[#This Row],[Closing_Stock]]*Raw_Data[[#This Row],[Unit_Cost]],"")</f>
        <v>123984</v>
      </c>
      <c r="N166"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167" spans="1:14" x14ac:dyDescent="0.3">
      <c r="A167" t="s">
        <v>329</v>
      </c>
      <c r="B167" t="s">
        <v>189</v>
      </c>
      <c r="C167" t="s">
        <v>49</v>
      </c>
      <c r="D167" t="s">
        <v>13</v>
      </c>
      <c r="E167" s="3">
        <v>46228</v>
      </c>
      <c r="F167">
        <v>395</v>
      </c>
      <c r="G167">
        <v>391</v>
      </c>
      <c r="H167">
        <v>4</v>
      </c>
      <c r="I167">
        <v>2396</v>
      </c>
      <c r="J167" t="s">
        <v>17</v>
      </c>
      <c r="K167" s="4">
        <f>IF(AND(ISNUMBER(Raw_Data[[#This Row],[Opening_Stock]]),ISNUMBER(Raw_Data[[#This Row],[Units_Sold]]),Raw_Data[[#This Row],[Opening_Stock]]&gt;0),Raw_Data[[#This Row],[Units_Sold]]/Raw_Data[[#This Row],[Opening_Stock]],"")</f>
        <v>0.98987341772151893</v>
      </c>
      <c r="L167" t="str">
        <f>IF(NOT(ISNUMBER(Raw_Data[[#This Row],[Sell_through%]])),"Check",IF(Raw_Data[[#This Row],[Sell_through%]]=0,"Non-moving",IF(Raw_Data[[#This Row],[Sell_through%]]&gt;=0.6,"Fast","Slow")))</f>
        <v>Fast</v>
      </c>
      <c r="M167">
        <f>IF(AND(ISNUMBER(Raw_Data[[#This Row],[Closing_Stock]]),ISNUMBER(Raw_Data[[#This Row],[Unit_Cost]])),Raw_Data[[#This Row],[Closing_Stock]]*Raw_Data[[#This Row],[Unit_Cost]],"")</f>
        <v>9584</v>
      </c>
      <c r="N16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68" spans="1:14" x14ac:dyDescent="0.3">
      <c r="A168" t="s">
        <v>330</v>
      </c>
      <c r="B168" t="s">
        <v>27</v>
      </c>
      <c r="C168" t="s">
        <v>28</v>
      </c>
      <c r="D168" t="s">
        <v>21</v>
      </c>
      <c r="E168" s="3"/>
      <c r="F168">
        <v>451</v>
      </c>
      <c r="G168">
        <v>0</v>
      </c>
      <c r="H168">
        <v>451</v>
      </c>
      <c r="I168">
        <v>1488</v>
      </c>
      <c r="J168" t="s">
        <v>14</v>
      </c>
      <c r="K168" s="4">
        <f>IF(AND(ISNUMBER(Raw_Data[[#This Row],[Opening_Stock]]),ISNUMBER(Raw_Data[[#This Row],[Units_Sold]]),Raw_Data[[#This Row],[Opening_Stock]]&gt;0),Raw_Data[[#This Row],[Units_Sold]]/Raw_Data[[#This Row],[Opening_Stock]],"")</f>
        <v>0</v>
      </c>
      <c r="L168" t="str">
        <f>IF(NOT(ISNUMBER(Raw_Data[[#This Row],[Sell_through%]])),"Check",IF(Raw_Data[[#This Row],[Sell_through%]]=0,"Non-moving",IF(Raw_Data[[#This Row],[Sell_through%]]&gt;=0.6,"Fast","Slow")))</f>
        <v>Non-moving</v>
      </c>
      <c r="M168">
        <f>IF(AND(ISNUMBER(Raw_Data[[#This Row],[Closing_Stock]]),ISNUMBER(Raw_Data[[#This Row],[Unit_Cost]])),Raw_Data[[#This Row],[Closing_Stock]]*Raw_Data[[#This Row],[Unit_Cost]],"")</f>
        <v>671088</v>
      </c>
      <c r="N16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69" spans="1:14" x14ac:dyDescent="0.3">
      <c r="A169" t="s">
        <v>333</v>
      </c>
      <c r="B169" t="s">
        <v>284</v>
      </c>
      <c r="C169" t="s">
        <v>49</v>
      </c>
      <c r="D169" t="s">
        <v>36</v>
      </c>
      <c r="E169" s="3">
        <v>46035</v>
      </c>
      <c r="G169">
        <v>29</v>
      </c>
      <c r="H169">
        <v>379</v>
      </c>
      <c r="I169">
        <v>1234</v>
      </c>
      <c r="J169" t="s">
        <v>14</v>
      </c>
      <c r="K169" s="4" t="str">
        <f>IF(AND(ISNUMBER(Raw_Data[[#This Row],[Opening_Stock]]),ISNUMBER(Raw_Data[[#This Row],[Units_Sold]]),Raw_Data[[#This Row],[Opening_Stock]]&gt;0),Raw_Data[[#This Row],[Units_Sold]]/Raw_Data[[#This Row],[Opening_Stock]],"")</f>
        <v/>
      </c>
      <c r="L169" t="str">
        <f>IF(NOT(ISNUMBER(Raw_Data[[#This Row],[Sell_through%]])),"Check",IF(Raw_Data[[#This Row],[Sell_through%]]=0,"Non-moving",IF(Raw_Data[[#This Row],[Sell_through%]]&gt;=0.6,"Fast","Slow")))</f>
        <v>Check</v>
      </c>
      <c r="M169">
        <f>IF(AND(ISNUMBER(Raw_Data[[#This Row],[Closing_Stock]]),ISNUMBER(Raw_Data[[#This Row],[Unit_Cost]])),Raw_Data[[#This Row],[Closing_Stock]]*Raw_Data[[#This Row],[Unit_Cost]],"")</f>
        <v>467686</v>
      </c>
      <c r="N16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170" spans="1:14" x14ac:dyDescent="0.3">
      <c r="A170" t="s">
        <v>334</v>
      </c>
      <c r="B170" t="s">
        <v>51</v>
      </c>
      <c r="C170" t="s">
        <v>49</v>
      </c>
      <c r="D170" t="s">
        <v>32</v>
      </c>
      <c r="E170" s="3">
        <v>46059</v>
      </c>
      <c r="F170">
        <v>481</v>
      </c>
      <c r="G170">
        <v>53</v>
      </c>
      <c r="H170">
        <v>428</v>
      </c>
      <c r="I170">
        <v>2076</v>
      </c>
      <c r="J170" t="s">
        <v>14</v>
      </c>
      <c r="K170" s="4">
        <f>IF(AND(ISNUMBER(Raw_Data[[#This Row],[Opening_Stock]]),ISNUMBER(Raw_Data[[#This Row],[Units_Sold]]),Raw_Data[[#This Row],[Opening_Stock]]&gt;0),Raw_Data[[#This Row],[Units_Sold]]/Raw_Data[[#This Row],[Opening_Stock]],"")</f>
        <v>0.11018711018711019</v>
      </c>
      <c r="L170" t="str">
        <f>IF(NOT(ISNUMBER(Raw_Data[[#This Row],[Sell_through%]])),"Check",IF(Raw_Data[[#This Row],[Sell_through%]]=0,"Non-moving",IF(Raw_Data[[#This Row],[Sell_through%]]&gt;=0.6,"Fast","Slow")))</f>
        <v>Slow</v>
      </c>
      <c r="M170">
        <f>IF(AND(ISNUMBER(Raw_Data[[#This Row],[Closing_Stock]]),ISNUMBER(Raw_Data[[#This Row],[Unit_Cost]])),Raw_Data[[#This Row],[Closing_Stock]]*Raw_Data[[#This Row],[Unit_Cost]],"")</f>
        <v>888528</v>
      </c>
      <c r="N17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71" spans="1:14" x14ac:dyDescent="0.3">
      <c r="A171" t="s">
        <v>336</v>
      </c>
      <c r="B171" t="s">
        <v>1342</v>
      </c>
      <c r="C171" t="s">
        <v>28</v>
      </c>
      <c r="D171" t="s">
        <v>21</v>
      </c>
      <c r="E171" s="3">
        <v>46270</v>
      </c>
      <c r="F171">
        <v>130</v>
      </c>
      <c r="G171">
        <v>49</v>
      </c>
      <c r="H171">
        <v>81</v>
      </c>
      <c r="I171">
        <v>1736</v>
      </c>
      <c r="J171" t="s">
        <v>14</v>
      </c>
      <c r="K171" s="4">
        <f>IF(AND(ISNUMBER(Raw_Data[[#This Row],[Opening_Stock]]),ISNUMBER(Raw_Data[[#This Row],[Units_Sold]]),Raw_Data[[#This Row],[Opening_Stock]]&gt;0),Raw_Data[[#This Row],[Units_Sold]]/Raw_Data[[#This Row],[Opening_Stock]],"")</f>
        <v>0.37692307692307692</v>
      </c>
      <c r="L171" t="str">
        <f>IF(NOT(ISNUMBER(Raw_Data[[#This Row],[Sell_through%]])),"Check",IF(Raw_Data[[#This Row],[Sell_through%]]=0,"Non-moving",IF(Raw_Data[[#This Row],[Sell_through%]]&gt;=0.6,"Fast","Slow")))</f>
        <v>Slow</v>
      </c>
      <c r="M171">
        <f>IF(AND(ISNUMBER(Raw_Data[[#This Row],[Closing_Stock]]),ISNUMBER(Raw_Data[[#This Row],[Unit_Cost]])),Raw_Data[[#This Row],[Closing_Stock]]*Raw_Data[[#This Row],[Unit_Cost]],"")</f>
        <v>140616</v>
      </c>
      <c r="N17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72" spans="1:14" x14ac:dyDescent="0.3">
      <c r="A172" t="s">
        <v>339</v>
      </c>
      <c r="B172" t="s">
        <v>164</v>
      </c>
      <c r="C172" t="s">
        <v>49</v>
      </c>
      <c r="D172" t="s">
        <v>32</v>
      </c>
      <c r="E172" s="3"/>
      <c r="F172">
        <v>205</v>
      </c>
      <c r="G172">
        <v>0</v>
      </c>
      <c r="H172">
        <v>205</v>
      </c>
      <c r="I172">
        <v>2784</v>
      </c>
      <c r="J172" t="s">
        <v>14</v>
      </c>
      <c r="K172" s="4">
        <f>IF(AND(ISNUMBER(Raw_Data[[#This Row],[Opening_Stock]]),ISNUMBER(Raw_Data[[#This Row],[Units_Sold]]),Raw_Data[[#This Row],[Opening_Stock]]&gt;0),Raw_Data[[#This Row],[Units_Sold]]/Raw_Data[[#This Row],[Opening_Stock]],"")</f>
        <v>0</v>
      </c>
      <c r="L172" t="str">
        <f>IF(NOT(ISNUMBER(Raw_Data[[#This Row],[Sell_through%]])),"Check",IF(Raw_Data[[#This Row],[Sell_through%]]=0,"Non-moving",IF(Raw_Data[[#This Row],[Sell_through%]]&gt;=0.6,"Fast","Slow")))</f>
        <v>Non-moving</v>
      </c>
      <c r="M172">
        <f>IF(AND(ISNUMBER(Raw_Data[[#This Row],[Closing_Stock]]),ISNUMBER(Raw_Data[[#This Row],[Unit_Cost]])),Raw_Data[[#This Row],[Closing_Stock]]*Raw_Data[[#This Row],[Unit_Cost]],"")</f>
        <v>570720</v>
      </c>
      <c r="N17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73" spans="1:14" x14ac:dyDescent="0.3">
      <c r="A173" t="s">
        <v>340</v>
      </c>
      <c r="B173" t="s">
        <v>65</v>
      </c>
      <c r="D173" t="s">
        <v>32</v>
      </c>
      <c r="E173" s="3">
        <v>45998</v>
      </c>
      <c r="F173">
        <v>145</v>
      </c>
      <c r="G173">
        <v>44</v>
      </c>
      <c r="H173">
        <v>101</v>
      </c>
      <c r="I173">
        <v>2608</v>
      </c>
      <c r="J173" t="s">
        <v>14</v>
      </c>
      <c r="K173" s="4">
        <f>IF(AND(ISNUMBER(Raw_Data[[#This Row],[Opening_Stock]]),ISNUMBER(Raw_Data[[#This Row],[Units_Sold]]),Raw_Data[[#This Row],[Opening_Stock]]&gt;0),Raw_Data[[#This Row],[Units_Sold]]/Raw_Data[[#This Row],[Opening_Stock]],"")</f>
        <v>0.30344827586206896</v>
      </c>
      <c r="L173" t="str">
        <f>IF(NOT(ISNUMBER(Raw_Data[[#This Row],[Sell_through%]])),"Check",IF(Raw_Data[[#This Row],[Sell_through%]]=0,"Non-moving",IF(Raw_Data[[#This Row],[Sell_through%]]&gt;=0.6,"Fast","Slow")))</f>
        <v>Slow</v>
      </c>
      <c r="M173">
        <f>IF(AND(ISNUMBER(Raw_Data[[#This Row],[Closing_Stock]]),ISNUMBER(Raw_Data[[#This Row],[Unit_Cost]])),Raw_Data[[#This Row],[Closing_Stock]]*Raw_Data[[#This Row],[Unit_Cost]],"")</f>
        <v>263408</v>
      </c>
      <c r="N17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74" spans="1:14" x14ac:dyDescent="0.3">
      <c r="A174" t="s">
        <v>341</v>
      </c>
      <c r="B174" t="s">
        <v>105</v>
      </c>
      <c r="C174" t="s">
        <v>28</v>
      </c>
      <c r="D174" t="s">
        <v>21</v>
      </c>
      <c r="E174" s="3">
        <v>46192</v>
      </c>
      <c r="F174">
        <v>116</v>
      </c>
      <c r="G174">
        <v>44</v>
      </c>
      <c r="H174">
        <v>72</v>
      </c>
      <c r="I174">
        <v>1547</v>
      </c>
      <c r="J174" t="s">
        <v>14</v>
      </c>
      <c r="K174" s="4">
        <f>IF(AND(ISNUMBER(Raw_Data[[#This Row],[Opening_Stock]]),ISNUMBER(Raw_Data[[#This Row],[Units_Sold]]),Raw_Data[[#This Row],[Opening_Stock]]&gt;0),Raw_Data[[#This Row],[Units_Sold]]/Raw_Data[[#This Row],[Opening_Stock]],"")</f>
        <v>0.37931034482758619</v>
      </c>
      <c r="L174" t="str">
        <f>IF(NOT(ISNUMBER(Raw_Data[[#This Row],[Sell_through%]])),"Check",IF(Raw_Data[[#This Row],[Sell_through%]]=0,"Non-moving",IF(Raw_Data[[#This Row],[Sell_through%]]&gt;=0.6,"Fast","Slow")))</f>
        <v>Slow</v>
      </c>
      <c r="M174">
        <f>IF(AND(ISNUMBER(Raw_Data[[#This Row],[Closing_Stock]]),ISNUMBER(Raw_Data[[#This Row],[Unit_Cost]])),Raw_Data[[#This Row],[Closing_Stock]]*Raw_Data[[#This Row],[Unit_Cost]],"")</f>
        <v>111384</v>
      </c>
      <c r="N17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75" spans="1:14" x14ac:dyDescent="0.3">
      <c r="A175" t="s">
        <v>342</v>
      </c>
      <c r="B175" t="s">
        <v>48</v>
      </c>
      <c r="C175" t="s">
        <v>49</v>
      </c>
      <c r="D175" t="s">
        <v>13</v>
      </c>
      <c r="E175" s="3">
        <v>46166</v>
      </c>
      <c r="F175">
        <v>451</v>
      </c>
      <c r="G175">
        <v>140</v>
      </c>
      <c r="H175">
        <v>311</v>
      </c>
      <c r="I175">
        <v>624</v>
      </c>
      <c r="J175" t="s">
        <v>14</v>
      </c>
      <c r="K175" s="4">
        <f>IF(AND(ISNUMBER(Raw_Data[[#This Row],[Opening_Stock]]),ISNUMBER(Raw_Data[[#This Row],[Units_Sold]]),Raw_Data[[#This Row],[Opening_Stock]]&gt;0),Raw_Data[[#This Row],[Units_Sold]]/Raw_Data[[#This Row],[Opening_Stock]],"")</f>
        <v>0.31042128603104213</v>
      </c>
      <c r="L175" t="str">
        <f>IF(NOT(ISNUMBER(Raw_Data[[#This Row],[Sell_through%]])),"Check",IF(Raw_Data[[#This Row],[Sell_through%]]=0,"Non-moving",IF(Raw_Data[[#This Row],[Sell_through%]]&gt;=0.6,"Fast","Slow")))</f>
        <v>Slow</v>
      </c>
      <c r="M175">
        <f>IF(AND(ISNUMBER(Raw_Data[[#This Row],[Closing_Stock]]),ISNUMBER(Raw_Data[[#This Row],[Unit_Cost]])),Raw_Data[[#This Row],[Closing_Stock]]*Raw_Data[[#This Row],[Unit_Cost]],"")</f>
        <v>194064</v>
      </c>
      <c r="N17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76" spans="1:14" x14ac:dyDescent="0.3">
      <c r="A176" t="s">
        <v>343</v>
      </c>
      <c r="B176" t="s">
        <v>234</v>
      </c>
      <c r="C176" t="s">
        <v>28</v>
      </c>
      <c r="D176" t="s">
        <v>32</v>
      </c>
      <c r="E176" s="3">
        <v>46194</v>
      </c>
      <c r="F176">
        <v>373</v>
      </c>
      <c r="G176">
        <v>45</v>
      </c>
      <c r="H176">
        <v>328</v>
      </c>
      <c r="I176">
        <v>177</v>
      </c>
      <c r="J176" t="s">
        <v>14</v>
      </c>
      <c r="K176" s="4">
        <f>IF(AND(ISNUMBER(Raw_Data[[#This Row],[Opening_Stock]]),ISNUMBER(Raw_Data[[#This Row],[Units_Sold]]),Raw_Data[[#This Row],[Opening_Stock]]&gt;0),Raw_Data[[#This Row],[Units_Sold]]/Raw_Data[[#This Row],[Opening_Stock]],"")</f>
        <v>0.12064343163538874</v>
      </c>
      <c r="L176" t="str">
        <f>IF(NOT(ISNUMBER(Raw_Data[[#This Row],[Sell_through%]])),"Check",IF(Raw_Data[[#This Row],[Sell_through%]]=0,"Non-moving",IF(Raw_Data[[#This Row],[Sell_through%]]&gt;=0.6,"Fast","Slow")))</f>
        <v>Slow</v>
      </c>
      <c r="M176">
        <f>IF(AND(ISNUMBER(Raw_Data[[#This Row],[Closing_Stock]]),ISNUMBER(Raw_Data[[#This Row],[Unit_Cost]])),Raw_Data[[#This Row],[Closing_Stock]]*Raw_Data[[#This Row],[Unit_Cost]],"")</f>
        <v>58056</v>
      </c>
      <c r="N17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77" spans="1:14" x14ac:dyDescent="0.3">
      <c r="A177" t="s">
        <v>345</v>
      </c>
      <c r="B177" t="s">
        <v>136</v>
      </c>
      <c r="C177" t="s">
        <v>35</v>
      </c>
      <c r="D177" t="s">
        <v>36</v>
      </c>
      <c r="E177" s="3"/>
      <c r="F177">
        <v>476</v>
      </c>
      <c r="G177">
        <v>0</v>
      </c>
      <c r="H177">
        <v>476</v>
      </c>
      <c r="I177">
        <v>1810</v>
      </c>
      <c r="J177" t="s">
        <v>14</v>
      </c>
      <c r="K177" s="4">
        <f>IF(AND(ISNUMBER(Raw_Data[[#This Row],[Opening_Stock]]),ISNUMBER(Raw_Data[[#This Row],[Units_Sold]]),Raw_Data[[#This Row],[Opening_Stock]]&gt;0),Raw_Data[[#This Row],[Units_Sold]]/Raw_Data[[#This Row],[Opening_Stock]],"")</f>
        <v>0</v>
      </c>
      <c r="L177" t="str">
        <f>IF(NOT(ISNUMBER(Raw_Data[[#This Row],[Sell_through%]])),"Check",IF(Raw_Data[[#This Row],[Sell_through%]]=0,"Non-moving",IF(Raw_Data[[#This Row],[Sell_through%]]&gt;=0.6,"Fast","Slow")))</f>
        <v>Non-moving</v>
      </c>
      <c r="M177">
        <f>IF(AND(ISNUMBER(Raw_Data[[#This Row],[Closing_Stock]]),ISNUMBER(Raw_Data[[#This Row],[Unit_Cost]])),Raw_Data[[#This Row],[Closing_Stock]]*Raw_Data[[#This Row],[Unit_Cost]],"")</f>
        <v>861560</v>
      </c>
      <c r="N17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78" spans="1:14" x14ac:dyDescent="0.3">
      <c r="A178" t="s">
        <v>346</v>
      </c>
      <c r="B178" t="s">
        <v>71</v>
      </c>
      <c r="C178" t="s">
        <v>35</v>
      </c>
      <c r="D178" t="s">
        <v>21</v>
      </c>
      <c r="E178" s="3"/>
      <c r="F178">
        <v>337</v>
      </c>
      <c r="G178">
        <v>0</v>
      </c>
      <c r="H178">
        <v>337</v>
      </c>
      <c r="I178">
        <v>2554</v>
      </c>
      <c r="J178" t="s">
        <v>14</v>
      </c>
      <c r="K178" s="4">
        <f>IF(AND(ISNUMBER(Raw_Data[[#This Row],[Opening_Stock]]),ISNUMBER(Raw_Data[[#This Row],[Units_Sold]]),Raw_Data[[#This Row],[Opening_Stock]]&gt;0),Raw_Data[[#This Row],[Units_Sold]]/Raw_Data[[#This Row],[Opening_Stock]],"")</f>
        <v>0</v>
      </c>
      <c r="L178" t="str">
        <f>IF(NOT(ISNUMBER(Raw_Data[[#This Row],[Sell_through%]])),"Check",IF(Raw_Data[[#This Row],[Sell_through%]]=0,"Non-moving",IF(Raw_Data[[#This Row],[Sell_through%]]&gt;=0.6,"Fast","Slow")))</f>
        <v>Non-moving</v>
      </c>
      <c r="M178">
        <f>IF(AND(ISNUMBER(Raw_Data[[#This Row],[Closing_Stock]]),ISNUMBER(Raw_Data[[#This Row],[Unit_Cost]])),Raw_Data[[#This Row],[Closing_Stock]]*Raw_Data[[#This Row],[Unit_Cost]],"")</f>
        <v>860698</v>
      </c>
      <c r="N17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79" spans="1:14" x14ac:dyDescent="0.3">
      <c r="A179" t="s">
        <v>347</v>
      </c>
      <c r="B179" t="s">
        <v>95</v>
      </c>
      <c r="C179" t="s">
        <v>31</v>
      </c>
      <c r="D179" t="s">
        <v>32</v>
      </c>
      <c r="E179" s="3"/>
      <c r="F179">
        <v>80</v>
      </c>
      <c r="G179">
        <v>0</v>
      </c>
      <c r="H179">
        <v>80</v>
      </c>
      <c r="I179">
        <v>57</v>
      </c>
      <c r="J179" t="s">
        <v>14</v>
      </c>
      <c r="K179" s="4">
        <f>IF(AND(ISNUMBER(Raw_Data[[#This Row],[Opening_Stock]]),ISNUMBER(Raw_Data[[#This Row],[Units_Sold]]),Raw_Data[[#This Row],[Opening_Stock]]&gt;0),Raw_Data[[#This Row],[Units_Sold]]/Raw_Data[[#This Row],[Opening_Stock]],"")</f>
        <v>0</v>
      </c>
      <c r="L179" t="str">
        <f>IF(NOT(ISNUMBER(Raw_Data[[#This Row],[Sell_through%]])),"Check",IF(Raw_Data[[#This Row],[Sell_through%]]=0,"Non-moving",IF(Raw_Data[[#This Row],[Sell_through%]]&gt;=0.6,"Fast","Slow")))</f>
        <v>Non-moving</v>
      </c>
      <c r="M179">
        <f>IF(AND(ISNUMBER(Raw_Data[[#This Row],[Closing_Stock]]),ISNUMBER(Raw_Data[[#This Row],[Unit_Cost]])),Raw_Data[[#This Row],[Closing_Stock]]*Raw_Data[[#This Row],[Unit_Cost]],"")</f>
        <v>4560</v>
      </c>
      <c r="N17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80" spans="1:14" x14ac:dyDescent="0.3">
      <c r="A180" t="s">
        <v>349</v>
      </c>
      <c r="B180" t="s">
        <v>158</v>
      </c>
      <c r="C180" t="s">
        <v>31</v>
      </c>
      <c r="D180" t="s">
        <v>32</v>
      </c>
      <c r="E180" s="3">
        <v>46193</v>
      </c>
      <c r="F180">
        <v>181</v>
      </c>
      <c r="G180">
        <v>49</v>
      </c>
      <c r="H180">
        <v>132</v>
      </c>
      <c r="I180">
        <v>185</v>
      </c>
      <c r="J180" t="s">
        <v>14</v>
      </c>
      <c r="K180" s="4">
        <f>IF(AND(ISNUMBER(Raw_Data[[#This Row],[Opening_Stock]]),ISNUMBER(Raw_Data[[#This Row],[Units_Sold]]),Raw_Data[[#This Row],[Opening_Stock]]&gt;0),Raw_Data[[#This Row],[Units_Sold]]/Raw_Data[[#This Row],[Opening_Stock]],"")</f>
        <v>0.27071823204419887</v>
      </c>
      <c r="L180" t="str">
        <f>IF(NOT(ISNUMBER(Raw_Data[[#This Row],[Sell_through%]])),"Check",IF(Raw_Data[[#This Row],[Sell_through%]]=0,"Non-moving",IF(Raw_Data[[#This Row],[Sell_through%]]&gt;=0.6,"Fast","Slow")))</f>
        <v>Slow</v>
      </c>
      <c r="M180">
        <f>IF(AND(ISNUMBER(Raw_Data[[#This Row],[Closing_Stock]]),ISNUMBER(Raw_Data[[#This Row],[Unit_Cost]])),Raw_Data[[#This Row],[Closing_Stock]]*Raw_Data[[#This Row],[Unit_Cost]],"")</f>
        <v>24420</v>
      </c>
      <c r="N18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81" spans="1:14" x14ac:dyDescent="0.3">
      <c r="A181" t="s">
        <v>350</v>
      </c>
      <c r="B181" t="s">
        <v>224</v>
      </c>
      <c r="C181" t="s">
        <v>49</v>
      </c>
      <c r="D181" t="s">
        <v>21</v>
      </c>
      <c r="E181" s="3"/>
      <c r="F181">
        <v>163</v>
      </c>
      <c r="G181">
        <v>0</v>
      </c>
      <c r="H181">
        <v>163</v>
      </c>
      <c r="I181">
        <v>1762</v>
      </c>
      <c r="K181" s="4">
        <f>IF(AND(ISNUMBER(Raw_Data[[#This Row],[Opening_Stock]]),ISNUMBER(Raw_Data[[#This Row],[Units_Sold]]),Raw_Data[[#This Row],[Opening_Stock]]&gt;0),Raw_Data[[#This Row],[Units_Sold]]/Raw_Data[[#This Row],[Opening_Stock]],"")</f>
        <v>0</v>
      </c>
      <c r="L181" t="str">
        <f>IF(NOT(ISNUMBER(Raw_Data[[#This Row],[Sell_through%]])),"Check",IF(Raw_Data[[#This Row],[Sell_through%]]=0,"Non-moving",IF(Raw_Data[[#This Row],[Sell_through%]]&gt;=0.6,"Fast","Slow")))</f>
        <v>Non-moving</v>
      </c>
      <c r="M181">
        <f>IF(AND(ISNUMBER(Raw_Data[[#This Row],[Closing_Stock]]),ISNUMBER(Raw_Data[[#This Row],[Unit_Cost]])),Raw_Data[[#This Row],[Closing_Stock]]*Raw_Data[[#This Row],[Unit_Cost]],"")</f>
        <v>287206</v>
      </c>
      <c r="N18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182" spans="1:14" x14ac:dyDescent="0.3">
      <c r="A182" t="s">
        <v>353</v>
      </c>
      <c r="B182" t="s">
        <v>324</v>
      </c>
      <c r="C182" t="s">
        <v>31</v>
      </c>
      <c r="D182" t="s">
        <v>32</v>
      </c>
      <c r="E182" s="3">
        <v>46119</v>
      </c>
      <c r="F182">
        <v>87</v>
      </c>
      <c r="G182">
        <v>80</v>
      </c>
      <c r="H182">
        <v>7</v>
      </c>
      <c r="I182">
        <v>1375</v>
      </c>
      <c r="J182" t="s">
        <v>17</v>
      </c>
      <c r="K182" s="4">
        <f>IF(AND(ISNUMBER(Raw_Data[[#This Row],[Opening_Stock]]),ISNUMBER(Raw_Data[[#This Row],[Units_Sold]]),Raw_Data[[#This Row],[Opening_Stock]]&gt;0),Raw_Data[[#This Row],[Units_Sold]]/Raw_Data[[#This Row],[Opening_Stock]],"")</f>
        <v>0.91954022988505746</v>
      </c>
      <c r="L182" t="str">
        <f>IF(NOT(ISNUMBER(Raw_Data[[#This Row],[Sell_through%]])),"Check",IF(Raw_Data[[#This Row],[Sell_through%]]=0,"Non-moving",IF(Raw_Data[[#This Row],[Sell_through%]]&gt;=0.6,"Fast","Slow")))</f>
        <v>Fast</v>
      </c>
      <c r="M182">
        <f>IF(AND(ISNUMBER(Raw_Data[[#This Row],[Closing_Stock]]),ISNUMBER(Raw_Data[[#This Row],[Unit_Cost]])),Raw_Data[[#This Row],[Closing_Stock]]*Raw_Data[[#This Row],[Unit_Cost]],"")</f>
        <v>9625</v>
      </c>
      <c r="N182"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83" spans="1:14" x14ac:dyDescent="0.3">
      <c r="A183" t="s">
        <v>354</v>
      </c>
      <c r="B183" t="s">
        <v>158</v>
      </c>
      <c r="C183" t="s">
        <v>31</v>
      </c>
      <c r="D183" t="s">
        <v>21</v>
      </c>
      <c r="E183" s="3"/>
      <c r="F183">
        <v>198</v>
      </c>
      <c r="G183">
        <v>0</v>
      </c>
      <c r="I183">
        <v>916</v>
      </c>
      <c r="J183" t="s">
        <v>14</v>
      </c>
      <c r="K183" s="4">
        <f>IF(AND(ISNUMBER(Raw_Data[[#This Row],[Opening_Stock]]),ISNUMBER(Raw_Data[[#This Row],[Units_Sold]]),Raw_Data[[#This Row],[Opening_Stock]]&gt;0),Raw_Data[[#This Row],[Units_Sold]]/Raw_Data[[#This Row],[Opening_Stock]],"")</f>
        <v>0</v>
      </c>
      <c r="L183" t="str">
        <f>IF(NOT(ISNUMBER(Raw_Data[[#This Row],[Sell_through%]])),"Check",IF(Raw_Data[[#This Row],[Sell_through%]]=0,"Non-moving",IF(Raw_Data[[#This Row],[Sell_through%]]&gt;=0.6,"Fast","Slow")))</f>
        <v>Non-moving</v>
      </c>
      <c r="M183" t="str">
        <f>IF(AND(ISNUMBER(Raw_Data[[#This Row],[Closing_Stock]]),ISNUMBER(Raw_Data[[#This Row],[Unit_Cost]])),Raw_Data[[#This Row],[Closing_Stock]]*Raw_Data[[#This Row],[Unit_Cost]],"")</f>
        <v/>
      </c>
      <c r="N18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84" spans="1:14" x14ac:dyDescent="0.3">
      <c r="A184" t="s">
        <v>355</v>
      </c>
      <c r="B184" t="s">
        <v>45</v>
      </c>
      <c r="C184" t="s">
        <v>35</v>
      </c>
      <c r="D184" t="s">
        <v>32</v>
      </c>
      <c r="E184" s="3">
        <v>46154</v>
      </c>
      <c r="F184">
        <v>243</v>
      </c>
      <c r="G184">
        <v>94</v>
      </c>
      <c r="H184">
        <v>149</v>
      </c>
      <c r="I184">
        <v>2929</v>
      </c>
      <c r="J184" t="s">
        <v>14</v>
      </c>
      <c r="K184" s="4">
        <f>IF(AND(ISNUMBER(Raw_Data[[#This Row],[Opening_Stock]]),ISNUMBER(Raw_Data[[#This Row],[Units_Sold]]),Raw_Data[[#This Row],[Opening_Stock]]&gt;0),Raw_Data[[#This Row],[Units_Sold]]/Raw_Data[[#This Row],[Opening_Stock]],"")</f>
        <v>0.38683127572016462</v>
      </c>
      <c r="L184" t="str">
        <f>IF(NOT(ISNUMBER(Raw_Data[[#This Row],[Sell_through%]])),"Check",IF(Raw_Data[[#This Row],[Sell_through%]]=0,"Non-moving",IF(Raw_Data[[#This Row],[Sell_through%]]&gt;=0.6,"Fast","Slow")))</f>
        <v>Slow</v>
      </c>
      <c r="M184">
        <f>IF(AND(ISNUMBER(Raw_Data[[#This Row],[Closing_Stock]]),ISNUMBER(Raw_Data[[#This Row],[Unit_Cost]])),Raw_Data[[#This Row],[Closing_Stock]]*Raw_Data[[#This Row],[Unit_Cost]],"")</f>
        <v>436421</v>
      </c>
      <c r="N18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85" spans="1:14" x14ac:dyDescent="0.3">
      <c r="A185" t="s">
        <v>356</v>
      </c>
      <c r="B185" t="s">
        <v>151</v>
      </c>
      <c r="C185" t="s">
        <v>35</v>
      </c>
      <c r="D185" t="s">
        <v>21</v>
      </c>
      <c r="E185" s="3">
        <v>46177</v>
      </c>
      <c r="F185">
        <v>202</v>
      </c>
      <c r="G185">
        <v>21</v>
      </c>
      <c r="H185">
        <v>181</v>
      </c>
      <c r="I185">
        <v>1500</v>
      </c>
      <c r="J185" t="s">
        <v>14</v>
      </c>
      <c r="K185" s="4">
        <f>IF(AND(ISNUMBER(Raw_Data[[#This Row],[Opening_Stock]]),ISNUMBER(Raw_Data[[#This Row],[Units_Sold]]),Raw_Data[[#This Row],[Opening_Stock]]&gt;0),Raw_Data[[#This Row],[Units_Sold]]/Raw_Data[[#This Row],[Opening_Stock]],"")</f>
        <v>0.10396039603960396</v>
      </c>
      <c r="L185" t="str">
        <f>IF(NOT(ISNUMBER(Raw_Data[[#This Row],[Sell_through%]])),"Check",IF(Raw_Data[[#This Row],[Sell_through%]]=0,"Non-moving",IF(Raw_Data[[#This Row],[Sell_through%]]&gt;=0.6,"Fast","Slow")))</f>
        <v>Slow</v>
      </c>
      <c r="M185">
        <f>IF(AND(ISNUMBER(Raw_Data[[#This Row],[Closing_Stock]]),ISNUMBER(Raw_Data[[#This Row],[Unit_Cost]])),Raw_Data[[#This Row],[Closing_Stock]]*Raw_Data[[#This Row],[Unit_Cost]],"")</f>
        <v>271500</v>
      </c>
      <c r="N18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86" spans="1:14" x14ac:dyDescent="0.3">
      <c r="A186" t="s">
        <v>358</v>
      </c>
      <c r="B186" t="s">
        <v>234</v>
      </c>
      <c r="C186" t="s">
        <v>28</v>
      </c>
      <c r="D186" t="s">
        <v>36</v>
      </c>
      <c r="E186" s="3">
        <v>46119</v>
      </c>
      <c r="F186">
        <v>246</v>
      </c>
      <c r="G186">
        <v>198</v>
      </c>
      <c r="H186">
        <v>48</v>
      </c>
      <c r="I186">
        <v>2947</v>
      </c>
      <c r="J186" t="s">
        <v>17</v>
      </c>
      <c r="K186" s="4">
        <f>IF(AND(ISNUMBER(Raw_Data[[#This Row],[Opening_Stock]]),ISNUMBER(Raw_Data[[#This Row],[Units_Sold]]),Raw_Data[[#This Row],[Opening_Stock]]&gt;0),Raw_Data[[#This Row],[Units_Sold]]/Raw_Data[[#This Row],[Opening_Stock]],"")</f>
        <v>0.80487804878048785</v>
      </c>
      <c r="L186" t="str">
        <f>IF(NOT(ISNUMBER(Raw_Data[[#This Row],[Sell_through%]])),"Check",IF(Raw_Data[[#This Row],[Sell_through%]]=0,"Non-moving",IF(Raw_Data[[#This Row],[Sell_through%]]&gt;=0.6,"Fast","Slow")))</f>
        <v>Fast</v>
      </c>
      <c r="M186">
        <f>IF(AND(ISNUMBER(Raw_Data[[#This Row],[Closing_Stock]]),ISNUMBER(Raw_Data[[#This Row],[Unit_Cost]])),Raw_Data[[#This Row],[Closing_Stock]]*Raw_Data[[#This Row],[Unit_Cost]],"")</f>
        <v>141456</v>
      </c>
      <c r="N186"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87" spans="1:14" x14ac:dyDescent="0.3">
      <c r="A187" t="s">
        <v>359</v>
      </c>
      <c r="B187" t="s">
        <v>1344</v>
      </c>
      <c r="C187" t="s">
        <v>28</v>
      </c>
      <c r="D187" t="s">
        <v>13</v>
      </c>
      <c r="E187" s="3"/>
      <c r="F187">
        <v>244</v>
      </c>
      <c r="G187">
        <v>0</v>
      </c>
      <c r="H187">
        <v>244</v>
      </c>
      <c r="I187">
        <v>76</v>
      </c>
      <c r="J187" t="s">
        <v>14</v>
      </c>
      <c r="K187" s="4">
        <f>IF(AND(ISNUMBER(Raw_Data[[#This Row],[Opening_Stock]]),ISNUMBER(Raw_Data[[#This Row],[Units_Sold]]),Raw_Data[[#This Row],[Opening_Stock]]&gt;0),Raw_Data[[#This Row],[Units_Sold]]/Raw_Data[[#This Row],[Opening_Stock]],"")</f>
        <v>0</v>
      </c>
      <c r="L187" t="str">
        <f>IF(NOT(ISNUMBER(Raw_Data[[#This Row],[Sell_through%]])),"Check",IF(Raw_Data[[#This Row],[Sell_through%]]=0,"Non-moving",IF(Raw_Data[[#This Row],[Sell_through%]]&gt;=0.6,"Fast","Slow")))</f>
        <v>Non-moving</v>
      </c>
      <c r="M187">
        <f>IF(AND(ISNUMBER(Raw_Data[[#This Row],[Closing_Stock]]),ISNUMBER(Raw_Data[[#This Row],[Unit_Cost]])),Raw_Data[[#This Row],[Closing_Stock]]*Raw_Data[[#This Row],[Unit_Cost]],"")</f>
        <v>18544</v>
      </c>
      <c r="N18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88" spans="1:14" x14ac:dyDescent="0.3">
      <c r="A188" t="s">
        <v>361</v>
      </c>
      <c r="B188" t="s">
        <v>234</v>
      </c>
      <c r="C188" t="s">
        <v>28</v>
      </c>
      <c r="D188" t="s">
        <v>32</v>
      </c>
      <c r="E188" s="3">
        <v>46201</v>
      </c>
      <c r="F188">
        <v>392</v>
      </c>
      <c r="G188">
        <v>63</v>
      </c>
      <c r="H188">
        <v>329</v>
      </c>
      <c r="I188">
        <v>1927</v>
      </c>
      <c r="J188" t="s">
        <v>14</v>
      </c>
      <c r="K188" s="4">
        <f>IF(AND(ISNUMBER(Raw_Data[[#This Row],[Opening_Stock]]),ISNUMBER(Raw_Data[[#This Row],[Units_Sold]]),Raw_Data[[#This Row],[Opening_Stock]]&gt;0),Raw_Data[[#This Row],[Units_Sold]]/Raw_Data[[#This Row],[Opening_Stock]],"")</f>
        <v>0.16071428571428573</v>
      </c>
      <c r="L188" t="str">
        <f>IF(NOT(ISNUMBER(Raw_Data[[#This Row],[Sell_through%]])),"Check",IF(Raw_Data[[#This Row],[Sell_through%]]=0,"Non-moving",IF(Raw_Data[[#This Row],[Sell_through%]]&gt;=0.6,"Fast","Slow")))</f>
        <v>Slow</v>
      </c>
      <c r="M188">
        <f>IF(AND(ISNUMBER(Raw_Data[[#This Row],[Closing_Stock]]),ISNUMBER(Raw_Data[[#This Row],[Unit_Cost]])),Raw_Data[[#This Row],[Closing_Stock]]*Raw_Data[[#This Row],[Unit_Cost]],"")</f>
        <v>633983</v>
      </c>
      <c r="N18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89" spans="1:14" x14ac:dyDescent="0.3">
      <c r="A189" t="s">
        <v>362</v>
      </c>
      <c r="B189" t="s">
        <v>363</v>
      </c>
      <c r="C189" t="s">
        <v>12</v>
      </c>
      <c r="D189" t="s">
        <v>13</v>
      </c>
      <c r="E189" s="3"/>
      <c r="F189">
        <v>456</v>
      </c>
      <c r="G189">
        <v>0</v>
      </c>
      <c r="H189">
        <v>456</v>
      </c>
      <c r="I189">
        <v>1503</v>
      </c>
      <c r="J189" t="s">
        <v>14</v>
      </c>
      <c r="K189" s="4">
        <f>IF(AND(ISNUMBER(Raw_Data[[#This Row],[Opening_Stock]]),ISNUMBER(Raw_Data[[#This Row],[Units_Sold]]),Raw_Data[[#This Row],[Opening_Stock]]&gt;0),Raw_Data[[#This Row],[Units_Sold]]/Raw_Data[[#This Row],[Opening_Stock]],"")</f>
        <v>0</v>
      </c>
      <c r="L189" t="str">
        <f>IF(NOT(ISNUMBER(Raw_Data[[#This Row],[Sell_through%]])),"Check",IF(Raw_Data[[#This Row],[Sell_through%]]=0,"Non-moving",IF(Raw_Data[[#This Row],[Sell_through%]]&gt;=0.6,"Fast","Slow")))</f>
        <v>Non-moving</v>
      </c>
      <c r="M189">
        <f>IF(AND(ISNUMBER(Raw_Data[[#This Row],[Closing_Stock]]),ISNUMBER(Raw_Data[[#This Row],[Unit_Cost]])),Raw_Data[[#This Row],[Closing_Stock]]*Raw_Data[[#This Row],[Unit_Cost]],"")</f>
        <v>685368</v>
      </c>
      <c r="N18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90" spans="1:14" x14ac:dyDescent="0.3">
      <c r="A190" t="s">
        <v>364</v>
      </c>
      <c r="B190" t="s">
        <v>1344</v>
      </c>
      <c r="C190" t="s">
        <v>28</v>
      </c>
      <c r="D190" t="s">
        <v>36</v>
      </c>
      <c r="E190" s="3"/>
      <c r="F190">
        <v>129</v>
      </c>
      <c r="G190">
        <v>0</v>
      </c>
      <c r="H190">
        <v>129</v>
      </c>
      <c r="I190">
        <v>1841</v>
      </c>
      <c r="J190" t="s">
        <v>14</v>
      </c>
      <c r="K190" s="4">
        <f>IF(AND(ISNUMBER(Raw_Data[[#This Row],[Opening_Stock]]),ISNUMBER(Raw_Data[[#This Row],[Units_Sold]]),Raw_Data[[#This Row],[Opening_Stock]]&gt;0),Raw_Data[[#This Row],[Units_Sold]]/Raw_Data[[#This Row],[Opening_Stock]],"")</f>
        <v>0</v>
      </c>
      <c r="L190" t="str">
        <f>IF(NOT(ISNUMBER(Raw_Data[[#This Row],[Sell_through%]])),"Check",IF(Raw_Data[[#This Row],[Sell_through%]]=0,"Non-moving",IF(Raw_Data[[#This Row],[Sell_through%]]&gt;=0.6,"Fast","Slow")))</f>
        <v>Non-moving</v>
      </c>
      <c r="M190">
        <f>IF(AND(ISNUMBER(Raw_Data[[#This Row],[Closing_Stock]]),ISNUMBER(Raw_Data[[#This Row],[Unit_Cost]])),Raw_Data[[#This Row],[Closing_Stock]]*Raw_Data[[#This Row],[Unit_Cost]],"")</f>
        <v>237489</v>
      </c>
      <c r="N19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91" spans="1:14" x14ac:dyDescent="0.3">
      <c r="A191" t="s">
        <v>365</v>
      </c>
      <c r="B191" t="s">
        <v>48</v>
      </c>
      <c r="C191" t="s">
        <v>49</v>
      </c>
      <c r="D191" t="s">
        <v>32</v>
      </c>
      <c r="E191" s="3"/>
      <c r="F191">
        <v>55</v>
      </c>
      <c r="G191">
        <v>0</v>
      </c>
      <c r="H191">
        <v>55</v>
      </c>
      <c r="I191">
        <v>1663</v>
      </c>
      <c r="J191" t="s">
        <v>17</v>
      </c>
      <c r="K191" s="4">
        <f>IF(AND(ISNUMBER(Raw_Data[[#This Row],[Opening_Stock]]),ISNUMBER(Raw_Data[[#This Row],[Units_Sold]]),Raw_Data[[#This Row],[Opening_Stock]]&gt;0),Raw_Data[[#This Row],[Units_Sold]]/Raw_Data[[#This Row],[Opening_Stock]],"")</f>
        <v>0</v>
      </c>
      <c r="L191" t="str">
        <f>IF(NOT(ISNUMBER(Raw_Data[[#This Row],[Sell_through%]])),"Check",IF(Raw_Data[[#This Row],[Sell_through%]]=0,"Non-moving",IF(Raw_Data[[#This Row],[Sell_through%]]&gt;=0.6,"Fast","Slow")))</f>
        <v>Non-moving</v>
      </c>
      <c r="M191">
        <f>IF(AND(ISNUMBER(Raw_Data[[#This Row],[Closing_Stock]]),ISNUMBER(Raw_Data[[#This Row],[Unit_Cost]])),Raw_Data[[#This Row],[Closing_Stock]]*Raw_Data[[#This Row],[Unit_Cost]],"")</f>
        <v>91465</v>
      </c>
      <c r="N19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192" spans="1:14" x14ac:dyDescent="0.3">
      <c r="A192" t="s">
        <v>366</v>
      </c>
      <c r="B192" t="s">
        <v>367</v>
      </c>
      <c r="C192" t="s">
        <v>35</v>
      </c>
      <c r="D192" t="s">
        <v>13</v>
      </c>
      <c r="E192" s="3">
        <v>46195</v>
      </c>
      <c r="F192">
        <v>335</v>
      </c>
      <c r="G192">
        <v>125</v>
      </c>
      <c r="H192">
        <v>210</v>
      </c>
      <c r="I192">
        <v>1802</v>
      </c>
      <c r="J192" t="s">
        <v>14</v>
      </c>
      <c r="K192" s="4">
        <f>IF(AND(ISNUMBER(Raw_Data[[#This Row],[Opening_Stock]]),ISNUMBER(Raw_Data[[#This Row],[Units_Sold]]),Raw_Data[[#This Row],[Opening_Stock]]&gt;0),Raw_Data[[#This Row],[Units_Sold]]/Raw_Data[[#This Row],[Opening_Stock]],"")</f>
        <v>0.37313432835820898</v>
      </c>
      <c r="L192" t="str">
        <f>IF(NOT(ISNUMBER(Raw_Data[[#This Row],[Sell_through%]])),"Check",IF(Raw_Data[[#This Row],[Sell_through%]]=0,"Non-moving",IF(Raw_Data[[#This Row],[Sell_through%]]&gt;=0.6,"Fast","Slow")))</f>
        <v>Slow</v>
      </c>
      <c r="M192">
        <f>IF(AND(ISNUMBER(Raw_Data[[#This Row],[Closing_Stock]]),ISNUMBER(Raw_Data[[#This Row],[Unit_Cost]])),Raw_Data[[#This Row],[Closing_Stock]]*Raw_Data[[#This Row],[Unit_Cost]],"")</f>
        <v>378420</v>
      </c>
      <c r="N19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93" spans="1:14" x14ac:dyDescent="0.3">
      <c r="A193" t="s">
        <v>368</v>
      </c>
      <c r="B193" t="s">
        <v>142</v>
      </c>
      <c r="C193" t="s">
        <v>49</v>
      </c>
      <c r="D193" t="s">
        <v>21</v>
      </c>
      <c r="E193" s="3">
        <v>46018</v>
      </c>
      <c r="F193">
        <v>67</v>
      </c>
      <c r="G193">
        <v>12</v>
      </c>
      <c r="H193">
        <v>55</v>
      </c>
      <c r="I193">
        <v>2444</v>
      </c>
      <c r="J193" t="s">
        <v>17</v>
      </c>
      <c r="K193" s="4">
        <f>IF(AND(ISNUMBER(Raw_Data[[#This Row],[Opening_Stock]]),ISNUMBER(Raw_Data[[#This Row],[Units_Sold]]),Raw_Data[[#This Row],[Opening_Stock]]&gt;0),Raw_Data[[#This Row],[Units_Sold]]/Raw_Data[[#This Row],[Opening_Stock]],"")</f>
        <v>0.17910447761194029</v>
      </c>
      <c r="L193" t="str">
        <f>IF(NOT(ISNUMBER(Raw_Data[[#This Row],[Sell_through%]])),"Check",IF(Raw_Data[[#This Row],[Sell_through%]]=0,"Non-moving",IF(Raw_Data[[#This Row],[Sell_through%]]&gt;=0.6,"Fast","Slow")))</f>
        <v>Slow</v>
      </c>
      <c r="M193">
        <f>IF(AND(ISNUMBER(Raw_Data[[#This Row],[Closing_Stock]]),ISNUMBER(Raw_Data[[#This Row],[Unit_Cost]])),Raw_Data[[#This Row],[Closing_Stock]]*Raw_Data[[#This Row],[Unit_Cost]],"")</f>
        <v>134420</v>
      </c>
      <c r="N19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194" spans="1:14" x14ac:dyDescent="0.3">
      <c r="A194" t="s">
        <v>370</v>
      </c>
      <c r="B194" t="s">
        <v>57</v>
      </c>
      <c r="C194" t="s">
        <v>28</v>
      </c>
      <c r="D194" t="s">
        <v>21</v>
      </c>
      <c r="E194" s="3"/>
      <c r="F194">
        <v>354</v>
      </c>
      <c r="G194">
        <v>0</v>
      </c>
      <c r="H194">
        <v>354</v>
      </c>
      <c r="I194">
        <v>1842</v>
      </c>
      <c r="J194" t="s">
        <v>14</v>
      </c>
      <c r="K194" s="4">
        <f>IF(AND(ISNUMBER(Raw_Data[[#This Row],[Opening_Stock]]),ISNUMBER(Raw_Data[[#This Row],[Units_Sold]]),Raw_Data[[#This Row],[Opening_Stock]]&gt;0),Raw_Data[[#This Row],[Units_Sold]]/Raw_Data[[#This Row],[Opening_Stock]],"")</f>
        <v>0</v>
      </c>
      <c r="L194" t="str">
        <f>IF(NOT(ISNUMBER(Raw_Data[[#This Row],[Sell_through%]])),"Check",IF(Raw_Data[[#This Row],[Sell_through%]]=0,"Non-moving",IF(Raw_Data[[#This Row],[Sell_through%]]&gt;=0.6,"Fast","Slow")))</f>
        <v>Non-moving</v>
      </c>
      <c r="M194">
        <f>IF(AND(ISNUMBER(Raw_Data[[#This Row],[Closing_Stock]]),ISNUMBER(Raw_Data[[#This Row],[Unit_Cost]])),Raw_Data[[#This Row],[Closing_Stock]]*Raw_Data[[#This Row],[Unit_Cost]],"")</f>
        <v>652068</v>
      </c>
      <c r="N19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95" spans="1:14" x14ac:dyDescent="0.3">
      <c r="A195" t="s">
        <v>371</v>
      </c>
      <c r="B195" t="s">
        <v>11</v>
      </c>
      <c r="C195" t="s">
        <v>12</v>
      </c>
      <c r="D195" t="s">
        <v>21</v>
      </c>
      <c r="E195" s="3"/>
      <c r="F195">
        <v>259</v>
      </c>
      <c r="G195">
        <v>0</v>
      </c>
      <c r="H195">
        <v>259</v>
      </c>
      <c r="J195" t="s">
        <v>14</v>
      </c>
      <c r="K195" s="4">
        <f>IF(AND(ISNUMBER(Raw_Data[[#This Row],[Opening_Stock]]),ISNUMBER(Raw_Data[[#This Row],[Units_Sold]]),Raw_Data[[#This Row],[Opening_Stock]]&gt;0),Raw_Data[[#This Row],[Units_Sold]]/Raw_Data[[#This Row],[Opening_Stock]],"")</f>
        <v>0</v>
      </c>
      <c r="L195" t="str">
        <f>IF(NOT(ISNUMBER(Raw_Data[[#This Row],[Sell_through%]])),"Check",IF(Raw_Data[[#This Row],[Sell_through%]]=0,"Non-moving",IF(Raw_Data[[#This Row],[Sell_through%]]&gt;=0.6,"Fast","Slow")))</f>
        <v>Non-moving</v>
      </c>
      <c r="M195" t="str">
        <f>IF(AND(ISNUMBER(Raw_Data[[#This Row],[Closing_Stock]]),ISNUMBER(Raw_Data[[#This Row],[Unit_Cost]])),Raw_Data[[#This Row],[Closing_Stock]]*Raw_Data[[#This Row],[Unit_Cost]],"")</f>
        <v/>
      </c>
      <c r="N19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96" spans="1:14" x14ac:dyDescent="0.3">
      <c r="A196" t="s">
        <v>372</v>
      </c>
      <c r="B196" t="s">
        <v>71</v>
      </c>
      <c r="D196" t="s">
        <v>21</v>
      </c>
      <c r="E196" s="3">
        <v>46238</v>
      </c>
      <c r="F196">
        <v>446</v>
      </c>
      <c r="G196">
        <v>30</v>
      </c>
      <c r="H196">
        <v>416</v>
      </c>
      <c r="I196">
        <v>1348</v>
      </c>
      <c r="J196" t="s">
        <v>14</v>
      </c>
      <c r="K196" s="4">
        <f>IF(AND(ISNUMBER(Raw_Data[[#This Row],[Opening_Stock]]),ISNUMBER(Raw_Data[[#This Row],[Units_Sold]]),Raw_Data[[#This Row],[Opening_Stock]]&gt;0),Raw_Data[[#This Row],[Units_Sold]]/Raw_Data[[#This Row],[Opening_Stock]],"")</f>
        <v>6.726457399103139E-2</v>
      </c>
      <c r="L196" t="str">
        <f>IF(NOT(ISNUMBER(Raw_Data[[#This Row],[Sell_through%]])),"Check",IF(Raw_Data[[#This Row],[Sell_through%]]=0,"Non-moving",IF(Raw_Data[[#This Row],[Sell_through%]]&gt;=0.6,"Fast","Slow")))</f>
        <v>Slow</v>
      </c>
      <c r="M196">
        <f>IF(AND(ISNUMBER(Raw_Data[[#This Row],[Closing_Stock]]),ISNUMBER(Raw_Data[[#This Row],[Unit_Cost]])),Raw_Data[[#This Row],[Closing_Stock]]*Raw_Data[[#This Row],[Unit_Cost]],"")</f>
        <v>560768</v>
      </c>
      <c r="N19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97" spans="1:14" x14ac:dyDescent="0.3">
      <c r="A197" t="s">
        <v>373</v>
      </c>
      <c r="B197" t="s">
        <v>284</v>
      </c>
      <c r="C197" t="s">
        <v>49</v>
      </c>
      <c r="D197" t="s">
        <v>13</v>
      </c>
      <c r="E197" s="3">
        <v>46258</v>
      </c>
      <c r="F197">
        <v>391</v>
      </c>
      <c r="G197">
        <v>61</v>
      </c>
      <c r="H197">
        <v>330</v>
      </c>
      <c r="I197">
        <v>1044</v>
      </c>
      <c r="J197" t="s">
        <v>14</v>
      </c>
      <c r="K197" s="4">
        <f>IF(AND(ISNUMBER(Raw_Data[[#This Row],[Opening_Stock]]),ISNUMBER(Raw_Data[[#This Row],[Units_Sold]]),Raw_Data[[#This Row],[Opening_Stock]]&gt;0),Raw_Data[[#This Row],[Units_Sold]]/Raw_Data[[#This Row],[Opening_Stock]],"")</f>
        <v>0.15601023017902813</v>
      </c>
      <c r="L197" t="str">
        <f>IF(NOT(ISNUMBER(Raw_Data[[#This Row],[Sell_through%]])),"Check",IF(Raw_Data[[#This Row],[Sell_through%]]=0,"Non-moving",IF(Raw_Data[[#This Row],[Sell_through%]]&gt;=0.6,"Fast","Slow")))</f>
        <v>Slow</v>
      </c>
      <c r="M197">
        <f>IF(AND(ISNUMBER(Raw_Data[[#This Row],[Closing_Stock]]),ISNUMBER(Raw_Data[[#This Row],[Unit_Cost]])),Raw_Data[[#This Row],[Closing_Stock]]*Raw_Data[[#This Row],[Unit_Cost]],"")</f>
        <v>344520</v>
      </c>
      <c r="N19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198" spans="1:14" x14ac:dyDescent="0.3">
      <c r="A198" t="s">
        <v>374</v>
      </c>
      <c r="B198" t="s">
        <v>238</v>
      </c>
      <c r="C198" t="s">
        <v>28</v>
      </c>
      <c r="D198" t="s">
        <v>36</v>
      </c>
      <c r="E198" s="3">
        <v>46207</v>
      </c>
      <c r="F198">
        <v>281</v>
      </c>
      <c r="G198">
        <v>262</v>
      </c>
      <c r="H198">
        <v>19</v>
      </c>
      <c r="I198">
        <v>565</v>
      </c>
      <c r="J198" t="s">
        <v>17</v>
      </c>
      <c r="K198" s="4">
        <f>IF(AND(ISNUMBER(Raw_Data[[#This Row],[Opening_Stock]]),ISNUMBER(Raw_Data[[#This Row],[Units_Sold]]),Raw_Data[[#This Row],[Opening_Stock]]&gt;0),Raw_Data[[#This Row],[Units_Sold]]/Raw_Data[[#This Row],[Opening_Stock]],"")</f>
        <v>0.93238434163701067</v>
      </c>
      <c r="L198" t="str">
        <f>IF(NOT(ISNUMBER(Raw_Data[[#This Row],[Sell_through%]])),"Check",IF(Raw_Data[[#This Row],[Sell_through%]]=0,"Non-moving",IF(Raw_Data[[#This Row],[Sell_through%]]&gt;=0.6,"Fast","Slow")))</f>
        <v>Fast</v>
      </c>
      <c r="M198">
        <f>IF(AND(ISNUMBER(Raw_Data[[#This Row],[Closing_Stock]]),ISNUMBER(Raw_Data[[#This Row],[Unit_Cost]])),Raw_Data[[#This Row],[Closing_Stock]]*Raw_Data[[#This Row],[Unit_Cost]],"")</f>
        <v>10735</v>
      </c>
      <c r="N19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199" spans="1:14" x14ac:dyDescent="0.3">
      <c r="A199" t="s">
        <v>375</v>
      </c>
      <c r="B199" t="s">
        <v>146</v>
      </c>
      <c r="C199" t="s">
        <v>35</v>
      </c>
      <c r="D199" t="s">
        <v>13</v>
      </c>
      <c r="E199" s="3">
        <v>46272</v>
      </c>
      <c r="G199">
        <v>97</v>
      </c>
      <c r="H199">
        <v>342</v>
      </c>
      <c r="I199">
        <v>634</v>
      </c>
      <c r="J199" t="s">
        <v>14</v>
      </c>
      <c r="K199" s="4" t="str">
        <f>IF(AND(ISNUMBER(Raw_Data[[#This Row],[Opening_Stock]]),ISNUMBER(Raw_Data[[#This Row],[Units_Sold]]),Raw_Data[[#This Row],[Opening_Stock]]&gt;0),Raw_Data[[#This Row],[Units_Sold]]/Raw_Data[[#This Row],[Opening_Stock]],"")</f>
        <v/>
      </c>
      <c r="L199" t="str">
        <f>IF(NOT(ISNUMBER(Raw_Data[[#This Row],[Sell_through%]])),"Check",IF(Raw_Data[[#This Row],[Sell_through%]]=0,"Non-moving",IF(Raw_Data[[#This Row],[Sell_through%]]&gt;=0.6,"Fast","Slow")))</f>
        <v>Check</v>
      </c>
      <c r="M199">
        <f>IF(AND(ISNUMBER(Raw_Data[[#This Row],[Closing_Stock]]),ISNUMBER(Raw_Data[[#This Row],[Unit_Cost]])),Raw_Data[[#This Row],[Closing_Stock]]*Raw_Data[[#This Row],[Unit_Cost]],"")</f>
        <v>216828</v>
      </c>
      <c r="N19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00" spans="1:14" x14ac:dyDescent="0.3">
      <c r="A200" t="s">
        <v>376</v>
      </c>
      <c r="B200" t="s">
        <v>65</v>
      </c>
      <c r="C200" t="s">
        <v>49</v>
      </c>
      <c r="D200" t="s">
        <v>21</v>
      </c>
      <c r="E200" s="3">
        <v>46227</v>
      </c>
      <c r="F200">
        <v>153</v>
      </c>
      <c r="G200">
        <v>123</v>
      </c>
      <c r="H200">
        <v>30</v>
      </c>
      <c r="I200">
        <v>363</v>
      </c>
      <c r="J200" t="s">
        <v>17</v>
      </c>
      <c r="K200" s="4">
        <f>IF(AND(ISNUMBER(Raw_Data[[#This Row],[Opening_Stock]]),ISNUMBER(Raw_Data[[#This Row],[Units_Sold]]),Raw_Data[[#This Row],[Opening_Stock]]&gt;0),Raw_Data[[#This Row],[Units_Sold]]/Raw_Data[[#This Row],[Opening_Stock]],"")</f>
        <v>0.80392156862745101</v>
      </c>
      <c r="L200" t="str">
        <f>IF(NOT(ISNUMBER(Raw_Data[[#This Row],[Sell_through%]])),"Check",IF(Raw_Data[[#This Row],[Sell_through%]]=0,"Non-moving",IF(Raw_Data[[#This Row],[Sell_through%]]&gt;=0.6,"Fast","Slow")))</f>
        <v>Fast</v>
      </c>
      <c r="M200">
        <f>IF(AND(ISNUMBER(Raw_Data[[#This Row],[Closing_Stock]]),ISNUMBER(Raw_Data[[#This Row],[Unit_Cost]])),Raw_Data[[#This Row],[Closing_Stock]]*Raw_Data[[#This Row],[Unit_Cost]],"")</f>
        <v>10890</v>
      </c>
      <c r="N20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01" spans="1:14" x14ac:dyDescent="0.3">
      <c r="A201" t="s">
        <v>378</v>
      </c>
      <c r="B201" t="s">
        <v>19</v>
      </c>
      <c r="C201" t="s">
        <v>28</v>
      </c>
      <c r="D201" t="s">
        <v>36</v>
      </c>
      <c r="E201" s="3">
        <v>46274</v>
      </c>
      <c r="F201">
        <v>67</v>
      </c>
      <c r="G201">
        <v>18</v>
      </c>
      <c r="H201">
        <v>49</v>
      </c>
      <c r="I201">
        <v>1674</v>
      </c>
      <c r="J201" t="s">
        <v>17</v>
      </c>
      <c r="K201" s="4">
        <f>IF(AND(ISNUMBER(Raw_Data[[#This Row],[Opening_Stock]]),ISNUMBER(Raw_Data[[#This Row],[Units_Sold]]),Raw_Data[[#This Row],[Opening_Stock]]&gt;0),Raw_Data[[#This Row],[Units_Sold]]/Raw_Data[[#This Row],[Opening_Stock]],"")</f>
        <v>0.26865671641791045</v>
      </c>
      <c r="L201" t="str">
        <f>IF(NOT(ISNUMBER(Raw_Data[[#This Row],[Sell_through%]])),"Check",IF(Raw_Data[[#This Row],[Sell_through%]]=0,"Non-moving",IF(Raw_Data[[#This Row],[Sell_through%]]&gt;=0.6,"Fast","Slow")))</f>
        <v>Slow</v>
      </c>
      <c r="M201">
        <f>IF(AND(ISNUMBER(Raw_Data[[#This Row],[Closing_Stock]]),ISNUMBER(Raw_Data[[#This Row],[Unit_Cost]])),Raw_Data[[#This Row],[Closing_Stock]]*Raw_Data[[#This Row],[Unit_Cost]],"")</f>
        <v>82026</v>
      </c>
      <c r="N20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02" spans="1:14" x14ac:dyDescent="0.3">
      <c r="A202" t="s">
        <v>379</v>
      </c>
      <c r="B202" t="s">
        <v>499</v>
      </c>
      <c r="C202" t="s">
        <v>28</v>
      </c>
      <c r="D202" t="s">
        <v>21</v>
      </c>
      <c r="E202" s="3">
        <v>46138</v>
      </c>
      <c r="F202">
        <v>210</v>
      </c>
      <c r="G202">
        <v>26</v>
      </c>
      <c r="H202">
        <v>184</v>
      </c>
      <c r="I202">
        <v>1311</v>
      </c>
      <c r="J202" t="s">
        <v>14</v>
      </c>
      <c r="K202" s="4">
        <f>IF(AND(ISNUMBER(Raw_Data[[#This Row],[Opening_Stock]]),ISNUMBER(Raw_Data[[#This Row],[Units_Sold]]),Raw_Data[[#This Row],[Opening_Stock]]&gt;0),Raw_Data[[#This Row],[Units_Sold]]/Raw_Data[[#This Row],[Opening_Stock]],"")</f>
        <v>0.12380952380952381</v>
      </c>
      <c r="L202" t="str">
        <f>IF(NOT(ISNUMBER(Raw_Data[[#This Row],[Sell_through%]])),"Check",IF(Raw_Data[[#This Row],[Sell_through%]]=0,"Non-moving",IF(Raw_Data[[#This Row],[Sell_through%]]&gt;=0.6,"Fast","Slow")))</f>
        <v>Slow</v>
      </c>
      <c r="M202">
        <f>IF(AND(ISNUMBER(Raw_Data[[#This Row],[Closing_Stock]]),ISNUMBER(Raw_Data[[#This Row],[Unit_Cost]])),Raw_Data[[#This Row],[Closing_Stock]]*Raw_Data[[#This Row],[Unit_Cost]],"")</f>
        <v>241224</v>
      </c>
      <c r="N20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03" spans="1:14" x14ac:dyDescent="0.3">
      <c r="A203" t="s">
        <v>381</v>
      </c>
      <c r="B203" t="s">
        <v>262</v>
      </c>
      <c r="C203" t="s">
        <v>12</v>
      </c>
      <c r="D203" t="s">
        <v>13</v>
      </c>
      <c r="E203" s="3"/>
      <c r="F203">
        <v>311</v>
      </c>
      <c r="G203">
        <v>0</v>
      </c>
      <c r="H203">
        <v>311</v>
      </c>
      <c r="I203">
        <v>897</v>
      </c>
      <c r="J203" t="s">
        <v>14</v>
      </c>
      <c r="K203" s="4">
        <f>IF(AND(ISNUMBER(Raw_Data[[#This Row],[Opening_Stock]]),ISNUMBER(Raw_Data[[#This Row],[Units_Sold]]),Raw_Data[[#This Row],[Opening_Stock]]&gt;0),Raw_Data[[#This Row],[Units_Sold]]/Raw_Data[[#This Row],[Opening_Stock]],"")</f>
        <v>0</v>
      </c>
      <c r="L203" t="str">
        <f>IF(NOT(ISNUMBER(Raw_Data[[#This Row],[Sell_through%]])),"Check",IF(Raw_Data[[#This Row],[Sell_through%]]=0,"Non-moving",IF(Raw_Data[[#This Row],[Sell_through%]]&gt;=0.6,"Fast","Slow")))</f>
        <v>Non-moving</v>
      </c>
      <c r="M203">
        <f>IF(AND(ISNUMBER(Raw_Data[[#This Row],[Closing_Stock]]),ISNUMBER(Raw_Data[[#This Row],[Unit_Cost]])),Raw_Data[[#This Row],[Closing_Stock]]*Raw_Data[[#This Row],[Unit_Cost]],"")</f>
        <v>278967</v>
      </c>
      <c r="N20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04" spans="1:14" x14ac:dyDescent="0.3">
      <c r="A204" t="s">
        <v>384</v>
      </c>
      <c r="B204" t="s">
        <v>236</v>
      </c>
      <c r="C204" t="s">
        <v>12</v>
      </c>
      <c r="D204" t="s">
        <v>32</v>
      </c>
      <c r="E204" s="3">
        <v>46176</v>
      </c>
      <c r="F204">
        <v>226</v>
      </c>
      <c r="G204">
        <v>174</v>
      </c>
      <c r="H204">
        <v>52</v>
      </c>
      <c r="I204">
        <v>2429</v>
      </c>
      <c r="J204" t="s">
        <v>17</v>
      </c>
      <c r="K204" s="4">
        <f>IF(AND(ISNUMBER(Raw_Data[[#This Row],[Opening_Stock]]),ISNUMBER(Raw_Data[[#This Row],[Units_Sold]]),Raw_Data[[#This Row],[Opening_Stock]]&gt;0),Raw_Data[[#This Row],[Units_Sold]]/Raw_Data[[#This Row],[Opening_Stock]],"")</f>
        <v>0.76991150442477874</v>
      </c>
      <c r="L204" t="str">
        <f>IF(NOT(ISNUMBER(Raw_Data[[#This Row],[Sell_through%]])),"Check",IF(Raw_Data[[#This Row],[Sell_through%]]=0,"Non-moving",IF(Raw_Data[[#This Row],[Sell_through%]]&gt;=0.6,"Fast","Slow")))</f>
        <v>Fast</v>
      </c>
      <c r="M204">
        <f>IF(AND(ISNUMBER(Raw_Data[[#This Row],[Closing_Stock]]),ISNUMBER(Raw_Data[[#This Row],[Unit_Cost]])),Raw_Data[[#This Row],[Closing_Stock]]*Raw_Data[[#This Row],[Unit_Cost]],"")</f>
        <v>126308</v>
      </c>
      <c r="N20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05" spans="1:14" x14ac:dyDescent="0.3">
      <c r="A205" t="s">
        <v>385</v>
      </c>
      <c r="B205" t="s">
        <v>161</v>
      </c>
      <c r="C205" t="s">
        <v>12</v>
      </c>
      <c r="D205" t="s">
        <v>36</v>
      </c>
      <c r="E205" s="3">
        <v>46163</v>
      </c>
      <c r="F205">
        <v>312</v>
      </c>
      <c r="G205">
        <v>70</v>
      </c>
      <c r="H205">
        <v>242</v>
      </c>
      <c r="I205">
        <v>2259</v>
      </c>
      <c r="J205" t="s">
        <v>14</v>
      </c>
      <c r="K205" s="4">
        <f>IF(AND(ISNUMBER(Raw_Data[[#This Row],[Opening_Stock]]),ISNUMBER(Raw_Data[[#This Row],[Units_Sold]]),Raw_Data[[#This Row],[Opening_Stock]]&gt;0),Raw_Data[[#This Row],[Units_Sold]]/Raw_Data[[#This Row],[Opening_Stock]],"")</f>
        <v>0.22435897435897437</v>
      </c>
      <c r="L205" t="str">
        <f>IF(NOT(ISNUMBER(Raw_Data[[#This Row],[Sell_through%]])),"Check",IF(Raw_Data[[#This Row],[Sell_through%]]=0,"Non-moving",IF(Raw_Data[[#This Row],[Sell_through%]]&gt;=0.6,"Fast","Slow")))</f>
        <v>Slow</v>
      </c>
      <c r="M205">
        <f>IF(AND(ISNUMBER(Raw_Data[[#This Row],[Closing_Stock]]),ISNUMBER(Raw_Data[[#This Row],[Unit_Cost]])),Raw_Data[[#This Row],[Closing_Stock]]*Raw_Data[[#This Row],[Unit_Cost]],"")</f>
        <v>546678</v>
      </c>
      <c r="N20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06" spans="1:14" x14ac:dyDescent="0.3">
      <c r="A206" t="s">
        <v>386</v>
      </c>
      <c r="B206" t="s">
        <v>387</v>
      </c>
      <c r="C206" t="s">
        <v>12</v>
      </c>
      <c r="D206" t="s">
        <v>21</v>
      </c>
      <c r="E206" s="3">
        <v>46216</v>
      </c>
      <c r="F206">
        <v>411</v>
      </c>
      <c r="G206">
        <v>162</v>
      </c>
      <c r="H206">
        <v>249</v>
      </c>
      <c r="I206">
        <v>1912</v>
      </c>
      <c r="J206" t="s">
        <v>14</v>
      </c>
      <c r="K206" s="4">
        <f>IF(AND(ISNUMBER(Raw_Data[[#This Row],[Opening_Stock]]),ISNUMBER(Raw_Data[[#This Row],[Units_Sold]]),Raw_Data[[#This Row],[Opening_Stock]]&gt;0),Raw_Data[[#This Row],[Units_Sold]]/Raw_Data[[#This Row],[Opening_Stock]],"")</f>
        <v>0.39416058394160586</v>
      </c>
      <c r="L206" t="str">
        <f>IF(NOT(ISNUMBER(Raw_Data[[#This Row],[Sell_through%]])),"Check",IF(Raw_Data[[#This Row],[Sell_through%]]=0,"Non-moving",IF(Raw_Data[[#This Row],[Sell_through%]]&gt;=0.6,"Fast","Slow")))</f>
        <v>Slow</v>
      </c>
      <c r="M206">
        <f>IF(AND(ISNUMBER(Raw_Data[[#This Row],[Closing_Stock]]),ISNUMBER(Raw_Data[[#This Row],[Unit_Cost]])),Raw_Data[[#This Row],[Closing_Stock]]*Raw_Data[[#This Row],[Unit_Cost]],"")</f>
        <v>476088</v>
      </c>
      <c r="N20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07" spans="1:14" x14ac:dyDescent="0.3">
      <c r="A207" t="s">
        <v>388</v>
      </c>
      <c r="B207" t="s">
        <v>177</v>
      </c>
      <c r="C207" t="s">
        <v>31</v>
      </c>
      <c r="D207" t="s">
        <v>36</v>
      </c>
      <c r="E207" s="3">
        <v>46126</v>
      </c>
      <c r="F207">
        <v>433</v>
      </c>
      <c r="G207">
        <v>311</v>
      </c>
      <c r="H207">
        <v>122</v>
      </c>
      <c r="I207">
        <v>733</v>
      </c>
      <c r="J207" t="s">
        <v>14</v>
      </c>
      <c r="K207" s="4">
        <f>IF(AND(ISNUMBER(Raw_Data[[#This Row],[Opening_Stock]]),ISNUMBER(Raw_Data[[#This Row],[Units_Sold]]),Raw_Data[[#This Row],[Opening_Stock]]&gt;0),Raw_Data[[#This Row],[Units_Sold]]/Raw_Data[[#This Row],[Opening_Stock]],"")</f>
        <v>0.71824480369515009</v>
      </c>
      <c r="L207" t="str">
        <f>IF(NOT(ISNUMBER(Raw_Data[[#This Row],[Sell_through%]])),"Check",IF(Raw_Data[[#This Row],[Sell_through%]]=0,"Non-moving",IF(Raw_Data[[#This Row],[Sell_through%]]&gt;=0.6,"Fast","Slow")))</f>
        <v>Fast</v>
      </c>
      <c r="M207">
        <f>IF(AND(ISNUMBER(Raw_Data[[#This Row],[Closing_Stock]]),ISNUMBER(Raw_Data[[#This Row],[Unit_Cost]])),Raw_Data[[#This Row],[Closing_Stock]]*Raw_Data[[#This Row],[Unit_Cost]],"")</f>
        <v>89426</v>
      </c>
      <c r="N207"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08" spans="1:14" x14ac:dyDescent="0.3">
      <c r="A208" t="s">
        <v>389</v>
      </c>
      <c r="B208" t="s">
        <v>60</v>
      </c>
      <c r="D208" t="s">
        <v>21</v>
      </c>
      <c r="E208" s="3"/>
      <c r="F208">
        <v>319</v>
      </c>
      <c r="G208">
        <v>0</v>
      </c>
      <c r="H208">
        <v>319</v>
      </c>
      <c r="I208">
        <v>1292</v>
      </c>
      <c r="J208" t="s">
        <v>14</v>
      </c>
      <c r="K208" s="4">
        <f>IF(AND(ISNUMBER(Raw_Data[[#This Row],[Opening_Stock]]),ISNUMBER(Raw_Data[[#This Row],[Units_Sold]]),Raw_Data[[#This Row],[Opening_Stock]]&gt;0),Raw_Data[[#This Row],[Units_Sold]]/Raw_Data[[#This Row],[Opening_Stock]],"")</f>
        <v>0</v>
      </c>
      <c r="L208" t="str">
        <f>IF(NOT(ISNUMBER(Raw_Data[[#This Row],[Sell_through%]])),"Check",IF(Raw_Data[[#This Row],[Sell_through%]]=0,"Non-moving",IF(Raw_Data[[#This Row],[Sell_through%]]&gt;=0.6,"Fast","Slow")))</f>
        <v>Non-moving</v>
      </c>
      <c r="M208">
        <f>IF(AND(ISNUMBER(Raw_Data[[#This Row],[Closing_Stock]]),ISNUMBER(Raw_Data[[#This Row],[Unit_Cost]])),Raw_Data[[#This Row],[Closing_Stock]]*Raw_Data[[#This Row],[Unit_Cost]],"")</f>
        <v>412148</v>
      </c>
      <c r="N20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09" spans="1:14" x14ac:dyDescent="0.3">
      <c r="A209" t="s">
        <v>391</v>
      </c>
      <c r="B209" t="s">
        <v>134</v>
      </c>
      <c r="C209" t="s">
        <v>31</v>
      </c>
      <c r="D209" t="s">
        <v>32</v>
      </c>
      <c r="E209" s="3">
        <v>46179</v>
      </c>
      <c r="F209">
        <v>325</v>
      </c>
      <c r="G209">
        <v>93</v>
      </c>
      <c r="H209">
        <v>232</v>
      </c>
      <c r="I209">
        <v>1731</v>
      </c>
      <c r="J209" t="s">
        <v>14</v>
      </c>
      <c r="K209" s="4">
        <f>IF(AND(ISNUMBER(Raw_Data[[#This Row],[Opening_Stock]]),ISNUMBER(Raw_Data[[#This Row],[Units_Sold]]),Raw_Data[[#This Row],[Opening_Stock]]&gt;0),Raw_Data[[#This Row],[Units_Sold]]/Raw_Data[[#This Row],[Opening_Stock]],"")</f>
        <v>0.28615384615384615</v>
      </c>
      <c r="L209" t="str">
        <f>IF(NOT(ISNUMBER(Raw_Data[[#This Row],[Sell_through%]])),"Check",IF(Raw_Data[[#This Row],[Sell_through%]]=0,"Non-moving",IF(Raw_Data[[#This Row],[Sell_through%]]&gt;=0.6,"Fast","Slow")))</f>
        <v>Slow</v>
      </c>
      <c r="M209">
        <f>IF(AND(ISNUMBER(Raw_Data[[#This Row],[Closing_Stock]]),ISNUMBER(Raw_Data[[#This Row],[Unit_Cost]])),Raw_Data[[#This Row],[Closing_Stock]]*Raw_Data[[#This Row],[Unit_Cost]],"")</f>
        <v>401592</v>
      </c>
      <c r="N20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10" spans="1:14" x14ac:dyDescent="0.3">
      <c r="A210" t="s">
        <v>392</v>
      </c>
      <c r="B210" t="s">
        <v>48</v>
      </c>
      <c r="C210" t="s">
        <v>49</v>
      </c>
      <c r="D210" t="s">
        <v>36</v>
      </c>
      <c r="E210" s="3">
        <v>46047</v>
      </c>
      <c r="F210">
        <v>483</v>
      </c>
      <c r="G210">
        <v>74</v>
      </c>
      <c r="H210">
        <v>409</v>
      </c>
      <c r="I210">
        <v>1729</v>
      </c>
      <c r="J210" t="s">
        <v>14</v>
      </c>
      <c r="K210" s="4">
        <f>IF(AND(ISNUMBER(Raw_Data[[#This Row],[Opening_Stock]]),ISNUMBER(Raw_Data[[#This Row],[Units_Sold]]),Raw_Data[[#This Row],[Opening_Stock]]&gt;0),Raw_Data[[#This Row],[Units_Sold]]/Raw_Data[[#This Row],[Opening_Stock]],"")</f>
        <v>0.15320910973084886</v>
      </c>
      <c r="L210" t="str">
        <f>IF(NOT(ISNUMBER(Raw_Data[[#This Row],[Sell_through%]])),"Check",IF(Raw_Data[[#This Row],[Sell_through%]]=0,"Non-moving",IF(Raw_Data[[#This Row],[Sell_through%]]&gt;=0.6,"Fast","Slow")))</f>
        <v>Slow</v>
      </c>
      <c r="M210">
        <f>IF(AND(ISNUMBER(Raw_Data[[#This Row],[Closing_Stock]]),ISNUMBER(Raw_Data[[#This Row],[Unit_Cost]])),Raw_Data[[#This Row],[Closing_Stock]]*Raw_Data[[#This Row],[Unit_Cost]],"")</f>
        <v>707161</v>
      </c>
      <c r="N21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11" spans="1:14" x14ac:dyDescent="0.3">
      <c r="A211" t="s">
        <v>393</v>
      </c>
      <c r="B211" t="s">
        <v>161</v>
      </c>
      <c r="C211" t="s">
        <v>12</v>
      </c>
      <c r="D211" t="s">
        <v>32</v>
      </c>
      <c r="E211" s="3">
        <v>46056</v>
      </c>
      <c r="F211">
        <v>246</v>
      </c>
      <c r="G211">
        <v>228</v>
      </c>
      <c r="H211">
        <v>18</v>
      </c>
      <c r="I211">
        <v>2264</v>
      </c>
      <c r="J211" t="s">
        <v>17</v>
      </c>
      <c r="K211" s="4">
        <f>IF(AND(ISNUMBER(Raw_Data[[#This Row],[Opening_Stock]]),ISNUMBER(Raw_Data[[#This Row],[Units_Sold]]),Raw_Data[[#This Row],[Opening_Stock]]&gt;0),Raw_Data[[#This Row],[Units_Sold]]/Raw_Data[[#This Row],[Opening_Stock]],"")</f>
        <v>0.92682926829268297</v>
      </c>
      <c r="L211" t="str">
        <f>IF(NOT(ISNUMBER(Raw_Data[[#This Row],[Sell_through%]])),"Check",IF(Raw_Data[[#This Row],[Sell_through%]]=0,"Non-moving",IF(Raw_Data[[#This Row],[Sell_through%]]&gt;=0.6,"Fast","Slow")))</f>
        <v>Fast</v>
      </c>
      <c r="M211">
        <f>IF(AND(ISNUMBER(Raw_Data[[#This Row],[Closing_Stock]]),ISNUMBER(Raw_Data[[#This Row],[Unit_Cost]])),Raw_Data[[#This Row],[Closing_Stock]]*Raw_Data[[#This Row],[Unit_Cost]],"")</f>
        <v>40752</v>
      </c>
      <c r="N21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12" spans="1:14" x14ac:dyDescent="0.3">
      <c r="A212" t="s">
        <v>394</v>
      </c>
      <c r="B212" t="s">
        <v>117</v>
      </c>
      <c r="C212" t="s">
        <v>28</v>
      </c>
      <c r="D212" t="s">
        <v>13</v>
      </c>
      <c r="E212" s="3"/>
      <c r="F212">
        <v>311</v>
      </c>
      <c r="G212">
        <v>0</v>
      </c>
      <c r="H212">
        <v>311</v>
      </c>
      <c r="I212">
        <v>879</v>
      </c>
      <c r="J212" t="s">
        <v>14</v>
      </c>
      <c r="K212" s="4">
        <f>IF(AND(ISNUMBER(Raw_Data[[#This Row],[Opening_Stock]]),ISNUMBER(Raw_Data[[#This Row],[Units_Sold]]),Raw_Data[[#This Row],[Opening_Stock]]&gt;0),Raw_Data[[#This Row],[Units_Sold]]/Raw_Data[[#This Row],[Opening_Stock]],"")</f>
        <v>0</v>
      </c>
      <c r="L212" t="str">
        <f>IF(NOT(ISNUMBER(Raw_Data[[#This Row],[Sell_through%]])),"Check",IF(Raw_Data[[#This Row],[Sell_through%]]=0,"Non-moving",IF(Raw_Data[[#This Row],[Sell_through%]]&gt;=0.6,"Fast","Slow")))</f>
        <v>Non-moving</v>
      </c>
      <c r="M212">
        <f>IF(AND(ISNUMBER(Raw_Data[[#This Row],[Closing_Stock]]),ISNUMBER(Raw_Data[[#This Row],[Unit_Cost]])),Raw_Data[[#This Row],[Closing_Stock]]*Raw_Data[[#This Row],[Unit_Cost]],"")</f>
        <v>273369</v>
      </c>
      <c r="N21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13" spans="1:14" x14ac:dyDescent="0.3">
      <c r="A213" t="s">
        <v>395</v>
      </c>
      <c r="B213" t="s">
        <v>23</v>
      </c>
      <c r="C213" t="s">
        <v>35</v>
      </c>
      <c r="D213" t="s">
        <v>32</v>
      </c>
      <c r="E213" s="3">
        <v>46181</v>
      </c>
      <c r="F213">
        <v>465</v>
      </c>
      <c r="G213">
        <v>146</v>
      </c>
      <c r="H213">
        <v>319</v>
      </c>
      <c r="I213">
        <v>2648</v>
      </c>
      <c r="J213" t="s">
        <v>14</v>
      </c>
      <c r="K213" s="4">
        <f>IF(AND(ISNUMBER(Raw_Data[[#This Row],[Opening_Stock]]),ISNUMBER(Raw_Data[[#This Row],[Units_Sold]]),Raw_Data[[#This Row],[Opening_Stock]]&gt;0),Raw_Data[[#This Row],[Units_Sold]]/Raw_Data[[#This Row],[Opening_Stock]],"")</f>
        <v>0.3139784946236559</v>
      </c>
      <c r="L213" t="str">
        <f>IF(NOT(ISNUMBER(Raw_Data[[#This Row],[Sell_through%]])),"Check",IF(Raw_Data[[#This Row],[Sell_through%]]=0,"Non-moving",IF(Raw_Data[[#This Row],[Sell_through%]]&gt;=0.6,"Fast","Slow")))</f>
        <v>Slow</v>
      </c>
      <c r="M213">
        <f>IF(AND(ISNUMBER(Raw_Data[[#This Row],[Closing_Stock]]),ISNUMBER(Raw_Data[[#This Row],[Unit_Cost]])),Raw_Data[[#This Row],[Closing_Stock]]*Raw_Data[[#This Row],[Unit_Cost]],"")</f>
        <v>844712</v>
      </c>
      <c r="N21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14" spans="1:14" x14ac:dyDescent="0.3">
      <c r="A214" t="s">
        <v>396</v>
      </c>
      <c r="B214" t="s">
        <v>296</v>
      </c>
      <c r="C214" t="s">
        <v>31</v>
      </c>
      <c r="D214" t="s">
        <v>32</v>
      </c>
      <c r="E214" s="3">
        <v>46167</v>
      </c>
      <c r="F214">
        <v>59</v>
      </c>
      <c r="G214">
        <v>52</v>
      </c>
      <c r="H214">
        <v>7</v>
      </c>
      <c r="I214">
        <v>515</v>
      </c>
      <c r="J214" t="s">
        <v>17</v>
      </c>
      <c r="K214" s="4">
        <f>IF(AND(ISNUMBER(Raw_Data[[#This Row],[Opening_Stock]]),ISNUMBER(Raw_Data[[#This Row],[Units_Sold]]),Raw_Data[[#This Row],[Opening_Stock]]&gt;0),Raw_Data[[#This Row],[Units_Sold]]/Raw_Data[[#This Row],[Opening_Stock]],"")</f>
        <v>0.88135593220338981</v>
      </c>
      <c r="L214" t="str">
        <f>IF(NOT(ISNUMBER(Raw_Data[[#This Row],[Sell_through%]])),"Check",IF(Raw_Data[[#This Row],[Sell_through%]]=0,"Non-moving",IF(Raw_Data[[#This Row],[Sell_through%]]&gt;=0.6,"Fast","Slow")))</f>
        <v>Fast</v>
      </c>
      <c r="M214">
        <f>IF(AND(ISNUMBER(Raw_Data[[#This Row],[Closing_Stock]]),ISNUMBER(Raw_Data[[#This Row],[Unit_Cost]])),Raw_Data[[#This Row],[Closing_Stock]]*Raw_Data[[#This Row],[Unit_Cost]],"")</f>
        <v>3605</v>
      </c>
      <c r="N21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15" spans="1:14" x14ac:dyDescent="0.3">
      <c r="A215" t="s">
        <v>397</v>
      </c>
      <c r="B215" t="s">
        <v>27</v>
      </c>
      <c r="C215" t="s">
        <v>28</v>
      </c>
      <c r="D215" t="s">
        <v>36</v>
      </c>
      <c r="E215" s="3">
        <v>46163</v>
      </c>
      <c r="F215">
        <v>281</v>
      </c>
      <c r="G215">
        <v>232</v>
      </c>
      <c r="H215">
        <v>49</v>
      </c>
      <c r="I215">
        <v>57</v>
      </c>
      <c r="J215" t="s">
        <v>17</v>
      </c>
      <c r="K215" s="4">
        <f>IF(AND(ISNUMBER(Raw_Data[[#This Row],[Opening_Stock]]),ISNUMBER(Raw_Data[[#This Row],[Units_Sold]]),Raw_Data[[#This Row],[Opening_Stock]]&gt;0),Raw_Data[[#This Row],[Units_Sold]]/Raw_Data[[#This Row],[Opening_Stock]],"")</f>
        <v>0.82562277580071175</v>
      </c>
      <c r="L215" t="str">
        <f>IF(NOT(ISNUMBER(Raw_Data[[#This Row],[Sell_through%]])),"Check",IF(Raw_Data[[#This Row],[Sell_through%]]=0,"Non-moving",IF(Raw_Data[[#This Row],[Sell_through%]]&gt;=0.6,"Fast","Slow")))</f>
        <v>Fast</v>
      </c>
      <c r="M215">
        <f>IF(AND(ISNUMBER(Raw_Data[[#This Row],[Closing_Stock]]),ISNUMBER(Raw_Data[[#This Row],[Unit_Cost]])),Raw_Data[[#This Row],[Closing_Stock]]*Raw_Data[[#This Row],[Unit_Cost]],"")</f>
        <v>2793</v>
      </c>
      <c r="N215"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16" spans="1:14" x14ac:dyDescent="0.3">
      <c r="A216" t="s">
        <v>398</v>
      </c>
      <c r="B216" t="s">
        <v>224</v>
      </c>
      <c r="C216" t="s">
        <v>49</v>
      </c>
      <c r="D216" t="s">
        <v>32</v>
      </c>
      <c r="E216" s="3"/>
      <c r="F216">
        <v>264</v>
      </c>
      <c r="G216">
        <v>0</v>
      </c>
      <c r="H216">
        <v>264</v>
      </c>
      <c r="I216">
        <v>133</v>
      </c>
      <c r="J216" t="s">
        <v>14</v>
      </c>
      <c r="K216" s="4">
        <f>IF(AND(ISNUMBER(Raw_Data[[#This Row],[Opening_Stock]]),ISNUMBER(Raw_Data[[#This Row],[Units_Sold]]),Raw_Data[[#This Row],[Opening_Stock]]&gt;0),Raw_Data[[#This Row],[Units_Sold]]/Raw_Data[[#This Row],[Opening_Stock]],"")</f>
        <v>0</v>
      </c>
      <c r="L216" t="str">
        <f>IF(NOT(ISNUMBER(Raw_Data[[#This Row],[Sell_through%]])),"Check",IF(Raw_Data[[#This Row],[Sell_through%]]=0,"Non-moving",IF(Raw_Data[[#This Row],[Sell_through%]]&gt;=0.6,"Fast","Slow")))</f>
        <v>Non-moving</v>
      </c>
      <c r="M216">
        <f>IF(AND(ISNUMBER(Raw_Data[[#This Row],[Closing_Stock]]),ISNUMBER(Raw_Data[[#This Row],[Unit_Cost]])),Raw_Data[[#This Row],[Closing_Stock]]*Raw_Data[[#This Row],[Unit_Cost]],"")</f>
        <v>35112</v>
      </c>
      <c r="N21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17" spans="1:14" x14ac:dyDescent="0.3">
      <c r="A217" t="s">
        <v>401</v>
      </c>
      <c r="B217" t="s">
        <v>16</v>
      </c>
      <c r="C217" t="s">
        <v>12</v>
      </c>
      <c r="D217" t="s">
        <v>21</v>
      </c>
      <c r="E217" s="3">
        <v>46003</v>
      </c>
      <c r="F217">
        <v>455</v>
      </c>
      <c r="G217">
        <v>423</v>
      </c>
      <c r="H217">
        <v>32</v>
      </c>
      <c r="I217">
        <v>862</v>
      </c>
      <c r="J217" t="s">
        <v>17</v>
      </c>
      <c r="K217" s="4">
        <f>IF(AND(ISNUMBER(Raw_Data[[#This Row],[Opening_Stock]]),ISNUMBER(Raw_Data[[#This Row],[Units_Sold]]),Raw_Data[[#This Row],[Opening_Stock]]&gt;0),Raw_Data[[#This Row],[Units_Sold]]/Raw_Data[[#This Row],[Opening_Stock]],"")</f>
        <v>0.9296703296703297</v>
      </c>
      <c r="L217" t="str">
        <f>IF(NOT(ISNUMBER(Raw_Data[[#This Row],[Sell_through%]])),"Check",IF(Raw_Data[[#This Row],[Sell_through%]]=0,"Non-moving",IF(Raw_Data[[#This Row],[Sell_through%]]&gt;=0.6,"Fast","Slow")))</f>
        <v>Fast</v>
      </c>
      <c r="M217">
        <f>IF(AND(ISNUMBER(Raw_Data[[#This Row],[Closing_Stock]]),ISNUMBER(Raw_Data[[#This Row],[Unit_Cost]])),Raw_Data[[#This Row],[Closing_Stock]]*Raw_Data[[#This Row],[Unit_Cost]],"")</f>
        <v>27584</v>
      </c>
      <c r="N21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18" spans="1:14" x14ac:dyDescent="0.3">
      <c r="A218" t="s">
        <v>402</v>
      </c>
      <c r="B218" t="s">
        <v>45</v>
      </c>
      <c r="C218" t="s">
        <v>35</v>
      </c>
      <c r="D218" t="s">
        <v>21</v>
      </c>
      <c r="E218" s="3">
        <v>46068</v>
      </c>
      <c r="F218">
        <v>425</v>
      </c>
      <c r="G218">
        <v>147</v>
      </c>
      <c r="H218">
        <v>278</v>
      </c>
      <c r="I218">
        <v>1993</v>
      </c>
      <c r="J218" t="s">
        <v>14</v>
      </c>
      <c r="K218" s="4">
        <f>IF(AND(ISNUMBER(Raw_Data[[#This Row],[Opening_Stock]]),ISNUMBER(Raw_Data[[#This Row],[Units_Sold]]),Raw_Data[[#This Row],[Opening_Stock]]&gt;0),Raw_Data[[#This Row],[Units_Sold]]/Raw_Data[[#This Row],[Opening_Stock]],"")</f>
        <v>0.34588235294117647</v>
      </c>
      <c r="L218" t="str">
        <f>IF(NOT(ISNUMBER(Raw_Data[[#This Row],[Sell_through%]])),"Check",IF(Raw_Data[[#This Row],[Sell_through%]]=0,"Non-moving",IF(Raw_Data[[#This Row],[Sell_through%]]&gt;=0.6,"Fast","Slow")))</f>
        <v>Slow</v>
      </c>
      <c r="M218">
        <f>IF(AND(ISNUMBER(Raw_Data[[#This Row],[Closing_Stock]]),ISNUMBER(Raw_Data[[#This Row],[Unit_Cost]])),Raw_Data[[#This Row],[Closing_Stock]]*Raw_Data[[#This Row],[Unit_Cost]],"")</f>
        <v>554054</v>
      </c>
      <c r="N21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19" spans="1:14" x14ac:dyDescent="0.3">
      <c r="A219" t="s">
        <v>403</v>
      </c>
      <c r="B219" t="s">
        <v>262</v>
      </c>
      <c r="C219" t="s">
        <v>12</v>
      </c>
      <c r="D219" t="s">
        <v>36</v>
      </c>
      <c r="E219" s="3">
        <v>46220</v>
      </c>
      <c r="F219">
        <v>110</v>
      </c>
      <c r="G219">
        <v>96</v>
      </c>
      <c r="H219">
        <v>14</v>
      </c>
      <c r="I219">
        <v>1295</v>
      </c>
      <c r="J219" t="s">
        <v>17</v>
      </c>
      <c r="K219" s="4">
        <f>IF(AND(ISNUMBER(Raw_Data[[#This Row],[Opening_Stock]]),ISNUMBER(Raw_Data[[#This Row],[Units_Sold]]),Raw_Data[[#This Row],[Opening_Stock]]&gt;0),Raw_Data[[#This Row],[Units_Sold]]/Raw_Data[[#This Row],[Opening_Stock]],"")</f>
        <v>0.87272727272727268</v>
      </c>
      <c r="L219" t="str">
        <f>IF(NOT(ISNUMBER(Raw_Data[[#This Row],[Sell_through%]])),"Check",IF(Raw_Data[[#This Row],[Sell_through%]]=0,"Non-moving",IF(Raw_Data[[#This Row],[Sell_through%]]&gt;=0.6,"Fast","Slow")))</f>
        <v>Fast</v>
      </c>
      <c r="M219">
        <f>IF(AND(ISNUMBER(Raw_Data[[#This Row],[Closing_Stock]]),ISNUMBER(Raw_Data[[#This Row],[Unit_Cost]])),Raw_Data[[#This Row],[Closing_Stock]]*Raw_Data[[#This Row],[Unit_Cost]],"")</f>
        <v>18130</v>
      </c>
      <c r="N21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20" spans="1:14" x14ac:dyDescent="0.3">
      <c r="A220" t="s">
        <v>405</v>
      </c>
      <c r="B220" t="s">
        <v>131</v>
      </c>
      <c r="C220" t="s">
        <v>49</v>
      </c>
      <c r="D220" t="s">
        <v>13</v>
      </c>
      <c r="E220" s="3">
        <v>46052</v>
      </c>
      <c r="F220">
        <v>384</v>
      </c>
      <c r="G220">
        <v>317</v>
      </c>
      <c r="H220">
        <v>67</v>
      </c>
      <c r="I220">
        <v>2549</v>
      </c>
      <c r="J220" t="s">
        <v>14</v>
      </c>
      <c r="K220" s="4">
        <f>IF(AND(ISNUMBER(Raw_Data[[#This Row],[Opening_Stock]]),ISNUMBER(Raw_Data[[#This Row],[Units_Sold]]),Raw_Data[[#This Row],[Opening_Stock]]&gt;0),Raw_Data[[#This Row],[Units_Sold]]/Raw_Data[[#This Row],[Opening_Stock]],"")</f>
        <v>0.82552083333333337</v>
      </c>
      <c r="L220" t="str">
        <f>IF(NOT(ISNUMBER(Raw_Data[[#This Row],[Sell_through%]])),"Check",IF(Raw_Data[[#This Row],[Sell_through%]]=0,"Non-moving",IF(Raw_Data[[#This Row],[Sell_through%]]&gt;=0.6,"Fast","Slow")))</f>
        <v>Fast</v>
      </c>
      <c r="M220">
        <f>IF(AND(ISNUMBER(Raw_Data[[#This Row],[Closing_Stock]]),ISNUMBER(Raw_Data[[#This Row],[Unit_Cost]])),Raw_Data[[#This Row],[Closing_Stock]]*Raw_Data[[#This Row],[Unit_Cost]],"")</f>
        <v>170783</v>
      </c>
      <c r="N220"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21" spans="1:14" x14ac:dyDescent="0.3">
      <c r="A221" t="s">
        <v>406</v>
      </c>
      <c r="B221" t="s">
        <v>387</v>
      </c>
      <c r="C221" t="s">
        <v>12</v>
      </c>
      <c r="D221" t="s">
        <v>13</v>
      </c>
      <c r="E221" s="3"/>
      <c r="F221">
        <v>81</v>
      </c>
      <c r="G221">
        <v>0</v>
      </c>
      <c r="H221">
        <v>81</v>
      </c>
      <c r="I221">
        <v>430</v>
      </c>
      <c r="J221" t="s">
        <v>14</v>
      </c>
      <c r="K221" s="4">
        <f>IF(AND(ISNUMBER(Raw_Data[[#This Row],[Opening_Stock]]),ISNUMBER(Raw_Data[[#This Row],[Units_Sold]]),Raw_Data[[#This Row],[Opening_Stock]]&gt;0),Raw_Data[[#This Row],[Units_Sold]]/Raw_Data[[#This Row],[Opening_Stock]],"")</f>
        <v>0</v>
      </c>
      <c r="L221" t="str">
        <f>IF(NOT(ISNUMBER(Raw_Data[[#This Row],[Sell_through%]])),"Check",IF(Raw_Data[[#This Row],[Sell_through%]]=0,"Non-moving",IF(Raw_Data[[#This Row],[Sell_through%]]&gt;=0.6,"Fast","Slow")))</f>
        <v>Non-moving</v>
      </c>
      <c r="M221">
        <f>IF(AND(ISNUMBER(Raw_Data[[#This Row],[Closing_Stock]]),ISNUMBER(Raw_Data[[#This Row],[Unit_Cost]])),Raw_Data[[#This Row],[Closing_Stock]]*Raw_Data[[#This Row],[Unit_Cost]],"")</f>
        <v>34830</v>
      </c>
      <c r="N22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22" spans="1:14" x14ac:dyDescent="0.3">
      <c r="A222" t="s">
        <v>407</v>
      </c>
      <c r="B222" t="s">
        <v>243</v>
      </c>
      <c r="C222" t="s">
        <v>28</v>
      </c>
      <c r="D222" t="s">
        <v>13</v>
      </c>
      <c r="E222" s="3"/>
      <c r="F222">
        <v>492</v>
      </c>
      <c r="G222">
        <v>0</v>
      </c>
      <c r="H222">
        <v>492</v>
      </c>
      <c r="I222">
        <v>2834</v>
      </c>
      <c r="J222" t="s">
        <v>14</v>
      </c>
      <c r="K222" s="4">
        <f>IF(AND(ISNUMBER(Raw_Data[[#This Row],[Opening_Stock]]),ISNUMBER(Raw_Data[[#This Row],[Units_Sold]]),Raw_Data[[#This Row],[Opening_Stock]]&gt;0),Raw_Data[[#This Row],[Units_Sold]]/Raw_Data[[#This Row],[Opening_Stock]],"")</f>
        <v>0</v>
      </c>
      <c r="L222" t="str">
        <f>IF(NOT(ISNUMBER(Raw_Data[[#This Row],[Sell_through%]])),"Check",IF(Raw_Data[[#This Row],[Sell_through%]]=0,"Non-moving",IF(Raw_Data[[#This Row],[Sell_through%]]&gt;=0.6,"Fast","Slow")))</f>
        <v>Non-moving</v>
      </c>
      <c r="M222">
        <f>IF(AND(ISNUMBER(Raw_Data[[#This Row],[Closing_Stock]]),ISNUMBER(Raw_Data[[#This Row],[Unit_Cost]])),Raw_Data[[#This Row],[Closing_Stock]]*Raw_Data[[#This Row],[Unit_Cost]],"")</f>
        <v>1394328</v>
      </c>
      <c r="N22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23" spans="1:14" x14ac:dyDescent="0.3">
      <c r="A223" t="s">
        <v>409</v>
      </c>
      <c r="B223" t="s">
        <v>93</v>
      </c>
      <c r="C223" t="s">
        <v>12</v>
      </c>
      <c r="D223" t="s">
        <v>21</v>
      </c>
      <c r="E223" s="3">
        <v>46264</v>
      </c>
      <c r="F223">
        <v>355</v>
      </c>
      <c r="G223">
        <v>68</v>
      </c>
      <c r="H223">
        <v>287</v>
      </c>
      <c r="I223">
        <v>1697</v>
      </c>
      <c r="J223" t="s">
        <v>14</v>
      </c>
      <c r="K223" s="4">
        <f>IF(AND(ISNUMBER(Raw_Data[[#This Row],[Opening_Stock]]),ISNUMBER(Raw_Data[[#This Row],[Units_Sold]]),Raw_Data[[#This Row],[Opening_Stock]]&gt;0),Raw_Data[[#This Row],[Units_Sold]]/Raw_Data[[#This Row],[Opening_Stock]],"")</f>
        <v>0.19154929577464788</v>
      </c>
      <c r="L223" t="str">
        <f>IF(NOT(ISNUMBER(Raw_Data[[#This Row],[Sell_through%]])),"Check",IF(Raw_Data[[#This Row],[Sell_through%]]=0,"Non-moving",IF(Raw_Data[[#This Row],[Sell_through%]]&gt;=0.6,"Fast","Slow")))</f>
        <v>Slow</v>
      </c>
      <c r="M223">
        <f>IF(AND(ISNUMBER(Raw_Data[[#This Row],[Closing_Stock]]),ISNUMBER(Raw_Data[[#This Row],[Unit_Cost]])),Raw_Data[[#This Row],[Closing_Stock]]*Raw_Data[[#This Row],[Unit_Cost]],"")</f>
        <v>487039</v>
      </c>
      <c r="N22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24" spans="1:14" x14ac:dyDescent="0.3">
      <c r="A224" t="s">
        <v>411</v>
      </c>
      <c r="B224" t="s">
        <v>84</v>
      </c>
      <c r="C224" t="s">
        <v>28</v>
      </c>
      <c r="D224" t="s">
        <v>21</v>
      </c>
      <c r="E224" s="3"/>
      <c r="F224">
        <v>120</v>
      </c>
      <c r="G224">
        <v>0</v>
      </c>
      <c r="H224">
        <v>120</v>
      </c>
      <c r="I224">
        <v>1313</v>
      </c>
      <c r="J224" t="s">
        <v>14</v>
      </c>
      <c r="K224" s="4">
        <f>IF(AND(ISNUMBER(Raw_Data[[#This Row],[Opening_Stock]]),ISNUMBER(Raw_Data[[#This Row],[Units_Sold]]),Raw_Data[[#This Row],[Opening_Stock]]&gt;0),Raw_Data[[#This Row],[Units_Sold]]/Raw_Data[[#This Row],[Opening_Stock]],"")</f>
        <v>0</v>
      </c>
      <c r="L224" t="str">
        <f>IF(NOT(ISNUMBER(Raw_Data[[#This Row],[Sell_through%]])),"Check",IF(Raw_Data[[#This Row],[Sell_through%]]=0,"Non-moving",IF(Raw_Data[[#This Row],[Sell_through%]]&gt;=0.6,"Fast","Slow")))</f>
        <v>Non-moving</v>
      </c>
      <c r="M224">
        <f>IF(AND(ISNUMBER(Raw_Data[[#This Row],[Closing_Stock]]),ISNUMBER(Raw_Data[[#This Row],[Unit_Cost]])),Raw_Data[[#This Row],[Closing_Stock]]*Raw_Data[[#This Row],[Unit_Cost]],"")</f>
        <v>157560</v>
      </c>
      <c r="N22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25" spans="1:14" x14ac:dyDescent="0.3">
      <c r="A225" t="s">
        <v>413</v>
      </c>
      <c r="B225" t="s">
        <v>182</v>
      </c>
      <c r="C225" t="s">
        <v>12</v>
      </c>
      <c r="D225" t="s">
        <v>36</v>
      </c>
      <c r="E225" s="3">
        <v>46121</v>
      </c>
      <c r="F225">
        <v>397</v>
      </c>
      <c r="G225">
        <v>287</v>
      </c>
      <c r="H225">
        <v>110</v>
      </c>
      <c r="I225">
        <v>638</v>
      </c>
      <c r="J225" t="s">
        <v>14</v>
      </c>
      <c r="K225" s="4">
        <f>IF(AND(ISNUMBER(Raw_Data[[#This Row],[Opening_Stock]]),ISNUMBER(Raw_Data[[#This Row],[Units_Sold]]),Raw_Data[[#This Row],[Opening_Stock]]&gt;0),Raw_Data[[#This Row],[Units_Sold]]/Raw_Data[[#This Row],[Opening_Stock]],"")</f>
        <v>0.7229219143576826</v>
      </c>
      <c r="L225" t="str">
        <f>IF(NOT(ISNUMBER(Raw_Data[[#This Row],[Sell_through%]])),"Check",IF(Raw_Data[[#This Row],[Sell_through%]]=0,"Non-moving",IF(Raw_Data[[#This Row],[Sell_through%]]&gt;=0.6,"Fast","Slow")))</f>
        <v>Fast</v>
      </c>
      <c r="M225">
        <f>IF(AND(ISNUMBER(Raw_Data[[#This Row],[Closing_Stock]]),ISNUMBER(Raw_Data[[#This Row],[Unit_Cost]])),Raw_Data[[#This Row],[Closing_Stock]]*Raw_Data[[#This Row],[Unit_Cost]],"")</f>
        <v>70180</v>
      </c>
      <c r="N22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26" spans="1:14" x14ac:dyDescent="0.3">
      <c r="A226" t="s">
        <v>414</v>
      </c>
      <c r="B226" t="s">
        <v>415</v>
      </c>
      <c r="C226" t="s">
        <v>31</v>
      </c>
      <c r="D226" t="s">
        <v>32</v>
      </c>
      <c r="E226" s="3">
        <v>46173</v>
      </c>
      <c r="F226">
        <v>401</v>
      </c>
      <c r="G226">
        <v>106</v>
      </c>
      <c r="H226">
        <v>295</v>
      </c>
      <c r="I226">
        <v>1945</v>
      </c>
      <c r="J226" t="s">
        <v>14</v>
      </c>
      <c r="K226" s="4">
        <f>IF(AND(ISNUMBER(Raw_Data[[#This Row],[Opening_Stock]]),ISNUMBER(Raw_Data[[#This Row],[Units_Sold]]),Raw_Data[[#This Row],[Opening_Stock]]&gt;0),Raw_Data[[#This Row],[Units_Sold]]/Raw_Data[[#This Row],[Opening_Stock]],"")</f>
        <v>0.26433915211970077</v>
      </c>
      <c r="L226" t="str">
        <f>IF(NOT(ISNUMBER(Raw_Data[[#This Row],[Sell_through%]])),"Check",IF(Raw_Data[[#This Row],[Sell_through%]]=0,"Non-moving",IF(Raw_Data[[#This Row],[Sell_through%]]&gt;=0.6,"Fast","Slow")))</f>
        <v>Slow</v>
      </c>
      <c r="M226">
        <f>IF(AND(ISNUMBER(Raw_Data[[#This Row],[Closing_Stock]]),ISNUMBER(Raw_Data[[#This Row],[Unit_Cost]])),Raw_Data[[#This Row],[Closing_Stock]]*Raw_Data[[#This Row],[Unit_Cost]],"")</f>
        <v>573775</v>
      </c>
      <c r="N22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27" spans="1:14" x14ac:dyDescent="0.3">
      <c r="A227" t="s">
        <v>417</v>
      </c>
      <c r="B227" t="s">
        <v>1342</v>
      </c>
      <c r="C227" t="s">
        <v>28</v>
      </c>
      <c r="D227" t="s">
        <v>13</v>
      </c>
      <c r="E227" s="3">
        <v>46244</v>
      </c>
      <c r="F227">
        <v>362</v>
      </c>
      <c r="G227">
        <v>60</v>
      </c>
      <c r="H227">
        <v>302</v>
      </c>
      <c r="I227">
        <v>323</v>
      </c>
      <c r="J227" t="s">
        <v>14</v>
      </c>
      <c r="K227" s="4">
        <f>IF(AND(ISNUMBER(Raw_Data[[#This Row],[Opening_Stock]]),ISNUMBER(Raw_Data[[#This Row],[Units_Sold]]),Raw_Data[[#This Row],[Opening_Stock]]&gt;0),Raw_Data[[#This Row],[Units_Sold]]/Raw_Data[[#This Row],[Opening_Stock]],"")</f>
        <v>0.16574585635359115</v>
      </c>
      <c r="L227" t="str">
        <f>IF(NOT(ISNUMBER(Raw_Data[[#This Row],[Sell_through%]])),"Check",IF(Raw_Data[[#This Row],[Sell_through%]]=0,"Non-moving",IF(Raw_Data[[#This Row],[Sell_through%]]&gt;=0.6,"Fast","Slow")))</f>
        <v>Slow</v>
      </c>
      <c r="M227">
        <f>IF(AND(ISNUMBER(Raw_Data[[#This Row],[Closing_Stock]]),ISNUMBER(Raw_Data[[#This Row],[Unit_Cost]])),Raw_Data[[#This Row],[Closing_Stock]]*Raw_Data[[#This Row],[Unit_Cost]],"")</f>
        <v>97546</v>
      </c>
      <c r="N22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28" spans="1:14" x14ac:dyDescent="0.3">
      <c r="A228" t="s">
        <v>419</v>
      </c>
      <c r="B228" t="s">
        <v>189</v>
      </c>
      <c r="C228" t="s">
        <v>49</v>
      </c>
      <c r="D228" t="s">
        <v>32</v>
      </c>
      <c r="E228" s="3"/>
      <c r="F228">
        <v>98</v>
      </c>
      <c r="G228">
        <v>0</v>
      </c>
      <c r="H228">
        <v>98</v>
      </c>
      <c r="I228">
        <v>846</v>
      </c>
      <c r="J228" t="s">
        <v>14</v>
      </c>
      <c r="K228" s="4">
        <f>IF(AND(ISNUMBER(Raw_Data[[#This Row],[Opening_Stock]]),ISNUMBER(Raw_Data[[#This Row],[Units_Sold]]),Raw_Data[[#This Row],[Opening_Stock]]&gt;0),Raw_Data[[#This Row],[Units_Sold]]/Raw_Data[[#This Row],[Opening_Stock]],"")</f>
        <v>0</v>
      </c>
      <c r="L228" t="str">
        <f>IF(NOT(ISNUMBER(Raw_Data[[#This Row],[Sell_through%]])),"Check",IF(Raw_Data[[#This Row],[Sell_through%]]=0,"Non-moving",IF(Raw_Data[[#This Row],[Sell_through%]]&gt;=0.6,"Fast","Slow")))</f>
        <v>Non-moving</v>
      </c>
      <c r="M228">
        <f>IF(AND(ISNUMBER(Raw_Data[[#This Row],[Closing_Stock]]),ISNUMBER(Raw_Data[[#This Row],[Unit_Cost]])),Raw_Data[[#This Row],[Closing_Stock]]*Raw_Data[[#This Row],[Unit_Cost]],"")</f>
        <v>82908</v>
      </c>
      <c r="N22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29" spans="1:14" x14ac:dyDescent="0.3">
      <c r="A229" t="s">
        <v>420</v>
      </c>
      <c r="B229" t="s">
        <v>95</v>
      </c>
      <c r="C229" t="s">
        <v>31</v>
      </c>
      <c r="D229" t="s">
        <v>32</v>
      </c>
      <c r="E229" s="3">
        <v>46167</v>
      </c>
      <c r="F229">
        <v>324</v>
      </c>
      <c r="G229">
        <v>48</v>
      </c>
      <c r="H229">
        <v>276</v>
      </c>
      <c r="I229">
        <v>2072</v>
      </c>
      <c r="J229" t="s">
        <v>14</v>
      </c>
      <c r="K229" s="4">
        <f>IF(AND(ISNUMBER(Raw_Data[[#This Row],[Opening_Stock]]),ISNUMBER(Raw_Data[[#This Row],[Units_Sold]]),Raw_Data[[#This Row],[Opening_Stock]]&gt;0),Raw_Data[[#This Row],[Units_Sold]]/Raw_Data[[#This Row],[Opening_Stock]],"")</f>
        <v>0.14814814814814814</v>
      </c>
      <c r="L229" t="str">
        <f>IF(NOT(ISNUMBER(Raw_Data[[#This Row],[Sell_through%]])),"Check",IF(Raw_Data[[#This Row],[Sell_through%]]=0,"Non-moving",IF(Raw_Data[[#This Row],[Sell_through%]]&gt;=0.6,"Fast","Slow")))</f>
        <v>Slow</v>
      </c>
      <c r="M229">
        <f>IF(AND(ISNUMBER(Raw_Data[[#This Row],[Closing_Stock]]),ISNUMBER(Raw_Data[[#This Row],[Unit_Cost]])),Raw_Data[[#This Row],[Closing_Stock]]*Raw_Data[[#This Row],[Unit_Cost]],"")</f>
        <v>571872</v>
      </c>
      <c r="N22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30" spans="1:14" x14ac:dyDescent="0.3">
      <c r="A230" t="s">
        <v>421</v>
      </c>
      <c r="B230" t="s">
        <v>422</v>
      </c>
      <c r="D230" t="s">
        <v>36</v>
      </c>
      <c r="E230" s="3">
        <v>46048</v>
      </c>
      <c r="F230">
        <v>473</v>
      </c>
      <c r="G230">
        <v>468</v>
      </c>
      <c r="H230">
        <v>5</v>
      </c>
      <c r="I230">
        <v>663</v>
      </c>
      <c r="J230" t="s">
        <v>17</v>
      </c>
      <c r="K230" s="4">
        <f>IF(AND(ISNUMBER(Raw_Data[[#This Row],[Opening_Stock]]),ISNUMBER(Raw_Data[[#This Row],[Units_Sold]]),Raw_Data[[#This Row],[Opening_Stock]]&gt;0),Raw_Data[[#This Row],[Units_Sold]]/Raw_Data[[#This Row],[Opening_Stock]],"")</f>
        <v>0.98942917547568709</v>
      </c>
      <c r="L230" t="str">
        <f>IF(NOT(ISNUMBER(Raw_Data[[#This Row],[Sell_through%]])),"Check",IF(Raw_Data[[#This Row],[Sell_through%]]=0,"Non-moving",IF(Raw_Data[[#This Row],[Sell_through%]]&gt;=0.6,"Fast","Slow")))</f>
        <v>Fast</v>
      </c>
      <c r="M230">
        <f>IF(AND(ISNUMBER(Raw_Data[[#This Row],[Closing_Stock]]),ISNUMBER(Raw_Data[[#This Row],[Unit_Cost]])),Raw_Data[[#This Row],[Closing_Stock]]*Raw_Data[[#This Row],[Unit_Cost]],"")</f>
        <v>3315</v>
      </c>
      <c r="N23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31" spans="1:14" x14ac:dyDescent="0.3">
      <c r="A231" t="s">
        <v>423</v>
      </c>
      <c r="B231" t="s">
        <v>93</v>
      </c>
      <c r="C231" t="s">
        <v>12</v>
      </c>
      <c r="D231" t="s">
        <v>21</v>
      </c>
      <c r="E231" s="3">
        <v>46105</v>
      </c>
      <c r="F231">
        <v>380</v>
      </c>
      <c r="G231">
        <v>148</v>
      </c>
      <c r="H231">
        <v>232</v>
      </c>
      <c r="I231">
        <v>2605</v>
      </c>
      <c r="K231" s="4">
        <f>IF(AND(ISNUMBER(Raw_Data[[#This Row],[Opening_Stock]]),ISNUMBER(Raw_Data[[#This Row],[Units_Sold]]),Raw_Data[[#This Row],[Opening_Stock]]&gt;0),Raw_Data[[#This Row],[Units_Sold]]/Raw_Data[[#This Row],[Opening_Stock]],"")</f>
        <v>0.38947368421052631</v>
      </c>
      <c r="L231" t="str">
        <f>IF(NOT(ISNUMBER(Raw_Data[[#This Row],[Sell_through%]])),"Check",IF(Raw_Data[[#This Row],[Sell_through%]]=0,"Non-moving",IF(Raw_Data[[#This Row],[Sell_through%]]&gt;=0.6,"Fast","Slow")))</f>
        <v>Slow</v>
      </c>
      <c r="M231">
        <f>IF(AND(ISNUMBER(Raw_Data[[#This Row],[Closing_Stock]]),ISNUMBER(Raw_Data[[#This Row],[Unit_Cost]])),Raw_Data[[#This Row],[Closing_Stock]]*Raw_Data[[#This Row],[Unit_Cost]],"")</f>
        <v>604360</v>
      </c>
      <c r="N23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32" spans="1:14" x14ac:dyDescent="0.3">
      <c r="A232" t="s">
        <v>425</v>
      </c>
      <c r="B232" t="s">
        <v>80</v>
      </c>
      <c r="C232" t="s">
        <v>12</v>
      </c>
      <c r="D232" t="s">
        <v>36</v>
      </c>
      <c r="E232" s="3"/>
      <c r="F232">
        <v>361</v>
      </c>
      <c r="G232">
        <v>0</v>
      </c>
      <c r="H232">
        <v>361</v>
      </c>
      <c r="I232">
        <v>2393</v>
      </c>
      <c r="J232" t="s">
        <v>14</v>
      </c>
      <c r="K232" s="4">
        <f>IF(AND(ISNUMBER(Raw_Data[[#This Row],[Opening_Stock]]),ISNUMBER(Raw_Data[[#This Row],[Units_Sold]]),Raw_Data[[#This Row],[Opening_Stock]]&gt;0),Raw_Data[[#This Row],[Units_Sold]]/Raw_Data[[#This Row],[Opening_Stock]],"")</f>
        <v>0</v>
      </c>
      <c r="L232" t="str">
        <f>IF(NOT(ISNUMBER(Raw_Data[[#This Row],[Sell_through%]])),"Check",IF(Raw_Data[[#This Row],[Sell_through%]]=0,"Non-moving",IF(Raw_Data[[#This Row],[Sell_through%]]&gt;=0.6,"Fast","Slow")))</f>
        <v>Non-moving</v>
      </c>
      <c r="M232">
        <f>IF(AND(ISNUMBER(Raw_Data[[#This Row],[Closing_Stock]]),ISNUMBER(Raw_Data[[#This Row],[Unit_Cost]])),Raw_Data[[#This Row],[Closing_Stock]]*Raw_Data[[#This Row],[Unit_Cost]],"")</f>
        <v>863873</v>
      </c>
      <c r="N23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33" spans="1:14" x14ac:dyDescent="0.3">
      <c r="A233" t="s">
        <v>426</v>
      </c>
      <c r="B233" t="s">
        <v>236</v>
      </c>
      <c r="C233" t="s">
        <v>12</v>
      </c>
      <c r="D233" t="s">
        <v>13</v>
      </c>
      <c r="E233" s="3"/>
      <c r="F233">
        <v>328</v>
      </c>
      <c r="G233">
        <v>0</v>
      </c>
      <c r="H233">
        <v>328</v>
      </c>
      <c r="I233">
        <v>2809</v>
      </c>
      <c r="J233" t="s">
        <v>14</v>
      </c>
      <c r="K233" s="4">
        <f>IF(AND(ISNUMBER(Raw_Data[[#This Row],[Opening_Stock]]),ISNUMBER(Raw_Data[[#This Row],[Units_Sold]]),Raw_Data[[#This Row],[Opening_Stock]]&gt;0),Raw_Data[[#This Row],[Units_Sold]]/Raw_Data[[#This Row],[Opening_Stock]],"")</f>
        <v>0</v>
      </c>
      <c r="L233" t="str">
        <f>IF(NOT(ISNUMBER(Raw_Data[[#This Row],[Sell_through%]])),"Check",IF(Raw_Data[[#This Row],[Sell_through%]]=0,"Non-moving",IF(Raw_Data[[#This Row],[Sell_through%]]&gt;=0.6,"Fast","Slow")))</f>
        <v>Non-moving</v>
      </c>
      <c r="M233">
        <f>IF(AND(ISNUMBER(Raw_Data[[#This Row],[Closing_Stock]]),ISNUMBER(Raw_Data[[#This Row],[Unit_Cost]])),Raw_Data[[#This Row],[Closing_Stock]]*Raw_Data[[#This Row],[Unit_Cost]],"")</f>
        <v>921352</v>
      </c>
      <c r="N23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34" spans="1:14" x14ac:dyDescent="0.3">
      <c r="A234" t="s">
        <v>427</v>
      </c>
      <c r="B234" t="s">
        <v>84</v>
      </c>
      <c r="C234" t="s">
        <v>28</v>
      </c>
      <c r="D234" t="s">
        <v>36</v>
      </c>
      <c r="E234" s="3">
        <v>46262</v>
      </c>
      <c r="F234">
        <v>105</v>
      </c>
      <c r="G234">
        <v>104</v>
      </c>
      <c r="H234">
        <v>1</v>
      </c>
      <c r="I234">
        <v>394</v>
      </c>
      <c r="J234" t="s">
        <v>17</v>
      </c>
      <c r="K234" s="4">
        <f>IF(AND(ISNUMBER(Raw_Data[[#This Row],[Opening_Stock]]),ISNUMBER(Raw_Data[[#This Row],[Units_Sold]]),Raw_Data[[#This Row],[Opening_Stock]]&gt;0),Raw_Data[[#This Row],[Units_Sold]]/Raw_Data[[#This Row],[Opening_Stock]],"")</f>
        <v>0.99047619047619051</v>
      </c>
      <c r="L234" t="str">
        <f>IF(NOT(ISNUMBER(Raw_Data[[#This Row],[Sell_through%]])),"Check",IF(Raw_Data[[#This Row],[Sell_through%]]=0,"Non-moving",IF(Raw_Data[[#This Row],[Sell_through%]]&gt;=0.6,"Fast","Slow")))</f>
        <v>Fast</v>
      </c>
      <c r="M234">
        <f>IF(AND(ISNUMBER(Raw_Data[[#This Row],[Closing_Stock]]),ISNUMBER(Raw_Data[[#This Row],[Unit_Cost]])),Raw_Data[[#This Row],[Closing_Stock]]*Raw_Data[[#This Row],[Unit_Cost]],"")</f>
        <v>394</v>
      </c>
      <c r="N23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35" spans="1:14" x14ac:dyDescent="0.3">
      <c r="A235" t="s">
        <v>429</v>
      </c>
      <c r="B235" t="s">
        <v>189</v>
      </c>
      <c r="C235" t="s">
        <v>49</v>
      </c>
      <c r="D235" t="s">
        <v>13</v>
      </c>
      <c r="E235" s="3"/>
      <c r="F235">
        <v>452</v>
      </c>
      <c r="G235">
        <v>0</v>
      </c>
      <c r="H235">
        <v>452</v>
      </c>
      <c r="I235">
        <v>779</v>
      </c>
      <c r="J235" t="s">
        <v>14</v>
      </c>
      <c r="K235" s="4">
        <f>IF(AND(ISNUMBER(Raw_Data[[#This Row],[Opening_Stock]]),ISNUMBER(Raw_Data[[#This Row],[Units_Sold]]),Raw_Data[[#This Row],[Opening_Stock]]&gt;0),Raw_Data[[#This Row],[Units_Sold]]/Raw_Data[[#This Row],[Opening_Stock]],"")</f>
        <v>0</v>
      </c>
      <c r="L235" t="str">
        <f>IF(NOT(ISNUMBER(Raw_Data[[#This Row],[Sell_through%]])),"Check",IF(Raw_Data[[#This Row],[Sell_through%]]=0,"Non-moving",IF(Raw_Data[[#This Row],[Sell_through%]]&gt;=0.6,"Fast","Slow")))</f>
        <v>Non-moving</v>
      </c>
      <c r="M235">
        <f>IF(AND(ISNUMBER(Raw_Data[[#This Row],[Closing_Stock]]),ISNUMBER(Raw_Data[[#This Row],[Unit_Cost]])),Raw_Data[[#This Row],[Closing_Stock]]*Raw_Data[[#This Row],[Unit_Cost]],"")</f>
        <v>352108</v>
      </c>
      <c r="N23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36" spans="1:14" x14ac:dyDescent="0.3">
      <c r="A236" t="s">
        <v>430</v>
      </c>
      <c r="B236" t="s">
        <v>551</v>
      </c>
      <c r="C236" t="s">
        <v>12</v>
      </c>
      <c r="D236" t="s">
        <v>32</v>
      </c>
      <c r="E236" s="3">
        <v>46050</v>
      </c>
      <c r="G236">
        <v>88</v>
      </c>
      <c r="H236">
        <v>296</v>
      </c>
      <c r="I236">
        <v>655</v>
      </c>
      <c r="J236" t="s">
        <v>14</v>
      </c>
      <c r="K236" s="4" t="str">
        <f>IF(AND(ISNUMBER(Raw_Data[[#This Row],[Opening_Stock]]),ISNUMBER(Raw_Data[[#This Row],[Units_Sold]]),Raw_Data[[#This Row],[Opening_Stock]]&gt;0),Raw_Data[[#This Row],[Units_Sold]]/Raw_Data[[#This Row],[Opening_Stock]],"")</f>
        <v/>
      </c>
      <c r="L236" t="str">
        <f>IF(NOT(ISNUMBER(Raw_Data[[#This Row],[Sell_through%]])),"Check",IF(Raw_Data[[#This Row],[Sell_through%]]=0,"Non-moving",IF(Raw_Data[[#This Row],[Sell_through%]]&gt;=0.6,"Fast","Slow")))</f>
        <v>Check</v>
      </c>
      <c r="M236">
        <f>IF(AND(ISNUMBER(Raw_Data[[#This Row],[Closing_Stock]]),ISNUMBER(Raw_Data[[#This Row],[Unit_Cost]])),Raw_Data[[#This Row],[Closing_Stock]]*Raw_Data[[#This Row],[Unit_Cost]],"")</f>
        <v>193880</v>
      </c>
      <c r="N236"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37" spans="1:14" x14ac:dyDescent="0.3">
      <c r="A237" t="s">
        <v>432</v>
      </c>
      <c r="B237" t="s">
        <v>224</v>
      </c>
      <c r="C237" t="s">
        <v>49</v>
      </c>
      <c r="D237" t="s">
        <v>32</v>
      </c>
      <c r="E237" s="3">
        <v>46286</v>
      </c>
      <c r="F237">
        <v>175</v>
      </c>
      <c r="G237">
        <v>67</v>
      </c>
      <c r="H237">
        <v>108</v>
      </c>
      <c r="I237">
        <v>1731</v>
      </c>
      <c r="J237" t="s">
        <v>14</v>
      </c>
      <c r="K237" s="4">
        <f>IF(AND(ISNUMBER(Raw_Data[[#This Row],[Opening_Stock]]),ISNUMBER(Raw_Data[[#This Row],[Units_Sold]]),Raw_Data[[#This Row],[Opening_Stock]]&gt;0),Raw_Data[[#This Row],[Units_Sold]]/Raw_Data[[#This Row],[Opening_Stock]],"")</f>
        <v>0.38285714285714284</v>
      </c>
      <c r="L237" t="str">
        <f>IF(NOT(ISNUMBER(Raw_Data[[#This Row],[Sell_through%]])),"Check",IF(Raw_Data[[#This Row],[Sell_through%]]=0,"Non-moving",IF(Raw_Data[[#This Row],[Sell_through%]]&gt;=0.6,"Fast","Slow")))</f>
        <v>Slow</v>
      </c>
      <c r="M237">
        <f>IF(AND(ISNUMBER(Raw_Data[[#This Row],[Closing_Stock]]),ISNUMBER(Raw_Data[[#This Row],[Unit_Cost]])),Raw_Data[[#This Row],[Closing_Stock]]*Raw_Data[[#This Row],[Unit_Cost]],"")</f>
        <v>186948</v>
      </c>
      <c r="N23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38" spans="1:14" x14ac:dyDescent="0.3">
      <c r="A238" t="s">
        <v>433</v>
      </c>
      <c r="B238" t="s">
        <v>434</v>
      </c>
      <c r="C238" t="s">
        <v>31</v>
      </c>
      <c r="D238" t="s">
        <v>36</v>
      </c>
      <c r="E238" s="3"/>
      <c r="F238">
        <v>446</v>
      </c>
      <c r="G238">
        <v>0</v>
      </c>
      <c r="H238">
        <v>446</v>
      </c>
      <c r="I238">
        <v>920</v>
      </c>
      <c r="K238" s="4">
        <f>IF(AND(ISNUMBER(Raw_Data[[#This Row],[Opening_Stock]]),ISNUMBER(Raw_Data[[#This Row],[Units_Sold]]),Raw_Data[[#This Row],[Opening_Stock]]&gt;0),Raw_Data[[#This Row],[Units_Sold]]/Raw_Data[[#This Row],[Opening_Stock]],"")</f>
        <v>0</v>
      </c>
      <c r="L238" t="str">
        <f>IF(NOT(ISNUMBER(Raw_Data[[#This Row],[Sell_through%]])),"Check",IF(Raw_Data[[#This Row],[Sell_through%]]=0,"Non-moving",IF(Raw_Data[[#This Row],[Sell_through%]]&gt;=0.6,"Fast","Slow")))</f>
        <v>Non-moving</v>
      </c>
      <c r="M238">
        <f>IF(AND(ISNUMBER(Raw_Data[[#This Row],[Closing_Stock]]),ISNUMBER(Raw_Data[[#This Row],[Unit_Cost]])),Raw_Data[[#This Row],[Closing_Stock]]*Raw_Data[[#This Row],[Unit_Cost]],"")</f>
        <v>410320</v>
      </c>
      <c r="N238"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39" spans="1:14" x14ac:dyDescent="0.3">
      <c r="A239" t="s">
        <v>436</v>
      </c>
      <c r="B239" t="s">
        <v>387</v>
      </c>
      <c r="C239" t="s">
        <v>12</v>
      </c>
      <c r="D239" t="s">
        <v>32</v>
      </c>
      <c r="E239" s="3">
        <v>46027</v>
      </c>
      <c r="F239">
        <v>423</v>
      </c>
      <c r="G239">
        <v>144</v>
      </c>
      <c r="H239">
        <v>279</v>
      </c>
      <c r="I239">
        <v>2205</v>
      </c>
      <c r="J239" t="s">
        <v>14</v>
      </c>
      <c r="K239" s="4">
        <f>IF(AND(ISNUMBER(Raw_Data[[#This Row],[Opening_Stock]]),ISNUMBER(Raw_Data[[#This Row],[Units_Sold]]),Raw_Data[[#This Row],[Opening_Stock]]&gt;0),Raw_Data[[#This Row],[Units_Sold]]/Raw_Data[[#This Row],[Opening_Stock]],"")</f>
        <v>0.34042553191489361</v>
      </c>
      <c r="L239" t="str">
        <f>IF(NOT(ISNUMBER(Raw_Data[[#This Row],[Sell_through%]])),"Check",IF(Raw_Data[[#This Row],[Sell_through%]]=0,"Non-moving",IF(Raw_Data[[#This Row],[Sell_through%]]&gt;=0.6,"Fast","Slow")))</f>
        <v>Slow</v>
      </c>
      <c r="M239">
        <f>IF(AND(ISNUMBER(Raw_Data[[#This Row],[Closing_Stock]]),ISNUMBER(Raw_Data[[#This Row],[Unit_Cost]])),Raw_Data[[#This Row],[Closing_Stock]]*Raw_Data[[#This Row],[Unit_Cost]],"")</f>
        <v>615195</v>
      </c>
      <c r="N23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40" spans="1:14" x14ac:dyDescent="0.3">
      <c r="A240" t="s">
        <v>437</v>
      </c>
      <c r="B240" t="s">
        <v>182</v>
      </c>
      <c r="C240" t="s">
        <v>12</v>
      </c>
      <c r="D240" t="s">
        <v>13</v>
      </c>
      <c r="E240" s="3">
        <v>46058</v>
      </c>
      <c r="F240">
        <v>301</v>
      </c>
      <c r="G240">
        <v>114</v>
      </c>
      <c r="H240">
        <v>187</v>
      </c>
      <c r="I240">
        <v>887</v>
      </c>
      <c r="J240" t="s">
        <v>14</v>
      </c>
      <c r="K240" s="4">
        <f>IF(AND(ISNUMBER(Raw_Data[[#This Row],[Opening_Stock]]),ISNUMBER(Raw_Data[[#This Row],[Units_Sold]]),Raw_Data[[#This Row],[Opening_Stock]]&gt;0),Raw_Data[[#This Row],[Units_Sold]]/Raw_Data[[#This Row],[Opening_Stock]],"")</f>
        <v>0.37873754152823919</v>
      </c>
      <c r="L240" t="str">
        <f>IF(NOT(ISNUMBER(Raw_Data[[#This Row],[Sell_through%]])),"Check",IF(Raw_Data[[#This Row],[Sell_through%]]=0,"Non-moving",IF(Raw_Data[[#This Row],[Sell_through%]]&gt;=0.6,"Fast","Slow")))</f>
        <v>Slow</v>
      </c>
      <c r="M240">
        <f>IF(AND(ISNUMBER(Raw_Data[[#This Row],[Closing_Stock]]),ISNUMBER(Raw_Data[[#This Row],[Unit_Cost]])),Raw_Data[[#This Row],[Closing_Stock]]*Raw_Data[[#This Row],[Unit_Cost]],"")</f>
        <v>165869</v>
      </c>
      <c r="N24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41" spans="1:14" x14ac:dyDescent="0.3">
      <c r="A241" t="s">
        <v>439</v>
      </c>
      <c r="B241" t="s">
        <v>48</v>
      </c>
      <c r="C241" t="s">
        <v>49</v>
      </c>
      <c r="D241" t="s">
        <v>32</v>
      </c>
      <c r="E241" s="3"/>
      <c r="G241">
        <v>0</v>
      </c>
      <c r="H241">
        <v>157</v>
      </c>
      <c r="I241">
        <v>1094</v>
      </c>
      <c r="J241" t="s">
        <v>14</v>
      </c>
      <c r="K241" s="4" t="str">
        <f>IF(AND(ISNUMBER(Raw_Data[[#This Row],[Opening_Stock]]),ISNUMBER(Raw_Data[[#This Row],[Units_Sold]]),Raw_Data[[#This Row],[Opening_Stock]]&gt;0),Raw_Data[[#This Row],[Units_Sold]]/Raw_Data[[#This Row],[Opening_Stock]],"")</f>
        <v/>
      </c>
      <c r="L241" t="str">
        <f>IF(NOT(ISNUMBER(Raw_Data[[#This Row],[Sell_through%]])),"Check",IF(Raw_Data[[#This Row],[Sell_through%]]=0,"Non-moving",IF(Raw_Data[[#This Row],[Sell_through%]]&gt;=0.6,"Fast","Slow")))</f>
        <v>Check</v>
      </c>
      <c r="M241">
        <f>IF(AND(ISNUMBER(Raw_Data[[#This Row],[Closing_Stock]]),ISNUMBER(Raw_Data[[#This Row],[Unit_Cost]])),Raw_Data[[#This Row],[Closing_Stock]]*Raw_Data[[#This Row],[Unit_Cost]],"")</f>
        <v>171758</v>
      </c>
      <c r="N24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42" spans="1:14" x14ac:dyDescent="0.3">
      <c r="A242" t="s">
        <v>440</v>
      </c>
      <c r="B242" t="s">
        <v>124</v>
      </c>
      <c r="C242" t="s">
        <v>28</v>
      </c>
      <c r="D242" t="s">
        <v>13</v>
      </c>
      <c r="E242" s="3">
        <v>46249</v>
      </c>
      <c r="F242">
        <v>175</v>
      </c>
      <c r="G242">
        <v>127</v>
      </c>
      <c r="H242">
        <v>48</v>
      </c>
      <c r="I242">
        <v>1007</v>
      </c>
      <c r="J242" t="s">
        <v>17</v>
      </c>
      <c r="K242" s="4">
        <f>IF(AND(ISNUMBER(Raw_Data[[#This Row],[Opening_Stock]]),ISNUMBER(Raw_Data[[#This Row],[Units_Sold]]),Raw_Data[[#This Row],[Opening_Stock]]&gt;0),Raw_Data[[#This Row],[Units_Sold]]/Raw_Data[[#This Row],[Opening_Stock]],"")</f>
        <v>0.72571428571428576</v>
      </c>
      <c r="L242" t="str">
        <f>IF(NOT(ISNUMBER(Raw_Data[[#This Row],[Sell_through%]])),"Check",IF(Raw_Data[[#This Row],[Sell_through%]]=0,"Non-moving",IF(Raw_Data[[#This Row],[Sell_through%]]&gt;=0.6,"Fast","Slow")))</f>
        <v>Fast</v>
      </c>
      <c r="M242">
        <f>IF(AND(ISNUMBER(Raw_Data[[#This Row],[Closing_Stock]]),ISNUMBER(Raw_Data[[#This Row],[Unit_Cost]])),Raw_Data[[#This Row],[Closing_Stock]]*Raw_Data[[#This Row],[Unit_Cost]],"")</f>
        <v>48336</v>
      </c>
      <c r="N242"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43" spans="1:14" x14ac:dyDescent="0.3">
      <c r="A243" t="s">
        <v>442</v>
      </c>
      <c r="B243" t="s">
        <v>105</v>
      </c>
      <c r="C243" t="s">
        <v>28</v>
      </c>
      <c r="D243" t="s">
        <v>21</v>
      </c>
      <c r="E243" s="3">
        <v>46166</v>
      </c>
      <c r="F243">
        <v>129</v>
      </c>
      <c r="G243">
        <v>122</v>
      </c>
      <c r="H243">
        <v>7</v>
      </c>
      <c r="I243">
        <v>877</v>
      </c>
      <c r="J243" t="s">
        <v>17</v>
      </c>
      <c r="K243" s="4">
        <f>IF(AND(ISNUMBER(Raw_Data[[#This Row],[Opening_Stock]]),ISNUMBER(Raw_Data[[#This Row],[Units_Sold]]),Raw_Data[[#This Row],[Opening_Stock]]&gt;0),Raw_Data[[#This Row],[Units_Sold]]/Raw_Data[[#This Row],[Opening_Stock]],"")</f>
        <v>0.94573643410852715</v>
      </c>
      <c r="L243" t="str">
        <f>IF(NOT(ISNUMBER(Raw_Data[[#This Row],[Sell_through%]])),"Check",IF(Raw_Data[[#This Row],[Sell_through%]]=0,"Non-moving",IF(Raw_Data[[#This Row],[Sell_through%]]&gt;=0.6,"Fast","Slow")))</f>
        <v>Fast</v>
      </c>
      <c r="M243">
        <f>IF(AND(ISNUMBER(Raw_Data[[#This Row],[Closing_Stock]]),ISNUMBER(Raw_Data[[#This Row],[Unit_Cost]])),Raw_Data[[#This Row],[Closing_Stock]]*Raw_Data[[#This Row],[Unit_Cost]],"")</f>
        <v>6139</v>
      </c>
      <c r="N243"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44" spans="1:14" x14ac:dyDescent="0.3">
      <c r="A244" t="s">
        <v>443</v>
      </c>
      <c r="B244" t="s">
        <v>234</v>
      </c>
      <c r="C244" t="s">
        <v>28</v>
      </c>
      <c r="D244" t="s">
        <v>36</v>
      </c>
      <c r="E244" s="3">
        <v>46063</v>
      </c>
      <c r="F244">
        <v>97</v>
      </c>
      <c r="G244">
        <v>81</v>
      </c>
      <c r="H244">
        <v>16</v>
      </c>
      <c r="I244">
        <v>1975</v>
      </c>
      <c r="J244" t="s">
        <v>17</v>
      </c>
      <c r="K244" s="4">
        <f>IF(AND(ISNUMBER(Raw_Data[[#This Row],[Opening_Stock]]),ISNUMBER(Raw_Data[[#This Row],[Units_Sold]]),Raw_Data[[#This Row],[Opening_Stock]]&gt;0),Raw_Data[[#This Row],[Units_Sold]]/Raw_Data[[#This Row],[Opening_Stock]],"")</f>
        <v>0.83505154639175261</v>
      </c>
      <c r="L244" t="str">
        <f>IF(NOT(ISNUMBER(Raw_Data[[#This Row],[Sell_through%]])),"Check",IF(Raw_Data[[#This Row],[Sell_through%]]=0,"Non-moving",IF(Raw_Data[[#This Row],[Sell_through%]]&gt;=0.6,"Fast","Slow")))</f>
        <v>Fast</v>
      </c>
      <c r="M244">
        <f>IF(AND(ISNUMBER(Raw_Data[[#This Row],[Closing_Stock]]),ISNUMBER(Raw_Data[[#This Row],[Unit_Cost]])),Raw_Data[[#This Row],[Closing_Stock]]*Raw_Data[[#This Row],[Unit_Cost]],"")</f>
        <v>31600</v>
      </c>
      <c r="N24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45" spans="1:14" x14ac:dyDescent="0.3">
      <c r="A245" t="s">
        <v>444</v>
      </c>
      <c r="B245" t="s">
        <v>189</v>
      </c>
      <c r="C245" t="s">
        <v>49</v>
      </c>
      <c r="D245" t="s">
        <v>21</v>
      </c>
      <c r="E245" s="3">
        <v>46243</v>
      </c>
      <c r="F245">
        <v>395</v>
      </c>
      <c r="G245">
        <v>95</v>
      </c>
      <c r="H245">
        <v>300</v>
      </c>
      <c r="I245">
        <v>2158</v>
      </c>
      <c r="J245" t="s">
        <v>14</v>
      </c>
      <c r="K245" s="4">
        <f>IF(AND(ISNUMBER(Raw_Data[[#This Row],[Opening_Stock]]),ISNUMBER(Raw_Data[[#This Row],[Units_Sold]]),Raw_Data[[#This Row],[Opening_Stock]]&gt;0),Raw_Data[[#This Row],[Units_Sold]]/Raw_Data[[#This Row],[Opening_Stock]],"")</f>
        <v>0.24050632911392406</v>
      </c>
      <c r="L245" t="str">
        <f>IF(NOT(ISNUMBER(Raw_Data[[#This Row],[Sell_through%]])),"Check",IF(Raw_Data[[#This Row],[Sell_through%]]=0,"Non-moving",IF(Raw_Data[[#This Row],[Sell_through%]]&gt;=0.6,"Fast","Slow")))</f>
        <v>Slow</v>
      </c>
      <c r="M245">
        <f>IF(AND(ISNUMBER(Raw_Data[[#This Row],[Closing_Stock]]),ISNUMBER(Raw_Data[[#This Row],[Unit_Cost]])),Raw_Data[[#This Row],[Closing_Stock]]*Raw_Data[[#This Row],[Unit_Cost]],"")</f>
        <v>647400</v>
      </c>
      <c r="N24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46" spans="1:14" x14ac:dyDescent="0.3">
      <c r="A246" t="s">
        <v>445</v>
      </c>
      <c r="B246" t="s">
        <v>189</v>
      </c>
      <c r="C246" t="s">
        <v>49</v>
      </c>
      <c r="D246" t="s">
        <v>13</v>
      </c>
      <c r="E246" s="3"/>
      <c r="F246">
        <v>190</v>
      </c>
      <c r="G246">
        <v>0</v>
      </c>
      <c r="H246">
        <v>190</v>
      </c>
      <c r="I246">
        <v>1081</v>
      </c>
      <c r="J246" t="s">
        <v>14</v>
      </c>
      <c r="K246" s="4">
        <f>IF(AND(ISNUMBER(Raw_Data[[#This Row],[Opening_Stock]]),ISNUMBER(Raw_Data[[#This Row],[Units_Sold]]),Raw_Data[[#This Row],[Opening_Stock]]&gt;0),Raw_Data[[#This Row],[Units_Sold]]/Raw_Data[[#This Row],[Opening_Stock]],"")</f>
        <v>0</v>
      </c>
      <c r="L246" t="str">
        <f>IF(NOT(ISNUMBER(Raw_Data[[#This Row],[Sell_through%]])),"Check",IF(Raw_Data[[#This Row],[Sell_through%]]=0,"Non-moving",IF(Raw_Data[[#This Row],[Sell_through%]]&gt;=0.6,"Fast","Slow")))</f>
        <v>Non-moving</v>
      </c>
      <c r="M246">
        <f>IF(AND(ISNUMBER(Raw_Data[[#This Row],[Closing_Stock]]),ISNUMBER(Raw_Data[[#This Row],[Unit_Cost]])),Raw_Data[[#This Row],[Closing_Stock]]*Raw_Data[[#This Row],[Unit_Cost]],"")</f>
        <v>205390</v>
      </c>
      <c r="N24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47" spans="1:14" x14ac:dyDescent="0.3">
      <c r="A247" t="s">
        <v>447</v>
      </c>
      <c r="B247" t="s">
        <v>51</v>
      </c>
      <c r="C247" t="s">
        <v>49</v>
      </c>
      <c r="D247" t="s">
        <v>21</v>
      </c>
      <c r="E247" s="3">
        <v>46092</v>
      </c>
      <c r="F247">
        <v>283</v>
      </c>
      <c r="G247">
        <v>75</v>
      </c>
      <c r="H247">
        <v>208</v>
      </c>
      <c r="I247">
        <v>122</v>
      </c>
      <c r="J247" t="s">
        <v>14</v>
      </c>
      <c r="K247" s="4">
        <f>IF(AND(ISNUMBER(Raw_Data[[#This Row],[Opening_Stock]]),ISNUMBER(Raw_Data[[#This Row],[Units_Sold]]),Raw_Data[[#This Row],[Opening_Stock]]&gt;0),Raw_Data[[#This Row],[Units_Sold]]/Raw_Data[[#This Row],[Opening_Stock]],"")</f>
        <v>0.26501766784452296</v>
      </c>
      <c r="L247" t="str">
        <f>IF(NOT(ISNUMBER(Raw_Data[[#This Row],[Sell_through%]])),"Check",IF(Raw_Data[[#This Row],[Sell_through%]]=0,"Non-moving",IF(Raw_Data[[#This Row],[Sell_through%]]&gt;=0.6,"Fast","Slow")))</f>
        <v>Slow</v>
      </c>
      <c r="M247">
        <f>IF(AND(ISNUMBER(Raw_Data[[#This Row],[Closing_Stock]]),ISNUMBER(Raw_Data[[#This Row],[Unit_Cost]])),Raw_Data[[#This Row],[Closing_Stock]]*Raw_Data[[#This Row],[Unit_Cost]],"")</f>
        <v>25376</v>
      </c>
      <c r="N24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48" spans="1:14" x14ac:dyDescent="0.3">
      <c r="A248" t="s">
        <v>448</v>
      </c>
      <c r="B248" t="s">
        <v>48</v>
      </c>
      <c r="C248" t="s">
        <v>49</v>
      </c>
      <c r="D248" t="s">
        <v>36</v>
      </c>
      <c r="E248" s="3"/>
      <c r="F248">
        <v>257</v>
      </c>
      <c r="G248">
        <v>0</v>
      </c>
      <c r="H248">
        <v>257</v>
      </c>
      <c r="J248" t="s">
        <v>14</v>
      </c>
      <c r="K248" s="4">
        <f>IF(AND(ISNUMBER(Raw_Data[[#This Row],[Opening_Stock]]),ISNUMBER(Raw_Data[[#This Row],[Units_Sold]]),Raw_Data[[#This Row],[Opening_Stock]]&gt;0),Raw_Data[[#This Row],[Units_Sold]]/Raw_Data[[#This Row],[Opening_Stock]],"")</f>
        <v>0</v>
      </c>
      <c r="L248" t="str">
        <f>IF(NOT(ISNUMBER(Raw_Data[[#This Row],[Sell_through%]])),"Check",IF(Raw_Data[[#This Row],[Sell_through%]]=0,"Non-moving",IF(Raw_Data[[#This Row],[Sell_through%]]&gt;=0.6,"Fast","Slow")))</f>
        <v>Non-moving</v>
      </c>
      <c r="M248" t="str">
        <f>IF(AND(ISNUMBER(Raw_Data[[#This Row],[Closing_Stock]]),ISNUMBER(Raw_Data[[#This Row],[Unit_Cost]])),Raw_Data[[#This Row],[Closing_Stock]]*Raw_Data[[#This Row],[Unit_Cost]],"")</f>
        <v/>
      </c>
      <c r="N24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49" spans="1:14" x14ac:dyDescent="0.3">
      <c r="A249" t="s">
        <v>449</v>
      </c>
      <c r="B249" t="s">
        <v>238</v>
      </c>
      <c r="C249" t="s">
        <v>28</v>
      </c>
      <c r="D249" t="s">
        <v>36</v>
      </c>
      <c r="E249" s="3"/>
      <c r="F249">
        <v>398</v>
      </c>
      <c r="G249">
        <v>0</v>
      </c>
      <c r="H249">
        <v>398</v>
      </c>
      <c r="I249">
        <v>2002</v>
      </c>
      <c r="J249" t="s">
        <v>14</v>
      </c>
      <c r="K249" s="4">
        <f>IF(AND(ISNUMBER(Raw_Data[[#This Row],[Opening_Stock]]),ISNUMBER(Raw_Data[[#This Row],[Units_Sold]]),Raw_Data[[#This Row],[Opening_Stock]]&gt;0),Raw_Data[[#This Row],[Units_Sold]]/Raw_Data[[#This Row],[Opening_Stock]],"")</f>
        <v>0</v>
      </c>
      <c r="L249" t="str">
        <f>IF(NOT(ISNUMBER(Raw_Data[[#This Row],[Sell_through%]])),"Check",IF(Raw_Data[[#This Row],[Sell_through%]]=0,"Non-moving",IF(Raw_Data[[#This Row],[Sell_through%]]&gt;=0.6,"Fast","Slow")))</f>
        <v>Non-moving</v>
      </c>
      <c r="M249">
        <f>IF(AND(ISNUMBER(Raw_Data[[#This Row],[Closing_Stock]]),ISNUMBER(Raw_Data[[#This Row],[Unit_Cost]])),Raw_Data[[#This Row],[Closing_Stock]]*Raw_Data[[#This Row],[Unit_Cost]],"")</f>
        <v>796796</v>
      </c>
      <c r="N24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50" spans="1:14" x14ac:dyDescent="0.3">
      <c r="A250" t="s">
        <v>450</v>
      </c>
      <c r="B250" t="s">
        <v>134</v>
      </c>
      <c r="C250" t="s">
        <v>31</v>
      </c>
      <c r="D250" t="s">
        <v>13</v>
      </c>
      <c r="E250" s="3"/>
      <c r="F250">
        <v>194</v>
      </c>
      <c r="G250">
        <v>0</v>
      </c>
      <c r="H250">
        <v>194</v>
      </c>
      <c r="I250">
        <v>1164</v>
      </c>
      <c r="J250" t="s">
        <v>14</v>
      </c>
      <c r="K250" s="4">
        <f>IF(AND(ISNUMBER(Raw_Data[[#This Row],[Opening_Stock]]),ISNUMBER(Raw_Data[[#This Row],[Units_Sold]]),Raw_Data[[#This Row],[Opening_Stock]]&gt;0),Raw_Data[[#This Row],[Units_Sold]]/Raw_Data[[#This Row],[Opening_Stock]],"")</f>
        <v>0</v>
      </c>
      <c r="L250" t="str">
        <f>IF(NOT(ISNUMBER(Raw_Data[[#This Row],[Sell_through%]])),"Check",IF(Raw_Data[[#This Row],[Sell_through%]]=0,"Non-moving",IF(Raw_Data[[#This Row],[Sell_through%]]&gt;=0.6,"Fast","Slow")))</f>
        <v>Non-moving</v>
      </c>
      <c r="M250">
        <f>IF(AND(ISNUMBER(Raw_Data[[#This Row],[Closing_Stock]]),ISNUMBER(Raw_Data[[#This Row],[Unit_Cost]])),Raw_Data[[#This Row],[Closing_Stock]]*Raw_Data[[#This Row],[Unit_Cost]],"")</f>
        <v>225816</v>
      </c>
      <c r="N25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51" spans="1:14" x14ac:dyDescent="0.3">
      <c r="A251" t="s">
        <v>451</v>
      </c>
      <c r="B251" t="s">
        <v>1342</v>
      </c>
      <c r="C251" t="s">
        <v>28</v>
      </c>
      <c r="D251" t="s">
        <v>32</v>
      </c>
      <c r="E251" s="3"/>
      <c r="F251">
        <v>449</v>
      </c>
      <c r="G251">
        <v>0</v>
      </c>
      <c r="H251">
        <v>449</v>
      </c>
      <c r="I251">
        <v>2278</v>
      </c>
      <c r="J251" t="s">
        <v>14</v>
      </c>
      <c r="K251" s="4">
        <f>IF(AND(ISNUMBER(Raw_Data[[#This Row],[Opening_Stock]]),ISNUMBER(Raw_Data[[#This Row],[Units_Sold]]),Raw_Data[[#This Row],[Opening_Stock]]&gt;0),Raw_Data[[#This Row],[Units_Sold]]/Raw_Data[[#This Row],[Opening_Stock]],"")</f>
        <v>0</v>
      </c>
      <c r="L251" t="str">
        <f>IF(NOT(ISNUMBER(Raw_Data[[#This Row],[Sell_through%]])),"Check",IF(Raw_Data[[#This Row],[Sell_through%]]=0,"Non-moving",IF(Raw_Data[[#This Row],[Sell_through%]]&gt;=0.6,"Fast","Slow")))</f>
        <v>Non-moving</v>
      </c>
      <c r="M251">
        <f>IF(AND(ISNUMBER(Raw_Data[[#This Row],[Closing_Stock]]),ISNUMBER(Raw_Data[[#This Row],[Unit_Cost]])),Raw_Data[[#This Row],[Closing_Stock]]*Raw_Data[[#This Row],[Unit_Cost]],"")</f>
        <v>1022822</v>
      </c>
      <c r="N25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52" spans="1:14" x14ac:dyDescent="0.3">
      <c r="A252" t="s">
        <v>452</v>
      </c>
      <c r="B252" t="s">
        <v>131</v>
      </c>
      <c r="C252" t="s">
        <v>49</v>
      </c>
      <c r="D252" t="s">
        <v>13</v>
      </c>
      <c r="E252" s="3">
        <v>46176</v>
      </c>
      <c r="F252">
        <v>228</v>
      </c>
      <c r="G252">
        <v>32</v>
      </c>
      <c r="H252">
        <v>196</v>
      </c>
      <c r="I252">
        <v>848</v>
      </c>
      <c r="J252" t="s">
        <v>14</v>
      </c>
      <c r="K252" s="4">
        <f>IF(AND(ISNUMBER(Raw_Data[[#This Row],[Opening_Stock]]),ISNUMBER(Raw_Data[[#This Row],[Units_Sold]]),Raw_Data[[#This Row],[Opening_Stock]]&gt;0),Raw_Data[[#This Row],[Units_Sold]]/Raw_Data[[#This Row],[Opening_Stock]],"")</f>
        <v>0.14035087719298245</v>
      </c>
      <c r="L252" t="str">
        <f>IF(NOT(ISNUMBER(Raw_Data[[#This Row],[Sell_through%]])),"Check",IF(Raw_Data[[#This Row],[Sell_through%]]=0,"Non-moving",IF(Raw_Data[[#This Row],[Sell_through%]]&gt;=0.6,"Fast","Slow")))</f>
        <v>Slow</v>
      </c>
      <c r="M252">
        <f>IF(AND(ISNUMBER(Raw_Data[[#This Row],[Closing_Stock]]),ISNUMBER(Raw_Data[[#This Row],[Unit_Cost]])),Raw_Data[[#This Row],[Closing_Stock]]*Raw_Data[[#This Row],[Unit_Cost]],"")</f>
        <v>166208</v>
      </c>
      <c r="N25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53" spans="1:14" x14ac:dyDescent="0.3">
      <c r="A253" t="s">
        <v>454</v>
      </c>
      <c r="B253" t="s">
        <v>455</v>
      </c>
      <c r="C253" t="s">
        <v>35</v>
      </c>
      <c r="D253" t="s">
        <v>13</v>
      </c>
      <c r="E253" s="3">
        <v>46031</v>
      </c>
      <c r="F253">
        <v>107</v>
      </c>
      <c r="H253">
        <v>8</v>
      </c>
      <c r="I253">
        <v>951</v>
      </c>
      <c r="J253" t="s">
        <v>17</v>
      </c>
      <c r="K253" s="4" t="str">
        <f>IF(AND(ISNUMBER(Raw_Data[[#This Row],[Opening_Stock]]),ISNUMBER(Raw_Data[[#This Row],[Units_Sold]]),Raw_Data[[#This Row],[Opening_Stock]]&gt;0),Raw_Data[[#This Row],[Units_Sold]]/Raw_Data[[#This Row],[Opening_Stock]],"")</f>
        <v/>
      </c>
      <c r="L253" t="str">
        <f>IF(NOT(ISNUMBER(Raw_Data[[#This Row],[Sell_through%]])),"Check",IF(Raw_Data[[#This Row],[Sell_through%]]=0,"Non-moving",IF(Raw_Data[[#This Row],[Sell_through%]]&gt;=0.6,"Fast","Slow")))</f>
        <v>Check</v>
      </c>
      <c r="M253">
        <f>IF(AND(ISNUMBER(Raw_Data[[#This Row],[Closing_Stock]]),ISNUMBER(Raw_Data[[#This Row],[Unit_Cost]])),Raw_Data[[#This Row],[Closing_Stock]]*Raw_Data[[#This Row],[Unit_Cost]],"")</f>
        <v>7608</v>
      </c>
      <c r="N25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54" spans="1:14" x14ac:dyDescent="0.3">
      <c r="A254" t="s">
        <v>456</v>
      </c>
      <c r="B254" t="s">
        <v>367</v>
      </c>
      <c r="C254" t="s">
        <v>35</v>
      </c>
      <c r="D254" t="s">
        <v>21</v>
      </c>
      <c r="E254" s="3">
        <v>46217</v>
      </c>
      <c r="F254">
        <v>214</v>
      </c>
      <c r="G254">
        <v>183</v>
      </c>
      <c r="H254">
        <v>31</v>
      </c>
      <c r="I254">
        <v>2508</v>
      </c>
      <c r="J254" t="s">
        <v>17</v>
      </c>
      <c r="K254" s="4">
        <f>IF(AND(ISNUMBER(Raw_Data[[#This Row],[Opening_Stock]]),ISNUMBER(Raw_Data[[#This Row],[Units_Sold]]),Raw_Data[[#This Row],[Opening_Stock]]&gt;0),Raw_Data[[#This Row],[Units_Sold]]/Raw_Data[[#This Row],[Opening_Stock]],"")</f>
        <v>0.85514018691588789</v>
      </c>
      <c r="L254" t="str">
        <f>IF(NOT(ISNUMBER(Raw_Data[[#This Row],[Sell_through%]])),"Check",IF(Raw_Data[[#This Row],[Sell_through%]]=0,"Non-moving",IF(Raw_Data[[#This Row],[Sell_through%]]&gt;=0.6,"Fast","Slow")))</f>
        <v>Fast</v>
      </c>
      <c r="M254">
        <f>IF(AND(ISNUMBER(Raw_Data[[#This Row],[Closing_Stock]]),ISNUMBER(Raw_Data[[#This Row],[Unit_Cost]])),Raw_Data[[#This Row],[Closing_Stock]]*Raw_Data[[#This Row],[Unit_Cost]],"")</f>
        <v>77748</v>
      </c>
      <c r="N25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55" spans="1:14" x14ac:dyDescent="0.3">
      <c r="A255" t="s">
        <v>457</v>
      </c>
      <c r="B255" t="s">
        <v>98</v>
      </c>
      <c r="C255" t="s">
        <v>12</v>
      </c>
      <c r="D255" t="s">
        <v>13</v>
      </c>
      <c r="E255" s="3">
        <v>46238</v>
      </c>
      <c r="G255">
        <v>107</v>
      </c>
      <c r="H255">
        <v>34</v>
      </c>
      <c r="I255">
        <v>2974</v>
      </c>
      <c r="J255" t="s">
        <v>17</v>
      </c>
      <c r="K255" s="4" t="str">
        <f>IF(AND(ISNUMBER(Raw_Data[[#This Row],[Opening_Stock]]),ISNUMBER(Raw_Data[[#This Row],[Units_Sold]]),Raw_Data[[#This Row],[Opening_Stock]]&gt;0),Raw_Data[[#This Row],[Units_Sold]]/Raw_Data[[#This Row],[Opening_Stock]],"")</f>
        <v/>
      </c>
      <c r="L255" t="str">
        <f>IF(NOT(ISNUMBER(Raw_Data[[#This Row],[Sell_through%]])),"Check",IF(Raw_Data[[#This Row],[Sell_through%]]=0,"Non-moving",IF(Raw_Data[[#This Row],[Sell_through%]]&gt;=0.6,"Fast","Slow")))</f>
        <v>Check</v>
      </c>
      <c r="M255">
        <f>IF(AND(ISNUMBER(Raw_Data[[#This Row],[Closing_Stock]]),ISNUMBER(Raw_Data[[#This Row],[Unit_Cost]])),Raw_Data[[#This Row],[Closing_Stock]]*Raw_Data[[#This Row],[Unit_Cost]],"")</f>
        <v>101116</v>
      </c>
      <c r="N25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56" spans="1:14" x14ac:dyDescent="0.3">
      <c r="A256" t="s">
        <v>458</v>
      </c>
      <c r="B256" t="s">
        <v>189</v>
      </c>
      <c r="C256" t="s">
        <v>49</v>
      </c>
      <c r="D256" t="s">
        <v>32</v>
      </c>
      <c r="E256" s="3"/>
      <c r="F256">
        <v>480</v>
      </c>
      <c r="G256">
        <v>0</v>
      </c>
      <c r="H256">
        <v>480</v>
      </c>
      <c r="I256">
        <v>256</v>
      </c>
      <c r="J256" t="s">
        <v>14</v>
      </c>
      <c r="K256" s="4">
        <f>IF(AND(ISNUMBER(Raw_Data[[#This Row],[Opening_Stock]]),ISNUMBER(Raw_Data[[#This Row],[Units_Sold]]),Raw_Data[[#This Row],[Opening_Stock]]&gt;0),Raw_Data[[#This Row],[Units_Sold]]/Raw_Data[[#This Row],[Opening_Stock]],"")</f>
        <v>0</v>
      </c>
      <c r="L256" t="str">
        <f>IF(NOT(ISNUMBER(Raw_Data[[#This Row],[Sell_through%]])),"Check",IF(Raw_Data[[#This Row],[Sell_through%]]=0,"Non-moving",IF(Raw_Data[[#This Row],[Sell_through%]]&gt;=0.6,"Fast","Slow")))</f>
        <v>Non-moving</v>
      </c>
      <c r="M256">
        <f>IF(AND(ISNUMBER(Raw_Data[[#This Row],[Closing_Stock]]),ISNUMBER(Raw_Data[[#This Row],[Unit_Cost]])),Raw_Data[[#This Row],[Closing_Stock]]*Raw_Data[[#This Row],[Unit_Cost]],"")</f>
        <v>122880</v>
      </c>
      <c r="N25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57" spans="1:14" x14ac:dyDescent="0.3">
      <c r="A257" t="s">
        <v>459</v>
      </c>
      <c r="B257" t="s">
        <v>54</v>
      </c>
      <c r="C257" t="s">
        <v>31</v>
      </c>
      <c r="D257" t="s">
        <v>21</v>
      </c>
      <c r="E257" s="3"/>
      <c r="F257">
        <v>298</v>
      </c>
      <c r="G257">
        <v>0</v>
      </c>
      <c r="H257">
        <v>298</v>
      </c>
      <c r="I257">
        <v>432</v>
      </c>
      <c r="J257" t="s">
        <v>14</v>
      </c>
      <c r="K257" s="4">
        <f>IF(AND(ISNUMBER(Raw_Data[[#This Row],[Opening_Stock]]),ISNUMBER(Raw_Data[[#This Row],[Units_Sold]]),Raw_Data[[#This Row],[Opening_Stock]]&gt;0),Raw_Data[[#This Row],[Units_Sold]]/Raw_Data[[#This Row],[Opening_Stock]],"")</f>
        <v>0</v>
      </c>
      <c r="L257" t="str">
        <f>IF(NOT(ISNUMBER(Raw_Data[[#This Row],[Sell_through%]])),"Check",IF(Raw_Data[[#This Row],[Sell_through%]]=0,"Non-moving",IF(Raw_Data[[#This Row],[Sell_through%]]&gt;=0.6,"Fast","Slow")))</f>
        <v>Non-moving</v>
      </c>
      <c r="M257">
        <f>IF(AND(ISNUMBER(Raw_Data[[#This Row],[Closing_Stock]]),ISNUMBER(Raw_Data[[#This Row],[Unit_Cost]])),Raw_Data[[#This Row],[Closing_Stock]]*Raw_Data[[#This Row],[Unit_Cost]],"")</f>
        <v>128736</v>
      </c>
      <c r="N25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58" spans="1:14" x14ac:dyDescent="0.3">
      <c r="A258" t="s">
        <v>460</v>
      </c>
      <c r="B258" t="s">
        <v>41</v>
      </c>
      <c r="C258" t="s">
        <v>49</v>
      </c>
      <c r="D258" t="s">
        <v>13</v>
      </c>
      <c r="E258" s="3">
        <v>46254</v>
      </c>
      <c r="F258">
        <v>480</v>
      </c>
      <c r="G258">
        <v>425</v>
      </c>
      <c r="H258">
        <v>55</v>
      </c>
      <c r="I258">
        <v>830</v>
      </c>
      <c r="J258" t="s">
        <v>17</v>
      </c>
      <c r="K258" s="4">
        <f>IF(AND(ISNUMBER(Raw_Data[[#This Row],[Opening_Stock]]),ISNUMBER(Raw_Data[[#This Row],[Units_Sold]]),Raw_Data[[#This Row],[Opening_Stock]]&gt;0),Raw_Data[[#This Row],[Units_Sold]]/Raw_Data[[#This Row],[Opening_Stock]],"")</f>
        <v>0.88541666666666663</v>
      </c>
      <c r="L258" t="str">
        <f>IF(NOT(ISNUMBER(Raw_Data[[#This Row],[Sell_through%]])),"Check",IF(Raw_Data[[#This Row],[Sell_through%]]=0,"Non-moving",IF(Raw_Data[[#This Row],[Sell_through%]]&gt;=0.6,"Fast","Slow")))</f>
        <v>Fast</v>
      </c>
      <c r="M258">
        <f>IF(AND(ISNUMBER(Raw_Data[[#This Row],[Closing_Stock]]),ISNUMBER(Raw_Data[[#This Row],[Unit_Cost]])),Raw_Data[[#This Row],[Closing_Stock]]*Raw_Data[[#This Row],[Unit_Cost]],"")</f>
        <v>45650</v>
      </c>
      <c r="N25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59" spans="1:14" x14ac:dyDescent="0.3">
      <c r="A259" t="s">
        <v>463</v>
      </c>
      <c r="B259" t="s">
        <v>67</v>
      </c>
      <c r="C259" t="s">
        <v>31</v>
      </c>
      <c r="D259" t="s">
        <v>32</v>
      </c>
      <c r="E259" s="3">
        <v>46030</v>
      </c>
      <c r="F259">
        <v>105</v>
      </c>
      <c r="G259">
        <v>7</v>
      </c>
      <c r="H259">
        <v>98</v>
      </c>
      <c r="I259">
        <v>2820</v>
      </c>
      <c r="J259" t="s">
        <v>14</v>
      </c>
      <c r="K259" s="4">
        <f>IF(AND(ISNUMBER(Raw_Data[[#This Row],[Opening_Stock]]),ISNUMBER(Raw_Data[[#This Row],[Units_Sold]]),Raw_Data[[#This Row],[Opening_Stock]]&gt;0),Raw_Data[[#This Row],[Units_Sold]]/Raw_Data[[#This Row],[Opening_Stock]],"")</f>
        <v>6.6666666666666666E-2</v>
      </c>
      <c r="L259" t="str">
        <f>IF(NOT(ISNUMBER(Raw_Data[[#This Row],[Sell_through%]])),"Check",IF(Raw_Data[[#This Row],[Sell_through%]]=0,"Non-moving",IF(Raw_Data[[#This Row],[Sell_through%]]&gt;=0.6,"Fast","Slow")))</f>
        <v>Slow</v>
      </c>
      <c r="M259">
        <f>IF(AND(ISNUMBER(Raw_Data[[#This Row],[Closing_Stock]]),ISNUMBER(Raw_Data[[#This Row],[Unit_Cost]])),Raw_Data[[#This Row],[Closing_Stock]]*Raw_Data[[#This Row],[Unit_Cost]],"")</f>
        <v>276360</v>
      </c>
      <c r="N25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60" spans="1:14" x14ac:dyDescent="0.3">
      <c r="A260" t="s">
        <v>465</v>
      </c>
      <c r="B260" t="s">
        <v>60</v>
      </c>
      <c r="C260" t="s">
        <v>28</v>
      </c>
      <c r="D260" t="s">
        <v>32</v>
      </c>
      <c r="E260" s="3">
        <v>46230</v>
      </c>
      <c r="F260">
        <v>259</v>
      </c>
      <c r="G260">
        <v>228</v>
      </c>
      <c r="H260">
        <v>31</v>
      </c>
      <c r="I260">
        <v>388</v>
      </c>
      <c r="J260" t="s">
        <v>17</v>
      </c>
      <c r="K260" s="4">
        <f>IF(AND(ISNUMBER(Raw_Data[[#This Row],[Opening_Stock]]),ISNUMBER(Raw_Data[[#This Row],[Units_Sold]]),Raw_Data[[#This Row],[Opening_Stock]]&gt;0),Raw_Data[[#This Row],[Units_Sold]]/Raw_Data[[#This Row],[Opening_Stock]],"")</f>
        <v>0.88030888030888033</v>
      </c>
      <c r="L260" t="str">
        <f>IF(NOT(ISNUMBER(Raw_Data[[#This Row],[Sell_through%]])),"Check",IF(Raw_Data[[#This Row],[Sell_through%]]=0,"Non-moving",IF(Raw_Data[[#This Row],[Sell_through%]]&gt;=0.6,"Fast","Slow")))</f>
        <v>Fast</v>
      </c>
      <c r="M260">
        <f>IF(AND(ISNUMBER(Raw_Data[[#This Row],[Closing_Stock]]),ISNUMBER(Raw_Data[[#This Row],[Unit_Cost]])),Raw_Data[[#This Row],[Closing_Stock]]*Raw_Data[[#This Row],[Unit_Cost]],"")</f>
        <v>12028</v>
      </c>
      <c r="N26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61" spans="1:14" x14ac:dyDescent="0.3">
      <c r="A261" t="s">
        <v>466</v>
      </c>
      <c r="B261" t="s">
        <v>51</v>
      </c>
      <c r="C261" t="s">
        <v>49</v>
      </c>
      <c r="D261" t="s">
        <v>13</v>
      </c>
      <c r="E261" s="3">
        <v>46079</v>
      </c>
      <c r="F261">
        <v>448</v>
      </c>
      <c r="G261">
        <v>109</v>
      </c>
      <c r="H261">
        <v>339</v>
      </c>
      <c r="I261">
        <v>460</v>
      </c>
      <c r="J261" t="s">
        <v>14</v>
      </c>
      <c r="K261" s="4">
        <f>IF(AND(ISNUMBER(Raw_Data[[#This Row],[Opening_Stock]]),ISNUMBER(Raw_Data[[#This Row],[Units_Sold]]),Raw_Data[[#This Row],[Opening_Stock]]&gt;0),Raw_Data[[#This Row],[Units_Sold]]/Raw_Data[[#This Row],[Opening_Stock]],"")</f>
        <v>0.24330357142857142</v>
      </c>
      <c r="L261" t="str">
        <f>IF(NOT(ISNUMBER(Raw_Data[[#This Row],[Sell_through%]])),"Check",IF(Raw_Data[[#This Row],[Sell_through%]]=0,"Non-moving",IF(Raw_Data[[#This Row],[Sell_through%]]&gt;=0.6,"Fast","Slow")))</f>
        <v>Slow</v>
      </c>
      <c r="M261">
        <f>IF(AND(ISNUMBER(Raw_Data[[#This Row],[Closing_Stock]]),ISNUMBER(Raw_Data[[#This Row],[Unit_Cost]])),Raw_Data[[#This Row],[Closing_Stock]]*Raw_Data[[#This Row],[Unit_Cost]],"")</f>
        <v>155940</v>
      </c>
      <c r="N26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62" spans="1:14" x14ac:dyDescent="0.3">
      <c r="A262" t="s">
        <v>467</v>
      </c>
      <c r="B262" t="s">
        <v>23</v>
      </c>
      <c r="C262" t="s">
        <v>35</v>
      </c>
      <c r="D262" t="s">
        <v>32</v>
      </c>
      <c r="E262" s="3">
        <v>46195</v>
      </c>
      <c r="F262">
        <v>403</v>
      </c>
      <c r="G262">
        <v>137</v>
      </c>
      <c r="H262">
        <v>266</v>
      </c>
      <c r="I262">
        <v>2183</v>
      </c>
      <c r="J262" t="s">
        <v>14</v>
      </c>
      <c r="K262" s="4">
        <f>IF(AND(ISNUMBER(Raw_Data[[#This Row],[Opening_Stock]]),ISNUMBER(Raw_Data[[#This Row],[Units_Sold]]),Raw_Data[[#This Row],[Opening_Stock]]&gt;0),Raw_Data[[#This Row],[Units_Sold]]/Raw_Data[[#This Row],[Opening_Stock]],"")</f>
        <v>0.33995037220843671</v>
      </c>
      <c r="L262" t="str">
        <f>IF(NOT(ISNUMBER(Raw_Data[[#This Row],[Sell_through%]])),"Check",IF(Raw_Data[[#This Row],[Sell_through%]]=0,"Non-moving",IF(Raw_Data[[#This Row],[Sell_through%]]&gt;=0.6,"Fast","Slow")))</f>
        <v>Slow</v>
      </c>
      <c r="M262">
        <f>IF(AND(ISNUMBER(Raw_Data[[#This Row],[Closing_Stock]]),ISNUMBER(Raw_Data[[#This Row],[Unit_Cost]])),Raw_Data[[#This Row],[Closing_Stock]]*Raw_Data[[#This Row],[Unit_Cost]],"")</f>
        <v>580678</v>
      </c>
      <c r="N26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63" spans="1:14" x14ac:dyDescent="0.3">
      <c r="A263" t="s">
        <v>468</v>
      </c>
      <c r="B263" t="s">
        <v>315</v>
      </c>
      <c r="C263" t="s">
        <v>49</v>
      </c>
      <c r="D263" t="s">
        <v>13</v>
      </c>
      <c r="E263" s="3"/>
      <c r="F263">
        <v>349</v>
      </c>
      <c r="G263">
        <v>0</v>
      </c>
      <c r="H263">
        <v>349</v>
      </c>
      <c r="I263">
        <v>893</v>
      </c>
      <c r="J263" t="s">
        <v>14</v>
      </c>
      <c r="K263" s="4">
        <f>IF(AND(ISNUMBER(Raw_Data[[#This Row],[Opening_Stock]]),ISNUMBER(Raw_Data[[#This Row],[Units_Sold]]),Raw_Data[[#This Row],[Opening_Stock]]&gt;0),Raw_Data[[#This Row],[Units_Sold]]/Raw_Data[[#This Row],[Opening_Stock]],"")</f>
        <v>0</v>
      </c>
      <c r="L263" t="str">
        <f>IF(NOT(ISNUMBER(Raw_Data[[#This Row],[Sell_through%]])),"Check",IF(Raw_Data[[#This Row],[Sell_through%]]=0,"Non-moving",IF(Raw_Data[[#This Row],[Sell_through%]]&gt;=0.6,"Fast","Slow")))</f>
        <v>Non-moving</v>
      </c>
      <c r="M263">
        <f>IF(AND(ISNUMBER(Raw_Data[[#This Row],[Closing_Stock]]),ISNUMBER(Raw_Data[[#This Row],[Unit_Cost]])),Raw_Data[[#This Row],[Closing_Stock]]*Raw_Data[[#This Row],[Unit_Cost]],"")</f>
        <v>311657</v>
      </c>
      <c r="N26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64" spans="1:14" x14ac:dyDescent="0.3">
      <c r="A264" t="s">
        <v>469</v>
      </c>
      <c r="B264" t="s">
        <v>243</v>
      </c>
      <c r="C264" t="s">
        <v>28</v>
      </c>
      <c r="D264" t="s">
        <v>36</v>
      </c>
      <c r="E264" s="3">
        <v>46289</v>
      </c>
      <c r="F264">
        <v>406</v>
      </c>
      <c r="G264">
        <v>305</v>
      </c>
      <c r="H264">
        <v>101</v>
      </c>
      <c r="I264">
        <v>517</v>
      </c>
      <c r="K264" s="4">
        <f>IF(AND(ISNUMBER(Raw_Data[[#This Row],[Opening_Stock]]),ISNUMBER(Raw_Data[[#This Row],[Units_Sold]]),Raw_Data[[#This Row],[Opening_Stock]]&gt;0),Raw_Data[[#This Row],[Units_Sold]]/Raw_Data[[#This Row],[Opening_Stock]],"")</f>
        <v>0.75123152709359609</v>
      </c>
      <c r="L264" t="str">
        <f>IF(NOT(ISNUMBER(Raw_Data[[#This Row],[Sell_through%]])),"Check",IF(Raw_Data[[#This Row],[Sell_through%]]=0,"Non-moving",IF(Raw_Data[[#This Row],[Sell_through%]]&gt;=0.6,"Fast","Slow")))</f>
        <v>Fast</v>
      </c>
      <c r="M264">
        <f>IF(AND(ISNUMBER(Raw_Data[[#This Row],[Closing_Stock]]),ISNUMBER(Raw_Data[[#This Row],[Unit_Cost]])),Raw_Data[[#This Row],[Closing_Stock]]*Raw_Data[[#This Row],[Unit_Cost]],"")</f>
        <v>52217</v>
      </c>
      <c r="N26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65" spans="1:14" x14ac:dyDescent="0.3">
      <c r="A265" t="s">
        <v>471</v>
      </c>
      <c r="B265" t="s">
        <v>101</v>
      </c>
      <c r="C265" t="s">
        <v>12</v>
      </c>
      <c r="D265" t="s">
        <v>13</v>
      </c>
      <c r="E265" s="3">
        <v>46026</v>
      </c>
      <c r="F265">
        <v>463</v>
      </c>
      <c r="G265">
        <v>135</v>
      </c>
      <c r="H265">
        <v>328</v>
      </c>
      <c r="I265">
        <v>1257</v>
      </c>
      <c r="J265" t="s">
        <v>14</v>
      </c>
      <c r="K265" s="4">
        <f>IF(AND(ISNUMBER(Raw_Data[[#This Row],[Opening_Stock]]),ISNUMBER(Raw_Data[[#This Row],[Units_Sold]]),Raw_Data[[#This Row],[Opening_Stock]]&gt;0),Raw_Data[[#This Row],[Units_Sold]]/Raw_Data[[#This Row],[Opening_Stock]],"")</f>
        <v>0.29157667386609071</v>
      </c>
      <c r="L265" t="str">
        <f>IF(NOT(ISNUMBER(Raw_Data[[#This Row],[Sell_through%]])),"Check",IF(Raw_Data[[#This Row],[Sell_through%]]=0,"Non-moving",IF(Raw_Data[[#This Row],[Sell_through%]]&gt;=0.6,"Fast","Slow")))</f>
        <v>Slow</v>
      </c>
      <c r="M265">
        <f>IF(AND(ISNUMBER(Raw_Data[[#This Row],[Closing_Stock]]),ISNUMBER(Raw_Data[[#This Row],[Unit_Cost]])),Raw_Data[[#This Row],[Closing_Stock]]*Raw_Data[[#This Row],[Unit_Cost]],"")</f>
        <v>412296</v>
      </c>
      <c r="N26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66" spans="1:14" x14ac:dyDescent="0.3">
      <c r="A266" t="s">
        <v>472</v>
      </c>
      <c r="B266" t="s">
        <v>243</v>
      </c>
      <c r="C266" t="s">
        <v>28</v>
      </c>
      <c r="D266" t="s">
        <v>32</v>
      </c>
      <c r="E266" s="3">
        <v>46136</v>
      </c>
      <c r="F266">
        <v>72</v>
      </c>
      <c r="G266">
        <v>8</v>
      </c>
      <c r="H266">
        <v>64</v>
      </c>
      <c r="I266">
        <v>1135</v>
      </c>
      <c r="J266" t="s">
        <v>14</v>
      </c>
      <c r="K266" s="4">
        <f>IF(AND(ISNUMBER(Raw_Data[[#This Row],[Opening_Stock]]),ISNUMBER(Raw_Data[[#This Row],[Units_Sold]]),Raw_Data[[#This Row],[Opening_Stock]]&gt;0),Raw_Data[[#This Row],[Units_Sold]]/Raw_Data[[#This Row],[Opening_Stock]],"")</f>
        <v>0.1111111111111111</v>
      </c>
      <c r="L266" t="str">
        <f>IF(NOT(ISNUMBER(Raw_Data[[#This Row],[Sell_through%]])),"Check",IF(Raw_Data[[#This Row],[Sell_through%]]=0,"Non-moving",IF(Raw_Data[[#This Row],[Sell_through%]]&gt;=0.6,"Fast","Slow")))</f>
        <v>Slow</v>
      </c>
      <c r="M266">
        <f>IF(AND(ISNUMBER(Raw_Data[[#This Row],[Closing_Stock]]),ISNUMBER(Raw_Data[[#This Row],[Unit_Cost]])),Raw_Data[[#This Row],[Closing_Stock]]*Raw_Data[[#This Row],[Unit_Cost]],"")</f>
        <v>72640</v>
      </c>
      <c r="N26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67" spans="1:14" x14ac:dyDescent="0.3">
      <c r="A267" t="s">
        <v>473</v>
      </c>
      <c r="B267" t="s">
        <v>234</v>
      </c>
      <c r="C267" t="s">
        <v>28</v>
      </c>
      <c r="D267" t="s">
        <v>13</v>
      </c>
      <c r="E267" s="3">
        <v>46099</v>
      </c>
      <c r="F267">
        <v>290</v>
      </c>
      <c r="G267">
        <v>223</v>
      </c>
      <c r="H267">
        <v>67</v>
      </c>
      <c r="I267">
        <v>235</v>
      </c>
      <c r="J267" t="s">
        <v>14</v>
      </c>
      <c r="K267" s="4">
        <f>IF(AND(ISNUMBER(Raw_Data[[#This Row],[Opening_Stock]]),ISNUMBER(Raw_Data[[#This Row],[Units_Sold]]),Raw_Data[[#This Row],[Opening_Stock]]&gt;0),Raw_Data[[#This Row],[Units_Sold]]/Raw_Data[[#This Row],[Opening_Stock]],"")</f>
        <v>0.76896551724137929</v>
      </c>
      <c r="L267" t="str">
        <f>IF(NOT(ISNUMBER(Raw_Data[[#This Row],[Sell_through%]])),"Check",IF(Raw_Data[[#This Row],[Sell_through%]]=0,"Non-moving",IF(Raw_Data[[#This Row],[Sell_through%]]&gt;=0.6,"Fast","Slow")))</f>
        <v>Fast</v>
      </c>
      <c r="M267">
        <f>IF(AND(ISNUMBER(Raw_Data[[#This Row],[Closing_Stock]]),ISNUMBER(Raw_Data[[#This Row],[Unit_Cost]])),Raw_Data[[#This Row],[Closing_Stock]]*Raw_Data[[#This Row],[Unit_Cost]],"")</f>
        <v>15745</v>
      </c>
      <c r="N267"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68" spans="1:14" x14ac:dyDescent="0.3">
      <c r="A268" t="s">
        <v>474</v>
      </c>
      <c r="B268" t="s">
        <v>387</v>
      </c>
      <c r="C268" t="s">
        <v>12</v>
      </c>
      <c r="D268" t="s">
        <v>13</v>
      </c>
      <c r="E268" s="3"/>
      <c r="G268">
        <v>0</v>
      </c>
      <c r="H268">
        <v>269</v>
      </c>
      <c r="I268">
        <v>1120</v>
      </c>
      <c r="J268" t="s">
        <v>14</v>
      </c>
      <c r="K268" s="4" t="str">
        <f>IF(AND(ISNUMBER(Raw_Data[[#This Row],[Opening_Stock]]),ISNUMBER(Raw_Data[[#This Row],[Units_Sold]]),Raw_Data[[#This Row],[Opening_Stock]]&gt;0),Raw_Data[[#This Row],[Units_Sold]]/Raw_Data[[#This Row],[Opening_Stock]],"")</f>
        <v/>
      </c>
      <c r="L268" t="str">
        <f>IF(NOT(ISNUMBER(Raw_Data[[#This Row],[Sell_through%]])),"Check",IF(Raw_Data[[#This Row],[Sell_through%]]=0,"Non-moving",IF(Raw_Data[[#This Row],[Sell_through%]]&gt;=0.6,"Fast","Slow")))</f>
        <v>Check</v>
      </c>
      <c r="M268">
        <f>IF(AND(ISNUMBER(Raw_Data[[#This Row],[Closing_Stock]]),ISNUMBER(Raw_Data[[#This Row],[Unit_Cost]])),Raw_Data[[#This Row],[Closing_Stock]]*Raw_Data[[#This Row],[Unit_Cost]],"")</f>
        <v>301280</v>
      </c>
      <c r="N268"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69" spans="1:14" x14ac:dyDescent="0.3">
      <c r="A269" t="s">
        <v>476</v>
      </c>
      <c r="B269" t="s">
        <v>238</v>
      </c>
      <c r="C269" t="s">
        <v>28</v>
      </c>
      <c r="D269" t="s">
        <v>21</v>
      </c>
      <c r="E269" s="3">
        <v>46095</v>
      </c>
      <c r="F269">
        <v>199</v>
      </c>
      <c r="G269">
        <v>55</v>
      </c>
      <c r="H269">
        <v>144</v>
      </c>
      <c r="I269">
        <v>1789</v>
      </c>
      <c r="J269" t="s">
        <v>14</v>
      </c>
      <c r="K269" s="4">
        <f>IF(AND(ISNUMBER(Raw_Data[[#This Row],[Opening_Stock]]),ISNUMBER(Raw_Data[[#This Row],[Units_Sold]]),Raw_Data[[#This Row],[Opening_Stock]]&gt;0),Raw_Data[[#This Row],[Units_Sold]]/Raw_Data[[#This Row],[Opening_Stock]],"")</f>
        <v>0.27638190954773867</v>
      </c>
      <c r="L269" t="str">
        <f>IF(NOT(ISNUMBER(Raw_Data[[#This Row],[Sell_through%]])),"Check",IF(Raw_Data[[#This Row],[Sell_through%]]=0,"Non-moving",IF(Raw_Data[[#This Row],[Sell_through%]]&gt;=0.6,"Fast","Slow")))</f>
        <v>Slow</v>
      </c>
      <c r="M269">
        <f>IF(AND(ISNUMBER(Raw_Data[[#This Row],[Closing_Stock]]),ISNUMBER(Raw_Data[[#This Row],[Unit_Cost]])),Raw_Data[[#This Row],[Closing_Stock]]*Raw_Data[[#This Row],[Unit_Cost]],"")</f>
        <v>257616</v>
      </c>
      <c r="N26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70" spans="1:14" x14ac:dyDescent="0.3">
      <c r="A270" t="s">
        <v>478</v>
      </c>
      <c r="B270" t="s">
        <v>479</v>
      </c>
      <c r="C270" t="s">
        <v>31</v>
      </c>
      <c r="D270" t="s">
        <v>21</v>
      </c>
      <c r="E270" s="3">
        <v>46244</v>
      </c>
      <c r="F270">
        <v>292</v>
      </c>
      <c r="G270">
        <v>204</v>
      </c>
      <c r="H270">
        <v>88</v>
      </c>
      <c r="I270">
        <v>627</v>
      </c>
      <c r="J270" t="s">
        <v>14</v>
      </c>
      <c r="K270" s="4">
        <f>IF(AND(ISNUMBER(Raw_Data[[#This Row],[Opening_Stock]]),ISNUMBER(Raw_Data[[#This Row],[Units_Sold]]),Raw_Data[[#This Row],[Opening_Stock]]&gt;0),Raw_Data[[#This Row],[Units_Sold]]/Raw_Data[[#This Row],[Opening_Stock]],"")</f>
        <v>0.69863013698630139</v>
      </c>
      <c r="L270" t="str">
        <f>IF(NOT(ISNUMBER(Raw_Data[[#This Row],[Sell_through%]])),"Check",IF(Raw_Data[[#This Row],[Sell_through%]]=0,"Non-moving",IF(Raw_Data[[#This Row],[Sell_through%]]&gt;=0.6,"Fast","Slow")))</f>
        <v>Fast</v>
      </c>
      <c r="M270">
        <f>IF(AND(ISNUMBER(Raw_Data[[#This Row],[Closing_Stock]]),ISNUMBER(Raw_Data[[#This Row],[Unit_Cost]])),Raw_Data[[#This Row],[Closing_Stock]]*Raw_Data[[#This Row],[Unit_Cost]],"")</f>
        <v>55176</v>
      </c>
      <c r="N270"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71" spans="1:14" x14ac:dyDescent="0.3">
      <c r="A271" t="s">
        <v>480</v>
      </c>
      <c r="B271" t="s">
        <v>1342</v>
      </c>
      <c r="C271" t="s">
        <v>28</v>
      </c>
      <c r="D271" t="s">
        <v>13</v>
      </c>
      <c r="E271" s="3">
        <v>46206</v>
      </c>
      <c r="F271">
        <v>253</v>
      </c>
      <c r="G271">
        <v>178</v>
      </c>
      <c r="H271">
        <v>75</v>
      </c>
      <c r="I271">
        <v>434</v>
      </c>
      <c r="J271" t="s">
        <v>14</v>
      </c>
      <c r="K271" s="4">
        <f>IF(AND(ISNUMBER(Raw_Data[[#This Row],[Opening_Stock]]),ISNUMBER(Raw_Data[[#This Row],[Units_Sold]]),Raw_Data[[#This Row],[Opening_Stock]]&gt;0),Raw_Data[[#This Row],[Units_Sold]]/Raw_Data[[#This Row],[Opening_Stock]],"")</f>
        <v>0.70355731225296447</v>
      </c>
      <c r="L271" t="str">
        <f>IF(NOT(ISNUMBER(Raw_Data[[#This Row],[Sell_through%]])),"Check",IF(Raw_Data[[#This Row],[Sell_through%]]=0,"Non-moving",IF(Raw_Data[[#This Row],[Sell_through%]]&gt;=0.6,"Fast","Slow")))</f>
        <v>Fast</v>
      </c>
      <c r="M271">
        <f>IF(AND(ISNUMBER(Raw_Data[[#This Row],[Closing_Stock]]),ISNUMBER(Raw_Data[[#This Row],[Unit_Cost]])),Raw_Data[[#This Row],[Closing_Stock]]*Raw_Data[[#This Row],[Unit_Cost]],"")</f>
        <v>32550</v>
      </c>
      <c r="N27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72" spans="1:14" x14ac:dyDescent="0.3">
      <c r="A272" t="s">
        <v>481</v>
      </c>
      <c r="B272" t="s">
        <v>89</v>
      </c>
      <c r="C272" t="s">
        <v>49</v>
      </c>
      <c r="D272" t="s">
        <v>21</v>
      </c>
      <c r="E272" s="3"/>
      <c r="F272">
        <v>269</v>
      </c>
      <c r="G272">
        <v>0</v>
      </c>
      <c r="H272">
        <v>269</v>
      </c>
      <c r="I272">
        <v>880</v>
      </c>
      <c r="J272" t="s">
        <v>14</v>
      </c>
      <c r="K272" s="4">
        <f>IF(AND(ISNUMBER(Raw_Data[[#This Row],[Opening_Stock]]),ISNUMBER(Raw_Data[[#This Row],[Units_Sold]]),Raw_Data[[#This Row],[Opening_Stock]]&gt;0),Raw_Data[[#This Row],[Units_Sold]]/Raw_Data[[#This Row],[Opening_Stock]],"")</f>
        <v>0</v>
      </c>
      <c r="L272" t="str">
        <f>IF(NOT(ISNUMBER(Raw_Data[[#This Row],[Sell_through%]])),"Check",IF(Raw_Data[[#This Row],[Sell_through%]]=0,"Non-moving",IF(Raw_Data[[#This Row],[Sell_through%]]&gt;=0.6,"Fast","Slow")))</f>
        <v>Non-moving</v>
      </c>
      <c r="M272">
        <f>IF(AND(ISNUMBER(Raw_Data[[#This Row],[Closing_Stock]]),ISNUMBER(Raw_Data[[#This Row],[Unit_Cost]])),Raw_Data[[#This Row],[Closing_Stock]]*Raw_Data[[#This Row],[Unit_Cost]],"")</f>
        <v>236720</v>
      </c>
      <c r="N27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73" spans="1:14" x14ac:dyDescent="0.3">
      <c r="A273" t="s">
        <v>482</v>
      </c>
      <c r="B273" t="s">
        <v>117</v>
      </c>
      <c r="C273" t="s">
        <v>28</v>
      </c>
      <c r="D273" t="s">
        <v>36</v>
      </c>
      <c r="E273" s="3">
        <v>46151</v>
      </c>
      <c r="F273">
        <v>421</v>
      </c>
      <c r="G273">
        <v>298</v>
      </c>
      <c r="H273">
        <v>123</v>
      </c>
      <c r="I273">
        <v>618</v>
      </c>
      <c r="J273" t="s">
        <v>14</v>
      </c>
      <c r="K273" s="4">
        <f>IF(AND(ISNUMBER(Raw_Data[[#This Row],[Opening_Stock]]),ISNUMBER(Raw_Data[[#This Row],[Units_Sold]]),Raw_Data[[#This Row],[Opening_Stock]]&gt;0),Raw_Data[[#This Row],[Units_Sold]]/Raw_Data[[#This Row],[Opening_Stock]],"")</f>
        <v>0.70783847980997627</v>
      </c>
      <c r="L273" t="str">
        <f>IF(NOT(ISNUMBER(Raw_Data[[#This Row],[Sell_through%]])),"Check",IF(Raw_Data[[#This Row],[Sell_through%]]=0,"Non-moving",IF(Raw_Data[[#This Row],[Sell_through%]]&gt;=0.6,"Fast","Slow")))</f>
        <v>Fast</v>
      </c>
      <c r="M273">
        <f>IF(AND(ISNUMBER(Raw_Data[[#This Row],[Closing_Stock]]),ISNUMBER(Raw_Data[[#This Row],[Unit_Cost]])),Raw_Data[[#This Row],[Closing_Stock]]*Raw_Data[[#This Row],[Unit_Cost]],"")</f>
        <v>76014</v>
      </c>
      <c r="N27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74" spans="1:14" x14ac:dyDescent="0.3">
      <c r="A274" t="s">
        <v>483</v>
      </c>
      <c r="B274" t="s">
        <v>262</v>
      </c>
      <c r="C274" t="s">
        <v>12</v>
      </c>
      <c r="D274" t="s">
        <v>36</v>
      </c>
      <c r="E274" s="3">
        <v>46193</v>
      </c>
      <c r="F274">
        <v>493</v>
      </c>
      <c r="G274">
        <v>485</v>
      </c>
      <c r="H274">
        <v>8</v>
      </c>
      <c r="I274">
        <v>696</v>
      </c>
      <c r="J274" t="s">
        <v>17</v>
      </c>
      <c r="K274" s="4">
        <f>IF(AND(ISNUMBER(Raw_Data[[#This Row],[Opening_Stock]]),ISNUMBER(Raw_Data[[#This Row],[Units_Sold]]),Raw_Data[[#This Row],[Opening_Stock]]&gt;0),Raw_Data[[#This Row],[Units_Sold]]/Raw_Data[[#This Row],[Opening_Stock]],"")</f>
        <v>0.98377281947261663</v>
      </c>
      <c r="L274" t="str">
        <f>IF(NOT(ISNUMBER(Raw_Data[[#This Row],[Sell_through%]])),"Check",IF(Raw_Data[[#This Row],[Sell_through%]]=0,"Non-moving",IF(Raw_Data[[#This Row],[Sell_through%]]&gt;=0.6,"Fast","Slow")))</f>
        <v>Fast</v>
      </c>
      <c r="M274">
        <f>IF(AND(ISNUMBER(Raw_Data[[#This Row],[Closing_Stock]]),ISNUMBER(Raw_Data[[#This Row],[Unit_Cost]])),Raw_Data[[#This Row],[Closing_Stock]]*Raw_Data[[#This Row],[Unit_Cost]],"")</f>
        <v>5568</v>
      </c>
      <c r="N27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75" spans="1:14" x14ac:dyDescent="0.3">
      <c r="A275" t="s">
        <v>485</v>
      </c>
      <c r="B275" t="s">
        <v>105</v>
      </c>
      <c r="C275" t="s">
        <v>28</v>
      </c>
      <c r="D275" t="s">
        <v>21</v>
      </c>
      <c r="E275" s="3">
        <v>46215</v>
      </c>
      <c r="F275">
        <v>251</v>
      </c>
      <c r="G275">
        <v>204</v>
      </c>
      <c r="H275">
        <v>47</v>
      </c>
      <c r="I275">
        <v>1030</v>
      </c>
      <c r="J275" t="s">
        <v>17</v>
      </c>
      <c r="K275" s="4">
        <f>IF(AND(ISNUMBER(Raw_Data[[#This Row],[Opening_Stock]]),ISNUMBER(Raw_Data[[#This Row],[Units_Sold]]),Raw_Data[[#This Row],[Opening_Stock]]&gt;0),Raw_Data[[#This Row],[Units_Sold]]/Raw_Data[[#This Row],[Opening_Stock]],"")</f>
        <v>0.8127490039840638</v>
      </c>
      <c r="L275" t="str">
        <f>IF(NOT(ISNUMBER(Raw_Data[[#This Row],[Sell_through%]])),"Check",IF(Raw_Data[[#This Row],[Sell_through%]]=0,"Non-moving",IF(Raw_Data[[#This Row],[Sell_through%]]&gt;=0.6,"Fast","Slow")))</f>
        <v>Fast</v>
      </c>
      <c r="M275">
        <f>IF(AND(ISNUMBER(Raw_Data[[#This Row],[Closing_Stock]]),ISNUMBER(Raw_Data[[#This Row],[Unit_Cost]])),Raw_Data[[#This Row],[Closing_Stock]]*Raw_Data[[#This Row],[Unit_Cost]],"")</f>
        <v>48410</v>
      </c>
      <c r="N275"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76" spans="1:14" x14ac:dyDescent="0.3">
      <c r="A276" t="s">
        <v>487</v>
      </c>
      <c r="B276" t="s">
        <v>98</v>
      </c>
      <c r="C276" t="s">
        <v>12</v>
      </c>
      <c r="D276" t="s">
        <v>36</v>
      </c>
      <c r="E276" s="3">
        <v>46048</v>
      </c>
      <c r="F276">
        <v>433</v>
      </c>
      <c r="G276">
        <v>86</v>
      </c>
      <c r="H276">
        <v>347</v>
      </c>
      <c r="I276">
        <v>631</v>
      </c>
      <c r="J276" t="s">
        <v>14</v>
      </c>
      <c r="K276" s="4">
        <f>IF(AND(ISNUMBER(Raw_Data[[#This Row],[Opening_Stock]]),ISNUMBER(Raw_Data[[#This Row],[Units_Sold]]),Raw_Data[[#This Row],[Opening_Stock]]&gt;0),Raw_Data[[#This Row],[Units_Sold]]/Raw_Data[[#This Row],[Opening_Stock]],"")</f>
        <v>0.19861431870669746</v>
      </c>
      <c r="L276" t="str">
        <f>IF(NOT(ISNUMBER(Raw_Data[[#This Row],[Sell_through%]])),"Check",IF(Raw_Data[[#This Row],[Sell_through%]]=0,"Non-moving",IF(Raw_Data[[#This Row],[Sell_through%]]&gt;=0.6,"Fast","Slow")))</f>
        <v>Slow</v>
      </c>
      <c r="M276">
        <f>IF(AND(ISNUMBER(Raw_Data[[#This Row],[Closing_Stock]]),ISNUMBER(Raw_Data[[#This Row],[Unit_Cost]])),Raw_Data[[#This Row],[Closing_Stock]]*Raw_Data[[#This Row],[Unit_Cost]],"")</f>
        <v>218957</v>
      </c>
      <c r="N27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77" spans="1:14" x14ac:dyDescent="0.3">
      <c r="A277" t="s">
        <v>489</v>
      </c>
      <c r="B277" t="s">
        <v>296</v>
      </c>
      <c r="C277" t="s">
        <v>31</v>
      </c>
      <c r="D277" t="s">
        <v>13</v>
      </c>
      <c r="E277" s="3"/>
      <c r="F277">
        <v>333</v>
      </c>
      <c r="G277">
        <v>0</v>
      </c>
      <c r="H277">
        <v>333</v>
      </c>
      <c r="I277">
        <v>2613</v>
      </c>
      <c r="J277" t="s">
        <v>14</v>
      </c>
      <c r="K277" s="4">
        <f>IF(AND(ISNUMBER(Raw_Data[[#This Row],[Opening_Stock]]),ISNUMBER(Raw_Data[[#This Row],[Units_Sold]]),Raw_Data[[#This Row],[Opening_Stock]]&gt;0),Raw_Data[[#This Row],[Units_Sold]]/Raw_Data[[#This Row],[Opening_Stock]],"")</f>
        <v>0</v>
      </c>
      <c r="L277" t="str">
        <f>IF(NOT(ISNUMBER(Raw_Data[[#This Row],[Sell_through%]])),"Check",IF(Raw_Data[[#This Row],[Sell_through%]]=0,"Non-moving",IF(Raw_Data[[#This Row],[Sell_through%]]&gt;=0.6,"Fast","Slow")))</f>
        <v>Non-moving</v>
      </c>
      <c r="M277">
        <f>IF(AND(ISNUMBER(Raw_Data[[#This Row],[Closing_Stock]]),ISNUMBER(Raw_Data[[#This Row],[Unit_Cost]])),Raw_Data[[#This Row],[Closing_Stock]]*Raw_Data[[#This Row],[Unit_Cost]],"")</f>
        <v>870129</v>
      </c>
      <c r="N27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78" spans="1:14" x14ac:dyDescent="0.3">
      <c r="A278" t="s">
        <v>490</v>
      </c>
      <c r="B278" t="s">
        <v>182</v>
      </c>
      <c r="C278" t="s">
        <v>12</v>
      </c>
      <c r="D278" t="s">
        <v>36</v>
      </c>
      <c r="E278" s="3"/>
      <c r="F278">
        <v>455</v>
      </c>
      <c r="G278">
        <v>0</v>
      </c>
      <c r="H278">
        <v>455</v>
      </c>
      <c r="I278">
        <v>2785</v>
      </c>
      <c r="K278" s="4">
        <f>IF(AND(ISNUMBER(Raw_Data[[#This Row],[Opening_Stock]]),ISNUMBER(Raw_Data[[#This Row],[Units_Sold]]),Raw_Data[[#This Row],[Opening_Stock]]&gt;0),Raw_Data[[#This Row],[Units_Sold]]/Raw_Data[[#This Row],[Opening_Stock]],"")</f>
        <v>0</v>
      </c>
      <c r="L278" t="str">
        <f>IF(NOT(ISNUMBER(Raw_Data[[#This Row],[Sell_through%]])),"Check",IF(Raw_Data[[#This Row],[Sell_through%]]=0,"Non-moving",IF(Raw_Data[[#This Row],[Sell_through%]]&gt;=0.6,"Fast","Slow")))</f>
        <v>Non-moving</v>
      </c>
      <c r="M278">
        <f>IF(AND(ISNUMBER(Raw_Data[[#This Row],[Closing_Stock]]),ISNUMBER(Raw_Data[[#This Row],[Unit_Cost]])),Raw_Data[[#This Row],[Closing_Stock]]*Raw_Data[[#This Row],[Unit_Cost]],"")</f>
        <v>1267175</v>
      </c>
      <c r="N278"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79" spans="1:14" x14ac:dyDescent="0.3">
      <c r="A279" t="s">
        <v>491</v>
      </c>
      <c r="B279" t="s">
        <v>151</v>
      </c>
      <c r="C279" t="s">
        <v>35</v>
      </c>
      <c r="D279" t="s">
        <v>21</v>
      </c>
      <c r="E279" s="3">
        <v>46238</v>
      </c>
      <c r="F279">
        <v>398</v>
      </c>
      <c r="G279">
        <v>333</v>
      </c>
      <c r="H279">
        <v>65</v>
      </c>
      <c r="I279">
        <v>2111</v>
      </c>
      <c r="J279" t="s">
        <v>14</v>
      </c>
      <c r="K279" s="4">
        <f>IF(AND(ISNUMBER(Raw_Data[[#This Row],[Opening_Stock]]),ISNUMBER(Raw_Data[[#This Row],[Units_Sold]]),Raw_Data[[#This Row],[Opening_Stock]]&gt;0),Raw_Data[[#This Row],[Units_Sold]]/Raw_Data[[#This Row],[Opening_Stock]],"")</f>
        <v>0.83668341708542715</v>
      </c>
      <c r="L279" t="str">
        <f>IF(NOT(ISNUMBER(Raw_Data[[#This Row],[Sell_through%]])),"Check",IF(Raw_Data[[#This Row],[Sell_through%]]=0,"Non-moving",IF(Raw_Data[[#This Row],[Sell_through%]]&gt;=0.6,"Fast","Slow")))</f>
        <v>Fast</v>
      </c>
      <c r="M279">
        <f>IF(AND(ISNUMBER(Raw_Data[[#This Row],[Closing_Stock]]),ISNUMBER(Raw_Data[[#This Row],[Unit_Cost]])),Raw_Data[[#This Row],[Closing_Stock]]*Raw_Data[[#This Row],[Unit_Cost]],"")</f>
        <v>137215</v>
      </c>
      <c r="N27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80" spans="1:14" x14ac:dyDescent="0.3">
      <c r="A280" t="s">
        <v>492</v>
      </c>
      <c r="B280" t="s">
        <v>434</v>
      </c>
      <c r="C280" t="s">
        <v>31</v>
      </c>
      <c r="D280" t="s">
        <v>36</v>
      </c>
      <c r="E280" s="3"/>
      <c r="F280">
        <v>221</v>
      </c>
      <c r="G280">
        <v>0</v>
      </c>
      <c r="H280">
        <v>221</v>
      </c>
      <c r="I280">
        <v>1747</v>
      </c>
      <c r="J280" t="s">
        <v>14</v>
      </c>
      <c r="K280" s="4">
        <f>IF(AND(ISNUMBER(Raw_Data[[#This Row],[Opening_Stock]]),ISNUMBER(Raw_Data[[#This Row],[Units_Sold]]),Raw_Data[[#This Row],[Opening_Stock]]&gt;0),Raw_Data[[#This Row],[Units_Sold]]/Raw_Data[[#This Row],[Opening_Stock]],"")</f>
        <v>0</v>
      </c>
      <c r="L280" t="str">
        <f>IF(NOT(ISNUMBER(Raw_Data[[#This Row],[Sell_through%]])),"Check",IF(Raw_Data[[#This Row],[Sell_through%]]=0,"Non-moving",IF(Raw_Data[[#This Row],[Sell_through%]]&gt;=0.6,"Fast","Slow")))</f>
        <v>Non-moving</v>
      </c>
      <c r="M280">
        <f>IF(AND(ISNUMBER(Raw_Data[[#This Row],[Closing_Stock]]),ISNUMBER(Raw_Data[[#This Row],[Unit_Cost]])),Raw_Data[[#This Row],[Closing_Stock]]*Raw_Data[[#This Row],[Unit_Cost]],"")</f>
        <v>386087</v>
      </c>
      <c r="N28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81" spans="1:14" x14ac:dyDescent="0.3">
      <c r="A281" t="s">
        <v>494</v>
      </c>
      <c r="B281" t="s">
        <v>138</v>
      </c>
      <c r="D281" t="s">
        <v>13</v>
      </c>
      <c r="E281" s="3">
        <v>46051</v>
      </c>
      <c r="F281">
        <v>72</v>
      </c>
      <c r="G281">
        <v>70</v>
      </c>
      <c r="H281">
        <v>2</v>
      </c>
      <c r="I281">
        <v>2528</v>
      </c>
      <c r="J281" t="s">
        <v>17</v>
      </c>
      <c r="K281" s="4">
        <f>IF(AND(ISNUMBER(Raw_Data[[#This Row],[Opening_Stock]]),ISNUMBER(Raw_Data[[#This Row],[Units_Sold]]),Raw_Data[[#This Row],[Opening_Stock]]&gt;0),Raw_Data[[#This Row],[Units_Sold]]/Raw_Data[[#This Row],[Opening_Stock]],"")</f>
        <v>0.97222222222222221</v>
      </c>
      <c r="L281" t="str">
        <f>IF(NOT(ISNUMBER(Raw_Data[[#This Row],[Sell_through%]])),"Check",IF(Raw_Data[[#This Row],[Sell_through%]]=0,"Non-moving",IF(Raw_Data[[#This Row],[Sell_through%]]&gt;=0.6,"Fast","Slow")))</f>
        <v>Fast</v>
      </c>
      <c r="M281">
        <f>IF(AND(ISNUMBER(Raw_Data[[#This Row],[Closing_Stock]]),ISNUMBER(Raw_Data[[#This Row],[Unit_Cost]])),Raw_Data[[#This Row],[Closing_Stock]]*Raw_Data[[#This Row],[Unit_Cost]],"")</f>
        <v>5056</v>
      </c>
      <c r="N28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82" spans="1:14" x14ac:dyDescent="0.3">
      <c r="A282" t="s">
        <v>495</v>
      </c>
      <c r="B282" t="s">
        <v>296</v>
      </c>
      <c r="C282" t="s">
        <v>31</v>
      </c>
      <c r="D282" t="s">
        <v>13</v>
      </c>
      <c r="E282" s="3"/>
      <c r="F282">
        <v>145</v>
      </c>
      <c r="G282">
        <v>0</v>
      </c>
      <c r="H282">
        <v>145</v>
      </c>
      <c r="I282">
        <v>430</v>
      </c>
      <c r="J282" t="s">
        <v>14</v>
      </c>
      <c r="K282" s="4">
        <f>IF(AND(ISNUMBER(Raw_Data[[#This Row],[Opening_Stock]]),ISNUMBER(Raw_Data[[#This Row],[Units_Sold]]),Raw_Data[[#This Row],[Opening_Stock]]&gt;0),Raw_Data[[#This Row],[Units_Sold]]/Raw_Data[[#This Row],[Opening_Stock]],"")</f>
        <v>0</v>
      </c>
      <c r="L282" t="str">
        <f>IF(NOT(ISNUMBER(Raw_Data[[#This Row],[Sell_through%]])),"Check",IF(Raw_Data[[#This Row],[Sell_through%]]=0,"Non-moving",IF(Raw_Data[[#This Row],[Sell_through%]]&gt;=0.6,"Fast","Slow")))</f>
        <v>Non-moving</v>
      </c>
      <c r="M282">
        <f>IF(AND(ISNUMBER(Raw_Data[[#This Row],[Closing_Stock]]),ISNUMBER(Raw_Data[[#This Row],[Unit_Cost]])),Raw_Data[[#This Row],[Closing_Stock]]*Raw_Data[[#This Row],[Unit_Cost]],"")</f>
        <v>62350</v>
      </c>
      <c r="N28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83" spans="1:14" x14ac:dyDescent="0.3">
      <c r="A283" t="s">
        <v>496</v>
      </c>
      <c r="B283" t="s">
        <v>415</v>
      </c>
      <c r="C283" t="s">
        <v>31</v>
      </c>
      <c r="D283" t="s">
        <v>21</v>
      </c>
      <c r="E283" s="3"/>
      <c r="F283">
        <v>98</v>
      </c>
      <c r="G283">
        <v>0</v>
      </c>
      <c r="H283">
        <v>98</v>
      </c>
      <c r="I283">
        <v>1608</v>
      </c>
      <c r="J283" t="s">
        <v>14</v>
      </c>
      <c r="K283" s="4">
        <f>IF(AND(ISNUMBER(Raw_Data[[#This Row],[Opening_Stock]]),ISNUMBER(Raw_Data[[#This Row],[Units_Sold]]),Raw_Data[[#This Row],[Opening_Stock]]&gt;0),Raw_Data[[#This Row],[Units_Sold]]/Raw_Data[[#This Row],[Opening_Stock]],"")</f>
        <v>0</v>
      </c>
      <c r="L283" t="str">
        <f>IF(NOT(ISNUMBER(Raw_Data[[#This Row],[Sell_through%]])),"Check",IF(Raw_Data[[#This Row],[Sell_through%]]=0,"Non-moving",IF(Raw_Data[[#This Row],[Sell_through%]]&gt;=0.6,"Fast","Slow")))</f>
        <v>Non-moving</v>
      </c>
      <c r="M283">
        <f>IF(AND(ISNUMBER(Raw_Data[[#This Row],[Closing_Stock]]),ISNUMBER(Raw_Data[[#This Row],[Unit_Cost]])),Raw_Data[[#This Row],[Closing_Stock]]*Raw_Data[[#This Row],[Unit_Cost]],"")</f>
        <v>157584</v>
      </c>
      <c r="N28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84" spans="1:14" x14ac:dyDescent="0.3">
      <c r="A284" t="s">
        <v>498</v>
      </c>
      <c r="B284" t="s">
        <v>499</v>
      </c>
      <c r="C284" t="s">
        <v>28</v>
      </c>
      <c r="D284" t="s">
        <v>13</v>
      </c>
      <c r="E284" s="3"/>
      <c r="G284">
        <v>0</v>
      </c>
      <c r="H284">
        <v>350</v>
      </c>
      <c r="I284">
        <v>429</v>
      </c>
      <c r="J284" t="s">
        <v>14</v>
      </c>
      <c r="K284" s="4" t="str">
        <f>IF(AND(ISNUMBER(Raw_Data[[#This Row],[Opening_Stock]]),ISNUMBER(Raw_Data[[#This Row],[Units_Sold]]),Raw_Data[[#This Row],[Opening_Stock]]&gt;0),Raw_Data[[#This Row],[Units_Sold]]/Raw_Data[[#This Row],[Opening_Stock]],"")</f>
        <v/>
      </c>
      <c r="L284" t="str">
        <f>IF(NOT(ISNUMBER(Raw_Data[[#This Row],[Sell_through%]])),"Check",IF(Raw_Data[[#This Row],[Sell_through%]]=0,"Non-moving",IF(Raw_Data[[#This Row],[Sell_through%]]&gt;=0.6,"Fast","Slow")))</f>
        <v>Check</v>
      </c>
      <c r="M284">
        <f>IF(AND(ISNUMBER(Raw_Data[[#This Row],[Closing_Stock]]),ISNUMBER(Raw_Data[[#This Row],[Unit_Cost]])),Raw_Data[[#This Row],[Closing_Stock]]*Raw_Data[[#This Row],[Unit_Cost]],"")</f>
        <v>150150</v>
      </c>
      <c r="N28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85" spans="1:14" x14ac:dyDescent="0.3">
      <c r="A285" t="s">
        <v>500</v>
      </c>
      <c r="B285" t="s">
        <v>224</v>
      </c>
      <c r="C285" t="s">
        <v>49</v>
      </c>
      <c r="D285" t="s">
        <v>13</v>
      </c>
      <c r="E285" s="3"/>
      <c r="F285">
        <v>155</v>
      </c>
      <c r="G285">
        <v>0</v>
      </c>
      <c r="H285">
        <v>155</v>
      </c>
      <c r="I285">
        <v>1818</v>
      </c>
      <c r="J285" t="s">
        <v>14</v>
      </c>
      <c r="K285" s="4">
        <f>IF(AND(ISNUMBER(Raw_Data[[#This Row],[Opening_Stock]]),ISNUMBER(Raw_Data[[#This Row],[Units_Sold]]),Raw_Data[[#This Row],[Opening_Stock]]&gt;0),Raw_Data[[#This Row],[Units_Sold]]/Raw_Data[[#This Row],[Opening_Stock]],"")</f>
        <v>0</v>
      </c>
      <c r="L285" t="str">
        <f>IF(NOT(ISNUMBER(Raw_Data[[#This Row],[Sell_through%]])),"Check",IF(Raw_Data[[#This Row],[Sell_through%]]=0,"Non-moving",IF(Raw_Data[[#This Row],[Sell_through%]]&gt;=0.6,"Fast","Slow")))</f>
        <v>Non-moving</v>
      </c>
      <c r="M285">
        <f>IF(AND(ISNUMBER(Raw_Data[[#This Row],[Closing_Stock]]),ISNUMBER(Raw_Data[[#This Row],[Unit_Cost]])),Raw_Data[[#This Row],[Closing_Stock]]*Raw_Data[[#This Row],[Unit_Cost]],"")</f>
        <v>281790</v>
      </c>
      <c r="N28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86" spans="1:14" x14ac:dyDescent="0.3">
      <c r="A286" t="s">
        <v>501</v>
      </c>
      <c r="B286" t="s">
        <v>367</v>
      </c>
      <c r="C286" t="s">
        <v>35</v>
      </c>
      <c r="D286" t="s">
        <v>13</v>
      </c>
      <c r="E286" s="3">
        <v>46193</v>
      </c>
      <c r="F286">
        <v>432</v>
      </c>
      <c r="G286">
        <v>132</v>
      </c>
      <c r="H286">
        <v>300</v>
      </c>
      <c r="I286">
        <v>939</v>
      </c>
      <c r="J286" t="s">
        <v>14</v>
      </c>
      <c r="K286" s="4">
        <f>IF(AND(ISNUMBER(Raw_Data[[#This Row],[Opening_Stock]]),ISNUMBER(Raw_Data[[#This Row],[Units_Sold]]),Raw_Data[[#This Row],[Opening_Stock]]&gt;0),Raw_Data[[#This Row],[Units_Sold]]/Raw_Data[[#This Row],[Opening_Stock]],"")</f>
        <v>0.30555555555555558</v>
      </c>
      <c r="L286" t="str">
        <f>IF(NOT(ISNUMBER(Raw_Data[[#This Row],[Sell_through%]])),"Check",IF(Raw_Data[[#This Row],[Sell_through%]]=0,"Non-moving",IF(Raw_Data[[#This Row],[Sell_through%]]&gt;=0.6,"Fast","Slow")))</f>
        <v>Slow</v>
      </c>
      <c r="M286">
        <f>IF(AND(ISNUMBER(Raw_Data[[#This Row],[Closing_Stock]]),ISNUMBER(Raw_Data[[#This Row],[Unit_Cost]])),Raw_Data[[#This Row],[Closing_Stock]]*Raw_Data[[#This Row],[Unit_Cost]],"")</f>
        <v>281700</v>
      </c>
      <c r="N28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87" spans="1:14" x14ac:dyDescent="0.3">
      <c r="A287" t="s">
        <v>502</v>
      </c>
      <c r="B287" t="s">
        <v>211</v>
      </c>
      <c r="C287" t="s">
        <v>35</v>
      </c>
      <c r="D287" t="s">
        <v>32</v>
      </c>
      <c r="E287" s="3">
        <v>46004</v>
      </c>
      <c r="F287">
        <v>389</v>
      </c>
      <c r="G287">
        <v>362</v>
      </c>
      <c r="H287">
        <v>27</v>
      </c>
      <c r="I287">
        <v>391</v>
      </c>
      <c r="J287" t="s">
        <v>17</v>
      </c>
      <c r="K287" s="4">
        <f>IF(AND(ISNUMBER(Raw_Data[[#This Row],[Opening_Stock]]),ISNUMBER(Raw_Data[[#This Row],[Units_Sold]]),Raw_Data[[#This Row],[Opening_Stock]]&gt;0),Raw_Data[[#This Row],[Units_Sold]]/Raw_Data[[#This Row],[Opening_Stock]],"")</f>
        <v>0.93059125964010281</v>
      </c>
      <c r="L287" t="str">
        <f>IF(NOT(ISNUMBER(Raw_Data[[#This Row],[Sell_through%]])),"Check",IF(Raw_Data[[#This Row],[Sell_through%]]=0,"Non-moving",IF(Raw_Data[[#This Row],[Sell_through%]]&gt;=0.6,"Fast","Slow")))</f>
        <v>Fast</v>
      </c>
      <c r="M287">
        <f>IF(AND(ISNUMBER(Raw_Data[[#This Row],[Closing_Stock]]),ISNUMBER(Raw_Data[[#This Row],[Unit_Cost]])),Raw_Data[[#This Row],[Closing_Stock]]*Raw_Data[[#This Row],[Unit_Cost]],"")</f>
        <v>10557</v>
      </c>
      <c r="N28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88" spans="1:14" x14ac:dyDescent="0.3">
      <c r="A288" t="s">
        <v>504</v>
      </c>
      <c r="B288" t="s">
        <v>57</v>
      </c>
      <c r="C288" t="s">
        <v>28</v>
      </c>
      <c r="D288" t="s">
        <v>13</v>
      </c>
      <c r="E288" s="3"/>
      <c r="F288">
        <v>181</v>
      </c>
      <c r="G288">
        <v>0</v>
      </c>
      <c r="H288">
        <v>181</v>
      </c>
      <c r="I288">
        <v>2815</v>
      </c>
      <c r="J288" t="s">
        <v>14</v>
      </c>
      <c r="K288" s="4">
        <f>IF(AND(ISNUMBER(Raw_Data[[#This Row],[Opening_Stock]]),ISNUMBER(Raw_Data[[#This Row],[Units_Sold]]),Raw_Data[[#This Row],[Opening_Stock]]&gt;0),Raw_Data[[#This Row],[Units_Sold]]/Raw_Data[[#This Row],[Opening_Stock]],"")</f>
        <v>0</v>
      </c>
      <c r="L288" t="str">
        <f>IF(NOT(ISNUMBER(Raw_Data[[#This Row],[Sell_through%]])),"Check",IF(Raw_Data[[#This Row],[Sell_through%]]=0,"Non-moving",IF(Raw_Data[[#This Row],[Sell_through%]]&gt;=0.6,"Fast","Slow")))</f>
        <v>Non-moving</v>
      </c>
      <c r="M288">
        <f>IF(AND(ISNUMBER(Raw_Data[[#This Row],[Closing_Stock]]),ISNUMBER(Raw_Data[[#This Row],[Unit_Cost]])),Raw_Data[[#This Row],[Closing_Stock]]*Raw_Data[[#This Row],[Unit_Cost]],"")</f>
        <v>509515</v>
      </c>
      <c r="N28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89" spans="1:14" x14ac:dyDescent="0.3">
      <c r="A289" t="s">
        <v>505</v>
      </c>
      <c r="B289" t="s">
        <v>34</v>
      </c>
      <c r="C289" t="s">
        <v>35</v>
      </c>
      <c r="D289" t="s">
        <v>36</v>
      </c>
      <c r="E289" s="3">
        <v>46279</v>
      </c>
      <c r="F289">
        <v>343</v>
      </c>
      <c r="G289">
        <v>18</v>
      </c>
      <c r="H289">
        <v>325</v>
      </c>
      <c r="I289">
        <v>2159</v>
      </c>
      <c r="J289" t="s">
        <v>14</v>
      </c>
      <c r="K289" s="4">
        <f>IF(AND(ISNUMBER(Raw_Data[[#This Row],[Opening_Stock]]),ISNUMBER(Raw_Data[[#This Row],[Units_Sold]]),Raw_Data[[#This Row],[Opening_Stock]]&gt;0),Raw_Data[[#This Row],[Units_Sold]]/Raw_Data[[#This Row],[Opening_Stock]],"")</f>
        <v>5.2478134110787174E-2</v>
      </c>
      <c r="L289" t="str">
        <f>IF(NOT(ISNUMBER(Raw_Data[[#This Row],[Sell_through%]])),"Check",IF(Raw_Data[[#This Row],[Sell_through%]]=0,"Non-moving",IF(Raw_Data[[#This Row],[Sell_through%]]&gt;=0.6,"Fast","Slow")))</f>
        <v>Slow</v>
      </c>
      <c r="M289">
        <f>IF(AND(ISNUMBER(Raw_Data[[#This Row],[Closing_Stock]]),ISNUMBER(Raw_Data[[#This Row],[Unit_Cost]])),Raw_Data[[#This Row],[Closing_Stock]]*Raw_Data[[#This Row],[Unit_Cost]],"")</f>
        <v>701675</v>
      </c>
      <c r="N28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90" spans="1:14" x14ac:dyDescent="0.3">
      <c r="A290" t="s">
        <v>506</v>
      </c>
      <c r="B290" t="s">
        <v>124</v>
      </c>
      <c r="C290" t="s">
        <v>28</v>
      </c>
      <c r="D290" t="s">
        <v>32</v>
      </c>
      <c r="E290" s="3">
        <v>46045</v>
      </c>
      <c r="F290">
        <v>53</v>
      </c>
      <c r="G290">
        <v>46</v>
      </c>
      <c r="H290">
        <v>7</v>
      </c>
      <c r="I290">
        <v>1338</v>
      </c>
      <c r="J290" t="s">
        <v>17</v>
      </c>
      <c r="K290" s="4">
        <f>IF(AND(ISNUMBER(Raw_Data[[#This Row],[Opening_Stock]]),ISNUMBER(Raw_Data[[#This Row],[Units_Sold]]),Raw_Data[[#This Row],[Opening_Stock]]&gt;0),Raw_Data[[#This Row],[Units_Sold]]/Raw_Data[[#This Row],[Opening_Stock]],"")</f>
        <v>0.86792452830188682</v>
      </c>
      <c r="L290" t="str">
        <f>IF(NOT(ISNUMBER(Raw_Data[[#This Row],[Sell_through%]])),"Check",IF(Raw_Data[[#This Row],[Sell_through%]]=0,"Non-moving",IF(Raw_Data[[#This Row],[Sell_through%]]&gt;=0.6,"Fast","Slow")))</f>
        <v>Fast</v>
      </c>
      <c r="M290">
        <f>IF(AND(ISNUMBER(Raw_Data[[#This Row],[Closing_Stock]]),ISNUMBER(Raw_Data[[#This Row],[Unit_Cost]])),Raw_Data[[#This Row],[Closing_Stock]]*Raw_Data[[#This Row],[Unit_Cost]],"")</f>
        <v>9366</v>
      </c>
      <c r="N29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91" spans="1:14" x14ac:dyDescent="0.3">
      <c r="A291" t="s">
        <v>508</v>
      </c>
      <c r="B291" t="s">
        <v>19</v>
      </c>
      <c r="C291" t="s">
        <v>28</v>
      </c>
      <c r="D291" t="s">
        <v>32</v>
      </c>
      <c r="E291" s="3">
        <v>46127</v>
      </c>
      <c r="F291">
        <v>154</v>
      </c>
      <c r="G291">
        <v>135</v>
      </c>
      <c r="H291">
        <v>19</v>
      </c>
      <c r="I291">
        <v>304</v>
      </c>
      <c r="K291" s="4">
        <f>IF(AND(ISNUMBER(Raw_Data[[#This Row],[Opening_Stock]]),ISNUMBER(Raw_Data[[#This Row],[Units_Sold]]),Raw_Data[[#This Row],[Opening_Stock]]&gt;0),Raw_Data[[#This Row],[Units_Sold]]/Raw_Data[[#This Row],[Opening_Stock]],"")</f>
        <v>0.87662337662337664</v>
      </c>
      <c r="L291" t="str">
        <f>IF(NOT(ISNUMBER(Raw_Data[[#This Row],[Sell_through%]])),"Check",IF(Raw_Data[[#This Row],[Sell_through%]]=0,"Non-moving",IF(Raw_Data[[#This Row],[Sell_through%]]&gt;=0.6,"Fast","Slow")))</f>
        <v>Fast</v>
      </c>
      <c r="M291">
        <f>IF(AND(ISNUMBER(Raw_Data[[#This Row],[Closing_Stock]]),ISNUMBER(Raw_Data[[#This Row],[Unit_Cost]])),Raw_Data[[#This Row],[Closing_Stock]]*Raw_Data[[#This Row],[Unit_Cost]],"")</f>
        <v>5776</v>
      </c>
      <c r="N29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92" spans="1:14" x14ac:dyDescent="0.3">
      <c r="A292" t="s">
        <v>509</v>
      </c>
      <c r="B292" t="s">
        <v>134</v>
      </c>
      <c r="C292" t="s">
        <v>31</v>
      </c>
      <c r="D292" t="s">
        <v>21</v>
      </c>
      <c r="E292" s="3"/>
      <c r="F292">
        <v>97</v>
      </c>
      <c r="G292">
        <v>0</v>
      </c>
      <c r="H292">
        <v>97</v>
      </c>
      <c r="I292">
        <v>1481</v>
      </c>
      <c r="J292" t="s">
        <v>14</v>
      </c>
      <c r="K292" s="4">
        <f>IF(AND(ISNUMBER(Raw_Data[[#This Row],[Opening_Stock]]),ISNUMBER(Raw_Data[[#This Row],[Units_Sold]]),Raw_Data[[#This Row],[Opening_Stock]]&gt;0),Raw_Data[[#This Row],[Units_Sold]]/Raw_Data[[#This Row],[Opening_Stock]],"")</f>
        <v>0</v>
      </c>
      <c r="L292" t="str">
        <f>IF(NOT(ISNUMBER(Raw_Data[[#This Row],[Sell_through%]])),"Check",IF(Raw_Data[[#This Row],[Sell_through%]]=0,"Non-moving",IF(Raw_Data[[#This Row],[Sell_through%]]&gt;=0.6,"Fast","Slow")))</f>
        <v>Non-moving</v>
      </c>
      <c r="M292">
        <f>IF(AND(ISNUMBER(Raw_Data[[#This Row],[Closing_Stock]]),ISNUMBER(Raw_Data[[#This Row],[Unit_Cost]])),Raw_Data[[#This Row],[Closing_Stock]]*Raw_Data[[#This Row],[Unit_Cost]],"")</f>
        <v>143657</v>
      </c>
      <c r="N29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93" spans="1:14" x14ac:dyDescent="0.3">
      <c r="A293" t="s">
        <v>510</v>
      </c>
      <c r="B293" t="s">
        <v>324</v>
      </c>
      <c r="C293" t="s">
        <v>31</v>
      </c>
      <c r="D293" t="s">
        <v>21</v>
      </c>
      <c r="E293" s="3">
        <v>46194</v>
      </c>
      <c r="F293">
        <v>224</v>
      </c>
      <c r="G293">
        <v>219</v>
      </c>
      <c r="H293">
        <v>5</v>
      </c>
      <c r="I293">
        <v>1207</v>
      </c>
      <c r="J293" t="s">
        <v>17</v>
      </c>
      <c r="K293" s="4">
        <f>IF(AND(ISNUMBER(Raw_Data[[#This Row],[Opening_Stock]]),ISNUMBER(Raw_Data[[#This Row],[Units_Sold]]),Raw_Data[[#This Row],[Opening_Stock]]&gt;0),Raw_Data[[#This Row],[Units_Sold]]/Raw_Data[[#This Row],[Opening_Stock]],"")</f>
        <v>0.9776785714285714</v>
      </c>
      <c r="L293" t="str">
        <f>IF(NOT(ISNUMBER(Raw_Data[[#This Row],[Sell_through%]])),"Check",IF(Raw_Data[[#This Row],[Sell_through%]]=0,"Non-moving",IF(Raw_Data[[#This Row],[Sell_through%]]&gt;=0.6,"Fast","Slow")))</f>
        <v>Fast</v>
      </c>
      <c r="M293">
        <f>IF(AND(ISNUMBER(Raw_Data[[#This Row],[Closing_Stock]]),ISNUMBER(Raw_Data[[#This Row],[Unit_Cost]])),Raw_Data[[#This Row],[Closing_Stock]]*Raw_Data[[#This Row],[Unit_Cost]],"")</f>
        <v>6035</v>
      </c>
      <c r="N293"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94" spans="1:14" x14ac:dyDescent="0.3">
      <c r="A294" t="s">
        <v>512</v>
      </c>
      <c r="B294" t="s">
        <v>284</v>
      </c>
      <c r="C294" t="s">
        <v>49</v>
      </c>
      <c r="D294" t="s">
        <v>36</v>
      </c>
      <c r="E294" s="3">
        <v>46100</v>
      </c>
      <c r="F294">
        <v>66</v>
      </c>
      <c r="G294">
        <v>62</v>
      </c>
      <c r="H294">
        <v>4</v>
      </c>
      <c r="I294">
        <v>2991</v>
      </c>
      <c r="J294" t="s">
        <v>17</v>
      </c>
      <c r="K294" s="4">
        <f>IF(AND(ISNUMBER(Raw_Data[[#This Row],[Opening_Stock]]),ISNUMBER(Raw_Data[[#This Row],[Units_Sold]]),Raw_Data[[#This Row],[Opening_Stock]]&gt;0),Raw_Data[[#This Row],[Units_Sold]]/Raw_Data[[#This Row],[Opening_Stock]],"")</f>
        <v>0.93939393939393945</v>
      </c>
      <c r="L294" t="str">
        <f>IF(NOT(ISNUMBER(Raw_Data[[#This Row],[Sell_through%]])),"Check",IF(Raw_Data[[#This Row],[Sell_through%]]=0,"Non-moving",IF(Raw_Data[[#This Row],[Sell_through%]]&gt;=0.6,"Fast","Slow")))</f>
        <v>Fast</v>
      </c>
      <c r="M294">
        <f>IF(AND(ISNUMBER(Raw_Data[[#This Row],[Closing_Stock]]),ISNUMBER(Raw_Data[[#This Row],[Unit_Cost]])),Raw_Data[[#This Row],[Closing_Stock]]*Raw_Data[[#This Row],[Unit_Cost]],"")</f>
        <v>11964</v>
      </c>
      <c r="N29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295" spans="1:14" x14ac:dyDescent="0.3">
      <c r="A295" t="s">
        <v>513</v>
      </c>
      <c r="B295" t="s">
        <v>184</v>
      </c>
      <c r="C295" t="s">
        <v>31</v>
      </c>
      <c r="D295" t="s">
        <v>13</v>
      </c>
      <c r="E295" s="3">
        <v>45998</v>
      </c>
      <c r="F295">
        <v>307</v>
      </c>
      <c r="G295">
        <v>112</v>
      </c>
      <c r="H295">
        <v>195</v>
      </c>
      <c r="I295">
        <v>2489</v>
      </c>
      <c r="J295" t="s">
        <v>14</v>
      </c>
      <c r="K295" s="4">
        <f>IF(AND(ISNUMBER(Raw_Data[[#This Row],[Opening_Stock]]),ISNUMBER(Raw_Data[[#This Row],[Units_Sold]]),Raw_Data[[#This Row],[Opening_Stock]]&gt;0),Raw_Data[[#This Row],[Units_Sold]]/Raw_Data[[#This Row],[Opening_Stock]],"")</f>
        <v>0.36482084690553745</v>
      </c>
      <c r="L295" t="str">
        <f>IF(NOT(ISNUMBER(Raw_Data[[#This Row],[Sell_through%]])),"Check",IF(Raw_Data[[#This Row],[Sell_through%]]=0,"Non-moving",IF(Raw_Data[[#This Row],[Sell_through%]]&gt;=0.6,"Fast","Slow")))</f>
        <v>Slow</v>
      </c>
      <c r="M295">
        <f>IF(AND(ISNUMBER(Raw_Data[[#This Row],[Closing_Stock]]),ISNUMBER(Raw_Data[[#This Row],[Unit_Cost]])),Raw_Data[[#This Row],[Closing_Stock]]*Raw_Data[[#This Row],[Unit_Cost]],"")</f>
        <v>485355</v>
      </c>
      <c r="N29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96" spans="1:14" x14ac:dyDescent="0.3">
      <c r="A296" t="s">
        <v>514</v>
      </c>
      <c r="B296" t="s">
        <v>138</v>
      </c>
      <c r="C296" t="s">
        <v>31</v>
      </c>
      <c r="D296" t="s">
        <v>13</v>
      </c>
      <c r="E296" s="3">
        <v>46237</v>
      </c>
      <c r="F296">
        <v>357</v>
      </c>
      <c r="G296">
        <v>294</v>
      </c>
      <c r="H296">
        <v>63</v>
      </c>
      <c r="I296">
        <v>1561</v>
      </c>
      <c r="J296" t="s">
        <v>14</v>
      </c>
      <c r="K296" s="4">
        <f>IF(AND(ISNUMBER(Raw_Data[[#This Row],[Opening_Stock]]),ISNUMBER(Raw_Data[[#This Row],[Units_Sold]]),Raw_Data[[#This Row],[Opening_Stock]]&gt;0),Raw_Data[[#This Row],[Units_Sold]]/Raw_Data[[#This Row],[Opening_Stock]],"")</f>
        <v>0.82352941176470584</v>
      </c>
      <c r="L296" t="str">
        <f>IF(NOT(ISNUMBER(Raw_Data[[#This Row],[Sell_through%]])),"Check",IF(Raw_Data[[#This Row],[Sell_through%]]=0,"Non-moving",IF(Raw_Data[[#This Row],[Sell_through%]]&gt;=0.6,"Fast","Slow")))</f>
        <v>Fast</v>
      </c>
      <c r="M296">
        <f>IF(AND(ISNUMBER(Raw_Data[[#This Row],[Closing_Stock]]),ISNUMBER(Raw_Data[[#This Row],[Unit_Cost]])),Raw_Data[[#This Row],[Closing_Stock]]*Raw_Data[[#This Row],[Unit_Cost]],"")</f>
        <v>98343</v>
      </c>
      <c r="N296"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97" spans="1:14" x14ac:dyDescent="0.3">
      <c r="A297" t="s">
        <v>516</v>
      </c>
      <c r="B297" t="s">
        <v>27</v>
      </c>
      <c r="C297" t="s">
        <v>28</v>
      </c>
      <c r="D297" t="s">
        <v>21</v>
      </c>
      <c r="E297" s="3">
        <v>46098</v>
      </c>
      <c r="F297">
        <v>87</v>
      </c>
      <c r="G297">
        <v>30</v>
      </c>
      <c r="H297">
        <v>57</v>
      </c>
      <c r="I297">
        <v>1194</v>
      </c>
      <c r="J297" t="s">
        <v>17</v>
      </c>
      <c r="K297" s="4">
        <f>IF(AND(ISNUMBER(Raw_Data[[#This Row],[Opening_Stock]]),ISNUMBER(Raw_Data[[#This Row],[Units_Sold]]),Raw_Data[[#This Row],[Opening_Stock]]&gt;0),Raw_Data[[#This Row],[Units_Sold]]/Raw_Data[[#This Row],[Opening_Stock]],"")</f>
        <v>0.34482758620689657</v>
      </c>
      <c r="L297" t="str">
        <f>IF(NOT(ISNUMBER(Raw_Data[[#This Row],[Sell_through%]])),"Check",IF(Raw_Data[[#This Row],[Sell_through%]]=0,"Non-moving",IF(Raw_Data[[#This Row],[Sell_through%]]&gt;=0.6,"Fast","Slow")))</f>
        <v>Slow</v>
      </c>
      <c r="M297">
        <f>IF(AND(ISNUMBER(Raw_Data[[#This Row],[Closing_Stock]]),ISNUMBER(Raw_Data[[#This Row],[Unit_Cost]])),Raw_Data[[#This Row],[Closing_Stock]]*Raw_Data[[#This Row],[Unit_Cost]],"")</f>
        <v>68058</v>
      </c>
      <c r="N297"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298" spans="1:14" x14ac:dyDescent="0.3">
      <c r="A298" t="s">
        <v>517</v>
      </c>
      <c r="B298" t="s">
        <v>562</v>
      </c>
      <c r="C298" t="s">
        <v>35</v>
      </c>
      <c r="D298" t="s">
        <v>13</v>
      </c>
      <c r="E298" s="3">
        <v>46116</v>
      </c>
      <c r="F298">
        <v>426</v>
      </c>
      <c r="G298">
        <v>160</v>
      </c>
      <c r="H298">
        <v>266</v>
      </c>
      <c r="I298">
        <v>1798</v>
      </c>
      <c r="J298" t="s">
        <v>14</v>
      </c>
      <c r="K298" s="4">
        <f>IF(AND(ISNUMBER(Raw_Data[[#This Row],[Opening_Stock]]),ISNUMBER(Raw_Data[[#This Row],[Units_Sold]]),Raw_Data[[#This Row],[Opening_Stock]]&gt;0),Raw_Data[[#This Row],[Units_Sold]]/Raw_Data[[#This Row],[Opening_Stock]],"")</f>
        <v>0.37558685446009388</v>
      </c>
      <c r="L298" t="str">
        <f>IF(NOT(ISNUMBER(Raw_Data[[#This Row],[Sell_through%]])),"Check",IF(Raw_Data[[#This Row],[Sell_through%]]=0,"Non-moving",IF(Raw_Data[[#This Row],[Sell_through%]]&gt;=0.6,"Fast","Slow")))</f>
        <v>Slow</v>
      </c>
      <c r="M298">
        <f>IF(AND(ISNUMBER(Raw_Data[[#This Row],[Closing_Stock]]),ISNUMBER(Raw_Data[[#This Row],[Unit_Cost]])),Raw_Data[[#This Row],[Closing_Stock]]*Raw_Data[[#This Row],[Unit_Cost]],"")</f>
        <v>478268</v>
      </c>
      <c r="N29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299" spans="1:14" x14ac:dyDescent="0.3">
      <c r="A299" t="s">
        <v>519</v>
      </c>
      <c r="B299" t="s">
        <v>479</v>
      </c>
      <c r="C299" t="s">
        <v>31</v>
      </c>
      <c r="D299" t="s">
        <v>32</v>
      </c>
      <c r="E299" s="3">
        <v>46161</v>
      </c>
      <c r="F299">
        <v>50</v>
      </c>
      <c r="G299">
        <v>4</v>
      </c>
      <c r="H299">
        <v>46</v>
      </c>
      <c r="I299">
        <v>588</v>
      </c>
      <c r="J299" t="s">
        <v>17</v>
      </c>
      <c r="K299" s="4">
        <f>IF(AND(ISNUMBER(Raw_Data[[#This Row],[Opening_Stock]]),ISNUMBER(Raw_Data[[#This Row],[Units_Sold]]),Raw_Data[[#This Row],[Opening_Stock]]&gt;0),Raw_Data[[#This Row],[Units_Sold]]/Raw_Data[[#This Row],[Opening_Stock]],"")</f>
        <v>0.08</v>
      </c>
      <c r="L299" t="str">
        <f>IF(NOT(ISNUMBER(Raw_Data[[#This Row],[Sell_through%]])),"Check",IF(Raw_Data[[#This Row],[Sell_through%]]=0,"Non-moving",IF(Raw_Data[[#This Row],[Sell_through%]]&gt;=0.6,"Fast","Slow")))</f>
        <v>Slow</v>
      </c>
      <c r="M299">
        <f>IF(AND(ISNUMBER(Raw_Data[[#This Row],[Closing_Stock]]),ISNUMBER(Raw_Data[[#This Row],[Unit_Cost]])),Raw_Data[[#This Row],[Closing_Stock]]*Raw_Data[[#This Row],[Unit_Cost]],"")</f>
        <v>27048</v>
      </c>
      <c r="N29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00" spans="1:14" x14ac:dyDescent="0.3">
      <c r="A300" t="s">
        <v>520</v>
      </c>
      <c r="B300" t="s">
        <v>89</v>
      </c>
      <c r="D300" t="s">
        <v>32</v>
      </c>
      <c r="E300" s="3">
        <v>46075</v>
      </c>
      <c r="F300">
        <v>163</v>
      </c>
      <c r="G300">
        <v>156</v>
      </c>
      <c r="H300">
        <v>7</v>
      </c>
      <c r="I300">
        <v>123</v>
      </c>
      <c r="J300" t="s">
        <v>17</v>
      </c>
      <c r="K300" s="4">
        <f>IF(AND(ISNUMBER(Raw_Data[[#This Row],[Opening_Stock]]),ISNUMBER(Raw_Data[[#This Row],[Units_Sold]]),Raw_Data[[#This Row],[Opening_Stock]]&gt;0),Raw_Data[[#This Row],[Units_Sold]]/Raw_Data[[#This Row],[Opening_Stock]],"")</f>
        <v>0.95705521472392641</v>
      </c>
      <c r="L300" t="str">
        <f>IF(NOT(ISNUMBER(Raw_Data[[#This Row],[Sell_through%]])),"Check",IF(Raw_Data[[#This Row],[Sell_through%]]=0,"Non-moving",IF(Raw_Data[[#This Row],[Sell_through%]]&gt;=0.6,"Fast","Slow")))</f>
        <v>Fast</v>
      </c>
      <c r="M300">
        <f>IF(AND(ISNUMBER(Raw_Data[[#This Row],[Closing_Stock]]),ISNUMBER(Raw_Data[[#This Row],[Unit_Cost]])),Raw_Data[[#This Row],[Closing_Stock]]*Raw_Data[[#This Row],[Unit_Cost]],"")</f>
        <v>861</v>
      </c>
      <c r="N30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01" spans="1:14" x14ac:dyDescent="0.3">
      <c r="A301" t="s">
        <v>521</v>
      </c>
      <c r="B301" t="s">
        <v>105</v>
      </c>
      <c r="C301" t="s">
        <v>28</v>
      </c>
      <c r="D301" t="s">
        <v>32</v>
      </c>
      <c r="E301" s="3">
        <v>46127</v>
      </c>
      <c r="F301">
        <v>451</v>
      </c>
      <c r="G301">
        <v>59</v>
      </c>
      <c r="H301">
        <v>392</v>
      </c>
      <c r="I301">
        <v>411</v>
      </c>
      <c r="J301" t="s">
        <v>14</v>
      </c>
      <c r="K301" s="4">
        <f>IF(AND(ISNUMBER(Raw_Data[[#This Row],[Opening_Stock]]),ISNUMBER(Raw_Data[[#This Row],[Units_Sold]]),Raw_Data[[#This Row],[Opening_Stock]]&gt;0),Raw_Data[[#This Row],[Units_Sold]]/Raw_Data[[#This Row],[Opening_Stock]],"")</f>
        <v>0.13082039911308205</v>
      </c>
      <c r="L301" t="str">
        <f>IF(NOT(ISNUMBER(Raw_Data[[#This Row],[Sell_through%]])),"Check",IF(Raw_Data[[#This Row],[Sell_through%]]=0,"Non-moving",IF(Raw_Data[[#This Row],[Sell_through%]]&gt;=0.6,"Fast","Slow")))</f>
        <v>Slow</v>
      </c>
      <c r="M301">
        <f>IF(AND(ISNUMBER(Raw_Data[[#This Row],[Closing_Stock]]),ISNUMBER(Raw_Data[[#This Row],[Unit_Cost]])),Raw_Data[[#This Row],[Closing_Stock]]*Raw_Data[[#This Row],[Unit_Cost]],"")</f>
        <v>161112</v>
      </c>
      <c r="N30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02" spans="1:14" x14ac:dyDescent="0.3">
      <c r="A302" t="s">
        <v>522</v>
      </c>
      <c r="B302" t="s">
        <v>51</v>
      </c>
      <c r="C302" t="s">
        <v>49</v>
      </c>
      <c r="D302" t="s">
        <v>21</v>
      </c>
      <c r="E302" s="3">
        <v>46098</v>
      </c>
      <c r="F302">
        <v>246</v>
      </c>
      <c r="G302">
        <v>28</v>
      </c>
      <c r="H302">
        <v>218</v>
      </c>
      <c r="I302">
        <v>2296</v>
      </c>
      <c r="J302" t="s">
        <v>14</v>
      </c>
      <c r="K302" s="4">
        <f>IF(AND(ISNUMBER(Raw_Data[[#This Row],[Opening_Stock]]),ISNUMBER(Raw_Data[[#This Row],[Units_Sold]]),Raw_Data[[#This Row],[Opening_Stock]]&gt;0),Raw_Data[[#This Row],[Units_Sold]]/Raw_Data[[#This Row],[Opening_Stock]],"")</f>
        <v>0.11382113821138211</v>
      </c>
      <c r="L302" t="str">
        <f>IF(NOT(ISNUMBER(Raw_Data[[#This Row],[Sell_through%]])),"Check",IF(Raw_Data[[#This Row],[Sell_through%]]=0,"Non-moving",IF(Raw_Data[[#This Row],[Sell_through%]]&gt;=0.6,"Fast","Slow")))</f>
        <v>Slow</v>
      </c>
      <c r="M302">
        <f>IF(AND(ISNUMBER(Raw_Data[[#This Row],[Closing_Stock]]),ISNUMBER(Raw_Data[[#This Row],[Unit_Cost]])),Raw_Data[[#This Row],[Closing_Stock]]*Raw_Data[[#This Row],[Unit_Cost]],"")</f>
        <v>500528</v>
      </c>
      <c r="N30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03" spans="1:14" x14ac:dyDescent="0.3">
      <c r="A303" t="s">
        <v>523</v>
      </c>
      <c r="B303" t="s">
        <v>184</v>
      </c>
      <c r="C303" t="s">
        <v>31</v>
      </c>
      <c r="D303" t="s">
        <v>21</v>
      </c>
      <c r="E303" s="3"/>
      <c r="F303">
        <v>98</v>
      </c>
      <c r="G303">
        <v>0</v>
      </c>
      <c r="I303">
        <v>1682</v>
      </c>
      <c r="J303" t="s">
        <v>14</v>
      </c>
      <c r="K303" s="4">
        <f>IF(AND(ISNUMBER(Raw_Data[[#This Row],[Opening_Stock]]),ISNUMBER(Raw_Data[[#This Row],[Units_Sold]]),Raw_Data[[#This Row],[Opening_Stock]]&gt;0),Raw_Data[[#This Row],[Units_Sold]]/Raw_Data[[#This Row],[Opening_Stock]],"")</f>
        <v>0</v>
      </c>
      <c r="L303" t="str">
        <f>IF(NOT(ISNUMBER(Raw_Data[[#This Row],[Sell_through%]])),"Check",IF(Raw_Data[[#This Row],[Sell_through%]]=0,"Non-moving",IF(Raw_Data[[#This Row],[Sell_through%]]&gt;=0.6,"Fast","Slow")))</f>
        <v>Non-moving</v>
      </c>
      <c r="M303" t="str">
        <f>IF(AND(ISNUMBER(Raw_Data[[#This Row],[Closing_Stock]]),ISNUMBER(Raw_Data[[#This Row],[Unit_Cost]])),Raw_Data[[#This Row],[Closing_Stock]]*Raw_Data[[#This Row],[Unit_Cost]],"")</f>
        <v/>
      </c>
      <c r="N30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04" spans="1:14" x14ac:dyDescent="0.3">
      <c r="A304" t="s">
        <v>525</v>
      </c>
      <c r="B304" t="s">
        <v>236</v>
      </c>
      <c r="C304" t="s">
        <v>12</v>
      </c>
      <c r="D304" t="s">
        <v>36</v>
      </c>
      <c r="E304" s="3">
        <v>46223</v>
      </c>
      <c r="F304">
        <v>435</v>
      </c>
      <c r="G304">
        <v>381</v>
      </c>
      <c r="H304">
        <v>54</v>
      </c>
      <c r="I304">
        <v>2951</v>
      </c>
      <c r="J304" t="s">
        <v>17</v>
      </c>
      <c r="K304" s="4">
        <f>IF(AND(ISNUMBER(Raw_Data[[#This Row],[Opening_Stock]]),ISNUMBER(Raw_Data[[#This Row],[Units_Sold]]),Raw_Data[[#This Row],[Opening_Stock]]&gt;0),Raw_Data[[#This Row],[Units_Sold]]/Raw_Data[[#This Row],[Opening_Stock]],"")</f>
        <v>0.87586206896551722</v>
      </c>
      <c r="L304" t="str">
        <f>IF(NOT(ISNUMBER(Raw_Data[[#This Row],[Sell_through%]])),"Check",IF(Raw_Data[[#This Row],[Sell_through%]]=0,"Non-moving",IF(Raw_Data[[#This Row],[Sell_through%]]&gt;=0.6,"Fast","Slow")))</f>
        <v>Fast</v>
      </c>
      <c r="M304">
        <f>IF(AND(ISNUMBER(Raw_Data[[#This Row],[Closing_Stock]]),ISNUMBER(Raw_Data[[#This Row],[Unit_Cost]])),Raw_Data[[#This Row],[Closing_Stock]]*Raw_Data[[#This Row],[Unit_Cost]],"")</f>
        <v>159354</v>
      </c>
      <c r="N30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05" spans="1:14" x14ac:dyDescent="0.3">
      <c r="A305" t="s">
        <v>526</v>
      </c>
      <c r="B305" t="s">
        <v>238</v>
      </c>
      <c r="C305" t="s">
        <v>28</v>
      </c>
      <c r="D305" t="s">
        <v>36</v>
      </c>
      <c r="E305" s="3">
        <v>46237</v>
      </c>
      <c r="G305">
        <v>196</v>
      </c>
      <c r="I305">
        <v>602</v>
      </c>
      <c r="J305" t="s">
        <v>14</v>
      </c>
      <c r="K305" s="4" t="str">
        <f>IF(AND(ISNUMBER(Raw_Data[[#This Row],[Opening_Stock]]),ISNUMBER(Raw_Data[[#This Row],[Units_Sold]]),Raw_Data[[#This Row],[Opening_Stock]]&gt;0),Raw_Data[[#This Row],[Units_Sold]]/Raw_Data[[#This Row],[Opening_Stock]],"")</f>
        <v/>
      </c>
      <c r="L305" t="str">
        <f>IF(NOT(ISNUMBER(Raw_Data[[#This Row],[Sell_through%]])),"Check",IF(Raw_Data[[#This Row],[Sell_through%]]=0,"Non-moving",IF(Raw_Data[[#This Row],[Sell_through%]]&gt;=0.6,"Fast","Slow")))</f>
        <v>Check</v>
      </c>
      <c r="M305" t="str">
        <f>IF(AND(ISNUMBER(Raw_Data[[#This Row],[Closing_Stock]]),ISNUMBER(Raw_Data[[#This Row],[Unit_Cost]])),Raw_Data[[#This Row],[Closing_Stock]]*Raw_Data[[#This Row],[Unit_Cost]],"")</f>
        <v/>
      </c>
      <c r="N30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06" spans="1:14" x14ac:dyDescent="0.3">
      <c r="A306" t="s">
        <v>527</v>
      </c>
      <c r="B306" t="s">
        <v>112</v>
      </c>
      <c r="C306" t="s">
        <v>35</v>
      </c>
      <c r="D306" t="s">
        <v>21</v>
      </c>
      <c r="E306" s="3"/>
      <c r="F306">
        <v>258</v>
      </c>
      <c r="G306">
        <v>0</v>
      </c>
      <c r="H306">
        <v>258</v>
      </c>
      <c r="I306">
        <v>1903</v>
      </c>
      <c r="J306" t="s">
        <v>14</v>
      </c>
      <c r="K306" s="4">
        <f>IF(AND(ISNUMBER(Raw_Data[[#This Row],[Opening_Stock]]),ISNUMBER(Raw_Data[[#This Row],[Units_Sold]]),Raw_Data[[#This Row],[Opening_Stock]]&gt;0),Raw_Data[[#This Row],[Units_Sold]]/Raw_Data[[#This Row],[Opening_Stock]],"")</f>
        <v>0</v>
      </c>
      <c r="L306" t="str">
        <f>IF(NOT(ISNUMBER(Raw_Data[[#This Row],[Sell_through%]])),"Check",IF(Raw_Data[[#This Row],[Sell_through%]]=0,"Non-moving",IF(Raw_Data[[#This Row],[Sell_through%]]&gt;=0.6,"Fast","Slow")))</f>
        <v>Non-moving</v>
      </c>
      <c r="M306">
        <f>IF(AND(ISNUMBER(Raw_Data[[#This Row],[Closing_Stock]]),ISNUMBER(Raw_Data[[#This Row],[Unit_Cost]])),Raw_Data[[#This Row],[Closing_Stock]]*Raw_Data[[#This Row],[Unit_Cost]],"")</f>
        <v>490974</v>
      </c>
      <c r="N30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07" spans="1:14" x14ac:dyDescent="0.3">
      <c r="A307" t="s">
        <v>528</v>
      </c>
      <c r="B307" t="s">
        <v>434</v>
      </c>
      <c r="C307" t="s">
        <v>31</v>
      </c>
      <c r="D307" t="s">
        <v>36</v>
      </c>
      <c r="E307" s="3">
        <v>46076</v>
      </c>
      <c r="F307">
        <v>469</v>
      </c>
      <c r="G307">
        <v>407</v>
      </c>
      <c r="H307">
        <v>62</v>
      </c>
      <c r="I307">
        <v>1236</v>
      </c>
      <c r="J307" t="s">
        <v>14</v>
      </c>
      <c r="K307" s="4">
        <f>IF(AND(ISNUMBER(Raw_Data[[#This Row],[Opening_Stock]]),ISNUMBER(Raw_Data[[#This Row],[Units_Sold]]),Raw_Data[[#This Row],[Opening_Stock]]&gt;0),Raw_Data[[#This Row],[Units_Sold]]/Raw_Data[[#This Row],[Opening_Stock]],"")</f>
        <v>0.86780383795309168</v>
      </c>
      <c r="L307" t="str">
        <f>IF(NOT(ISNUMBER(Raw_Data[[#This Row],[Sell_through%]])),"Check",IF(Raw_Data[[#This Row],[Sell_through%]]=0,"Non-moving",IF(Raw_Data[[#This Row],[Sell_through%]]&gt;=0.6,"Fast","Slow")))</f>
        <v>Fast</v>
      </c>
      <c r="M307">
        <f>IF(AND(ISNUMBER(Raw_Data[[#This Row],[Closing_Stock]]),ISNUMBER(Raw_Data[[#This Row],[Unit_Cost]])),Raw_Data[[#This Row],[Closing_Stock]]*Raw_Data[[#This Row],[Unit_Cost]],"")</f>
        <v>76632</v>
      </c>
      <c r="N307"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08" spans="1:14" x14ac:dyDescent="0.3">
      <c r="A308" t="s">
        <v>529</v>
      </c>
      <c r="B308" t="s">
        <v>262</v>
      </c>
      <c r="C308" t="s">
        <v>12</v>
      </c>
      <c r="D308" t="s">
        <v>13</v>
      </c>
      <c r="E308" s="3"/>
      <c r="F308">
        <v>432</v>
      </c>
      <c r="G308">
        <v>0</v>
      </c>
      <c r="H308">
        <v>432</v>
      </c>
      <c r="I308">
        <v>947</v>
      </c>
      <c r="J308" t="s">
        <v>14</v>
      </c>
      <c r="K308" s="4">
        <f>IF(AND(ISNUMBER(Raw_Data[[#This Row],[Opening_Stock]]),ISNUMBER(Raw_Data[[#This Row],[Units_Sold]]),Raw_Data[[#This Row],[Opening_Stock]]&gt;0),Raw_Data[[#This Row],[Units_Sold]]/Raw_Data[[#This Row],[Opening_Stock]],"")</f>
        <v>0</v>
      </c>
      <c r="L308" t="str">
        <f>IF(NOT(ISNUMBER(Raw_Data[[#This Row],[Sell_through%]])),"Check",IF(Raw_Data[[#This Row],[Sell_through%]]=0,"Non-moving",IF(Raw_Data[[#This Row],[Sell_through%]]&gt;=0.6,"Fast","Slow")))</f>
        <v>Non-moving</v>
      </c>
      <c r="M308">
        <f>IF(AND(ISNUMBER(Raw_Data[[#This Row],[Closing_Stock]]),ISNUMBER(Raw_Data[[#This Row],[Unit_Cost]])),Raw_Data[[#This Row],[Closing_Stock]]*Raw_Data[[#This Row],[Unit_Cost]],"")</f>
        <v>409104</v>
      </c>
      <c r="N30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09" spans="1:14" x14ac:dyDescent="0.3">
      <c r="A309" t="s">
        <v>531</v>
      </c>
      <c r="B309" t="s">
        <v>200</v>
      </c>
      <c r="C309" t="s">
        <v>35</v>
      </c>
      <c r="D309" t="s">
        <v>21</v>
      </c>
      <c r="E309" s="3">
        <v>46190</v>
      </c>
      <c r="F309">
        <v>472</v>
      </c>
      <c r="G309">
        <v>460</v>
      </c>
      <c r="H309">
        <v>12</v>
      </c>
      <c r="I309">
        <v>1854</v>
      </c>
      <c r="J309" t="s">
        <v>17</v>
      </c>
      <c r="K309" s="4">
        <f>IF(AND(ISNUMBER(Raw_Data[[#This Row],[Opening_Stock]]),ISNUMBER(Raw_Data[[#This Row],[Units_Sold]]),Raw_Data[[#This Row],[Opening_Stock]]&gt;0),Raw_Data[[#This Row],[Units_Sold]]/Raw_Data[[#This Row],[Opening_Stock]],"")</f>
        <v>0.97457627118644063</v>
      </c>
      <c r="L309" t="str">
        <f>IF(NOT(ISNUMBER(Raw_Data[[#This Row],[Sell_through%]])),"Check",IF(Raw_Data[[#This Row],[Sell_through%]]=0,"Non-moving",IF(Raw_Data[[#This Row],[Sell_through%]]&gt;=0.6,"Fast","Slow")))</f>
        <v>Fast</v>
      </c>
      <c r="M309">
        <f>IF(AND(ISNUMBER(Raw_Data[[#This Row],[Closing_Stock]]),ISNUMBER(Raw_Data[[#This Row],[Unit_Cost]])),Raw_Data[[#This Row],[Closing_Stock]]*Raw_Data[[#This Row],[Unit_Cost]],"")</f>
        <v>22248</v>
      </c>
      <c r="N30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10" spans="1:14" x14ac:dyDescent="0.3">
      <c r="A310" t="s">
        <v>533</v>
      </c>
      <c r="B310" t="s">
        <v>51</v>
      </c>
      <c r="C310" t="s">
        <v>49</v>
      </c>
      <c r="D310" t="s">
        <v>32</v>
      </c>
      <c r="E310" s="3">
        <v>46026</v>
      </c>
      <c r="F310">
        <v>261</v>
      </c>
      <c r="G310">
        <v>223</v>
      </c>
      <c r="H310">
        <v>38</v>
      </c>
      <c r="I310">
        <v>261</v>
      </c>
      <c r="J310" t="s">
        <v>17</v>
      </c>
      <c r="K310" s="4">
        <f>IF(AND(ISNUMBER(Raw_Data[[#This Row],[Opening_Stock]]),ISNUMBER(Raw_Data[[#This Row],[Units_Sold]]),Raw_Data[[#This Row],[Opening_Stock]]&gt;0),Raw_Data[[#This Row],[Units_Sold]]/Raw_Data[[#This Row],[Opening_Stock]],"")</f>
        <v>0.85440613026819923</v>
      </c>
      <c r="L310" t="str">
        <f>IF(NOT(ISNUMBER(Raw_Data[[#This Row],[Sell_through%]])),"Check",IF(Raw_Data[[#This Row],[Sell_through%]]=0,"Non-moving",IF(Raw_Data[[#This Row],[Sell_through%]]&gt;=0.6,"Fast","Slow")))</f>
        <v>Fast</v>
      </c>
      <c r="M310">
        <f>IF(AND(ISNUMBER(Raw_Data[[#This Row],[Closing_Stock]]),ISNUMBER(Raw_Data[[#This Row],[Unit_Cost]])),Raw_Data[[#This Row],[Closing_Stock]]*Raw_Data[[#This Row],[Unit_Cost]],"")</f>
        <v>9918</v>
      </c>
      <c r="N31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11" spans="1:14" x14ac:dyDescent="0.3">
      <c r="A311" t="s">
        <v>535</v>
      </c>
      <c r="B311" t="s">
        <v>455</v>
      </c>
      <c r="C311" t="s">
        <v>35</v>
      </c>
      <c r="D311" t="s">
        <v>13</v>
      </c>
      <c r="E311" s="3"/>
      <c r="F311">
        <v>177</v>
      </c>
      <c r="G311">
        <v>5</v>
      </c>
      <c r="H311">
        <v>177</v>
      </c>
      <c r="I311">
        <v>696</v>
      </c>
      <c r="J311" t="s">
        <v>14</v>
      </c>
      <c r="K311" s="4">
        <f>IF(AND(ISNUMBER(Raw_Data[[#This Row],[Opening_Stock]]),ISNUMBER(Raw_Data[[#This Row],[Units_Sold]]),Raw_Data[[#This Row],[Opening_Stock]]&gt;0),Raw_Data[[#This Row],[Units_Sold]]/Raw_Data[[#This Row],[Opening_Stock]],"")</f>
        <v>2.8248587570621469E-2</v>
      </c>
      <c r="L311" t="str">
        <f>IF(NOT(ISNUMBER(Raw_Data[[#This Row],[Sell_through%]])),"Check",IF(Raw_Data[[#This Row],[Sell_through%]]=0,"Non-moving",IF(Raw_Data[[#This Row],[Sell_through%]]&gt;=0.6,"Fast","Slow")))</f>
        <v>Slow</v>
      </c>
      <c r="M311">
        <f>IF(AND(ISNUMBER(Raw_Data[[#This Row],[Closing_Stock]]),ISNUMBER(Raw_Data[[#This Row],[Unit_Cost]])),Raw_Data[[#This Row],[Closing_Stock]]*Raw_Data[[#This Row],[Unit_Cost]],"")</f>
        <v>123192</v>
      </c>
      <c r="N31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12" spans="1:14" x14ac:dyDescent="0.3">
      <c r="A312" t="s">
        <v>537</v>
      </c>
      <c r="B312" t="s">
        <v>479</v>
      </c>
      <c r="C312" t="s">
        <v>31</v>
      </c>
      <c r="D312" t="s">
        <v>13</v>
      </c>
      <c r="E312" s="3"/>
      <c r="F312">
        <v>491</v>
      </c>
      <c r="H312">
        <v>491</v>
      </c>
      <c r="I312">
        <v>1951</v>
      </c>
      <c r="J312" t="s">
        <v>14</v>
      </c>
      <c r="K312" s="4" t="str">
        <f>IF(AND(ISNUMBER(Raw_Data[[#This Row],[Opening_Stock]]),ISNUMBER(Raw_Data[[#This Row],[Units_Sold]]),Raw_Data[[#This Row],[Opening_Stock]]&gt;0),Raw_Data[[#This Row],[Units_Sold]]/Raw_Data[[#This Row],[Opening_Stock]],"")</f>
        <v/>
      </c>
      <c r="L312" t="str">
        <f>IF(NOT(ISNUMBER(Raw_Data[[#This Row],[Sell_through%]])),"Check",IF(Raw_Data[[#This Row],[Sell_through%]]=0,"Non-moving",IF(Raw_Data[[#This Row],[Sell_through%]]&gt;=0.6,"Fast","Slow")))</f>
        <v>Check</v>
      </c>
      <c r="M312">
        <f>IF(AND(ISNUMBER(Raw_Data[[#This Row],[Closing_Stock]]),ISNUMBER(Raw_Data[[#This Row],[Unit_Cost]])),Raw_Data[[#This Row],[Closing_Stock]]*Raw_Data[[#This Row],[Unit_Cost]],"")</f>
        <v>957941</v>
      </c>
      <c r="N312"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13" spans="1:14" x14ac:dyDescent="0.3">
      <c r="A313" t="s">
        <v>538</v>
      </c>
      <c r="B313" t="s">
        <v>422</v>
      </c>
      <c r="C313" t="s">
        <v>12</v>
      </c>
      <c r="D313" t="s">
        <v>36</v>
      </c>
      <c r="E313" s="3">
        <v>46009</v>
      </c>
      <c r="F313">
        <v>124</v>
      </c>
      <c r="G313">
        <v>105</v>
      </c>
      <c r="H313">
        <v>19</v>
      </c>
      <c r="I313">
        <v>388</v>
      </c>
      <c r="J313" t="s">
        <v>17</v>
      </c>
      <c r="K313" s="4">
        <f>IF(AND(ISNUMBER(Raw_Data[[#This Row],[Opening_Stock]]),ISNUMBER(Raw_Data[[#This Row],[Units_Sold]]),Raw_Data[[#This Row],[Opening_Stock]]&gt;0),Raw_Data[[#This Row],[Units_Sold]]/Raw_Data[[#This Row],[Opening_Stock]],"")</f>
        <v>0.84677419354838712</v>
      </c>
      <c r="L313" t="str">
        <f>IF(NOT(ISNUMBER(Raw_Data[[#This Row],[Sell_through%]])),"Check",IF(Raw_Data[[#This Row],[Sell_through%]]=0,"Non-moving",IF(Raw_Data[[#This Row],[Sell_through%]]&gt;=0.6,"Fast","Slow")))</f>
        <v>Fast</v>
      </c>
      <c r="M313">
        <f>IF(AND(ISNUMBER(Raw_Data[[#This Row],[Closing_Stock]]),ISNUMBER(Raw_Data[[#This Row],[Unit_Cost]])),Raw_Data[[#This Row],[Closing_Stock]]*Raw_Data[[#This Row],[Unit_Cost]],"")</f>
        <v>7372</v>
      </c>
      <c r="N313"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14" spans="1:14" x14ac:dyDescent="0.3">
      <c r="A314" t="s">
        <v>540</v>
      </c>
      <c r="B314" t="s">
        <v>284</v>
      </c>
      <c r="C314" t="s">
        <v>49</v>
      </c>
      <c r="D314" t="s">
        <v>36</v>
      </c>
      <c r="E314" s="3">
        <v>46200</v>
      </c>
      <c r="F314">
        <v>450</v>
      </c>
      <c r="G314">
        <v>64</v>
      </c>
      <c r="H314">
        <v>386</v>
      </c>
      <c r="I314">
        <v>2658</v>
      </c>
      <c r="J314" t="s">
        <v>14</v>
      </c>
      <c r="K314" s="4">
        <f>IF(AND(ISNUMBER(Raw_Data[[#This Row],[Opening_Stock]]),ISNUMBER(Raw_Data[[#This Row],[Units_Sold]]),Raw_Data[[#This Row],[Opening_Stock]]&gt;0),Raw_Data[[#This Row],[Units_Sold]]/Raw_Data[[#This Row],[Opening_Stock]],"")</f>
        <v>0.14222222222222222</v>
      </c>
      <c r="L314" t="str">
        <f>IF(NOT(ISNUMBER(Raw_Data[[#This Row],[Sell_through%]])),"Check",IF(Raw_Data[[#This Row],[Sell_through%]]=0,"Non-moving",IF(Raw_Data[[#This Row],[Sell_through%]]&gt;=0.6,"Fast","Slow")))</f>
        <v>Slow</v>
      </c>
      <c r="M314">
        <f>IF(AND(ISNUMBER(Raw_Data[[#This Row],[Closing_Stock]]),ISNUMBER(Raw_Data[[#This Row],[Unit_Cost]])),Raw_Data[[#This Row],[Closing_Stock]]*Raw_Data[[#This Row],[Unit_Cost]],"")</f>
        <v>1025988</v>
      </c>
      <c r="N31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15" spans="1:14" x14ac:dyDescent="0.3">
      <c r="A315" t="s">
        <v>542</v>
      </c>
      <c r="B315" t="s">
        <v>434</v>
      </c>
      <c r="C315" t="s">
        <v>31</v>
      </c>
      <c r="D315" t="s">
        <v>21</v>
      </c>
      <c r="E315" s="3">
        <v>46215</v>
      </c>
      <c r="F315">
        <v>202</v>
      </c>
      <c r="G315">
        <v>157</v>
      </c>
      <c r="H315">
        <v>45</v>
      </c>
      <c r="I315">
        <v>1274</v>
      </c>
      <c r="J315" t="s">
        <v>17</v>
      </c>
      <c r="K315" s="4">
        <f>IF(AND(ISNUMBER(Raw_Data[[#This Row],[Opening_Stock]]),ISNUMBER(Raw_Data[[#This Row],[Units_Sold]]),Raw_Data[[#This Row],[Opening_Stock]]&gt;0),Raw_Data[[#This Row],[Units_Sold]]/Raw_Data[[#This Row],[Opening_Stock]],"")</f>
        <v>0.77722772277227725</v>
      </c>
      <c r="L315" t="str">
        <f>IF(NOT(ISNUMBER(Raw_Data[[#This Row],[Sell_through%]])),"Check",IF(Raw_Data[[#This Row],[Sell_through%]]=0,"Non-moving",IF(Raw_Data[[#This Row],[Sell_through%]]&gt;=0.6,"Fast","Slow")))</f>
        <v>Fast</v>
      </c>
      <c r="M315">
        <f>IF(AND(ISNUMBER(Raw_Data[[#This Row],[Closing_Stock]]),ISNUMBER(Raw_Data[[#This Row],[Unit_Cost]])),Raw_Data[[#This Row],[Closing_Stock]]*Raw_Data[[#This Row],[Unit_Cost]],"")</f>
        <v>57330</v>
      </c>
      <c r="N315"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16" spans="1:14" x14ac:dyDescent="0.3">
      <c r="A316" t="s">
        <v>543</v>
      </c>
      <c r="B316" t="s">
        <v>112</v>
      </c>
      <c r="C316" t="s">
        <v>35</v>
      </c>
      <c r="D316" t="s">
        <v>36</v>
      </c>
      <c r="E316" s="3">
        <v>46121</v>
      </c>
      <c r="F316">
        <v>309</v>
      </c>
      <c r="G316">
        <v>110</v>
      </c>
      <c r="H316">
        <v>199</v>
      </c>
      <c r="I316">
        <v>1154</v>
      </c>
      <c r="J316" t="s">
        <v>14</v>
      </c>
      <c r="K316" s="4">
        <f>IF(AND(ISNUMBER(Raw_Data[[#This Row],[Opening_Stock]]),ISNUMBER(Raw_Data[[#This Row],[Units_Sold]]),Raw_Data[[#This Row],[Opening_Stock]]&gt;0),Raw_Data[[#This Row],[Units_Sold]]/Raw_Data[[#This Row],[Opening_Stock]],"")</f>
        <v>0.35598705501618122</v>
      </c>
      <c r="L316" t="str">
        <f>IF(NOT(ISNUMBER(Raw_Data[[#This Row],[Sell_through%]])),"Check",IF(Raw_Data[[#This Row],[Sell_through%]]=0,"Non-moving",IF(Raw_Data[[#This Row],[Sell_through%]]&gt;=0.6,"Fast","Slow")))</f>
        <v>Slow</v>
      </c>
      <c r="M316">
        <f>IF(AND(ISNUMBER(Raw_Data[[#This Row],[Closing_Stock]]),ISNUMBER(Raw_Data[[#This Row],[Unit_Cost]])),Raw_Data[[#This Row],[Closing_Stock]]*Raw_Data[[#This Row],[Unit_Cost]],"")</f>
        <v>229646</v>
      </c>
      <c r="N31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17" spans="1:14" x14ac:dyDescent="0.3">
      <c r="A317" t="s">
        <v>545</v>
      </c>
      <c r="B317" t="s">
        <v>101</v>
      </c>
      <c r="C317" t="s">
        <v>12</v>
      </c>
      <c r="D317" t="s">
        <v>36</v>
      </c>
      <c r="E317" s="3">
        <v>46212</v>
      </c>
      <c r="F317">
        <v>231</v>
      </c>
      <c r="G317">
        <v>183</v>
      </c>
      <c r="H317">
        <v>48</v>
      </c>
      <c r="I317">
        <v>1374</v>
      </c>
      <c r="J317" t="s">
        <v>17</v>
      </c>
      <c r="K317" s="4">
        <f>IF(AND(ISNUMBER(Raw_Data[[#This Row],[Opening_Stock]]),ISNUMBER(Raw_Data[[#This Row],[Units_Sold]]),Raw_Data[[#This Row],[Opening_Stock]]&gt;0),Raw_Data[[#This Row],[Units_Sold]]/Raw_Data[[#This Row],[Opening_Stock]],"")</f>
        <v>0.79220779220779225</v>
      </c>
      <c r="L317" t="str">
        <f>IF(NOT(ISNUMBER(Raw_Data[[#This Row],[Sell_through%]])),"Check",IF(Raw_Data[[#This Row],[Sell_through%]]=0,"Non-moving",IF(Raw_Data[[#This Row],[Sell_through%]]&gt;=0.6,"Fast","Slow")))</f>
        <v>Fast</v>
      </c>
      <c r="M317">
        <f>IF(AND(ISNUMBER(Raw_Data[[#This Row],[Closing_Stock]]),ISNUMBER(Raw_Data[[#This Row],[Unit_Cost]])),Raw_Data[[#This Row],[Closing_Stock]]*Raw_Data[[#This Row],[Unit_Cost]],"")</f>
        <v>65952</v>
      </c>
      <c r="N31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18" spans="1:14" x14ac:dyDescent="0.3">
      <c r="A318" t="s">
        <v>546</v>
      </c>
      <c r="B318" t="s">
        <v>57</v>
      </c>
      <c r="C318" t="s">
        <v>28</v>
      </c>
      <c r="D318" t="s">
        <v>21</v>
      </c>
      <c r="E318" s="3">
        <v>46012</v>
      </c>
      <c r="F318">
        <v>332</v>
      </c>
      <c r="G318">
        <v>62</v>
      </c>
      <c r="H318">
        <v>270</v>
      </c>
      <c r="I318">
        <v>2382</v>
      </c>
      <c r="J318" t="s">
        <v>14</v>
      </c>
      <c r="K318" s="4">
        <f>IF(AND(ISNUMBER(Raw_Data[[#This Row],[Opening_Stock]]),ISNUMBER(Raw_Data[[#This Row],[Units_Sold]]),Raw_Data[[#This Row],[Opening_Stock]]&gt;0),Raw_Data[[#This Row],[Units_Sold]]/Raw_Data[[#This Row],[Opening_Stock]],"")</f>
        <v>0.18674698795180722</v>
      </c>
      <c r="L318" t="str">
        <f>IF(NOT(ISNUMBER(Raw_Data[[#This Row],[Sell_through%]])),"Check",IF(Raw_Data[[#This Row],[Sell_through%]]=0,"Non-moving",IF(Raw_Data[[#This Row],[Sell_through%]]&gt;=0.6,"Fast","Slow")))</f>
        <v>Slow</v>
      </c>
      <c r="M318">
        <f>IF(AND(ISNUMBER(Raw_Data[[#This Row],[Closing_Stock]]),ISNUMBER(Raw_Data[[#This Row],[Unit_Cost]])),Raw_Data[[#This Row],[Closing_Stock]]*Raw_Data[[#This Row],[Unit_Cost]],"")</f>
        <v>643140</v>
      </c>
      <c r="N31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19" spans="1:14" x14ac:dyDescent="0.3">
      <c r="A319" t="s">
        <v>548</v>
      </c>
      <c r="B319" t="s">
        <v>60</v>
      </c>
      <c r="C319" t="s">
        <v>28</v>
      </c>
      <c r="D319" t="s">
        <v>13</v>
      </c>
      <c r="E319" s="3">
        <v>46066</v>
      </c>
      <c r="F319">
        <v>421</v>
      </c>
      <c r="G319">
        <v>63</v>
      </c>
      <c r="H319">
        <v>358</v>
      </c>
      <c r="I319">
        <v>1887</v>
      </c>
      <c r="J319" t="s">
        <v>14</v>
      </c>
      <c r="K319" s="4">
        <f>IF(AND(ISNUMBER(Raw_Data[[#This Row],[Opening_Stock]]),ISNUMBER(Raw_Data[[#This Row],[Units_Sold]]),Raw_Data[[#This Row],[Opening_Stock]]&gt;0),Raw_Data[[#This Row],[Units_Sold]]/Raw_Data[[#This Row],[Opening_Stock]],"")</f>
        <v>0.1496437054631829</v>
      </c>
      <c r="L319" t="str">
        <f>IF(NOT(ISNUMBER(Raw_Data[[#This Row],[Sell_through%]])),"Check",IF(Raw_Data[[#This Row],[Sell_through%]]=0,"Non-moving",IF(Raw_Data[[#This Row],[Sell_through%]]&gt;=0.6,"Fast","Slow")))</f>
        <v>Slow</v>
      </c>
      <c r="M319">
        <f>IF(AND(ISNUMBER(Raw_Data[[#This Row],[Closing_Stock]]),ISNUMBER(Raw_Data[[#This Row],[Unit_Cost]])),Raw_Data[[#This Row],[Closing_Stock]]*Raw_Data[[#This Row],[Unit_Cost]],"")</f>
        <v>675546</v>
      </c>
      <c r="N31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20" spans="1:14" x14ac:dyDescent="0.3">
      <c r="A320" t="s">
        <v>549</v>
      </c>
      <c r="B320" t="s">
        <v>479</v>
      </c>
      <c r="C320" t="s">
        <v>31</v>
      </c>
      <c r="D320" t="s">
        <v>32</v>
      </c>
      <c r="E320" s="3"/>
      <c r="F320">
        <v>440</v>
      </c>
      <c r="G320">
        <v>0</v>
      </c>
      <c r="H320">
        <v>440</v>
      </c>
      <c r="I320">
        <v>1157</v>
      </c>
      <c r="J320" t="s">
        <v>14</v>
      </c>
      <c r="K320" s="4">
        <f>IF(AND(ISNUMBER(Raw_Data[[#This Row],[Opening_Stock]]),ISNUMBER(Raw_Data[[#This Row],[Units_Sold]]),Raw_Data[[#This Row],[Opening_Stock]]&gt;0),Raw_Data[[#This Row],[Units_Sold]]/Raw_Data[[#This Row],[Opening_Stock]],"")</f>
        <v>0</v>
      </c>
      <c r="L320" t="str">
        <f>IF(NOT(ISNUMBER(Raw_Data[[#This Row],[Sell_through%]])),"Check",IF(Raw_Data[[#This Row],[Sell_through%]]=0,"Non-moving",IF(Raw_Data[[#This Row],[Sell_through%]]&gt;=0.6,"Fast","Slow")))</f>
        <v>Non-moving</v>
      </c>
      <c r="M320">
        <f>IF(AND(ISNUMBER(Raw_Data[[#This Row],[Closing_Stock]]),ISNUMBER(Raw_Data[[#This Row],[Unit_Cost]])),Raw_Data[[#This Row],[Closing_Stock]]*Raw_Data[[#This Row],[Unit_Cost]],"")</f>
        <v>509080</v>
      </c>
      <c r="N32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21" spans="1:14" x14ac:dyDescent="0.3">
      <c r="A321" t="s">
        <v>550</v>
      </c>
      <c r="B321" t="s">
        <v>551</v>
      </c>
      <c r="C321" t="s">
        <v>12</v>
      </c>
      <c r="D321" t="s">
        <v>36</v>
      </c>
      <c r="E321" s="3">
        <v>46013</v>
      </c>
      <c r="F321">
        <v>487</v>
      </c>
      <c r="G321">
        <v>484</v>
      </c>
      <c r="H321">
        <v>3</v>
      </c>
      <c r="I321">
        <v>127</v>
      </c>
      <c r="J321" t="s">
        <v>17</v>
      </c>
      <c r="K321" s="4">
        <f>IF(AND(ISNUMBER(Raw_Data[[#This Row],[Opening_Stock]]),ISNUMBER(Raw_Data[[#This Row],[Units_Sold]]),Raw_Data[[#This Row],[Opening_Stock]]&gt;0),Raw_Data[[#This Row],[Units_Sold]]/Raw_Data[[#This Row],[Opening_Stock]],"")</f>
        <v>0.99383983572895274</v>
      </c>
      <c r="L321" t="str">
        <f>IF(NOT(ISNUMBER(Raw_Data[[#This Row],[Sell_through%]])),"Check",IF(Raw_Data[[#This Row],[Sell_through%]]=0,"Non-moving",IF(Raw_Data[[#This Row],[Sell_through%]]&gt;=0.6,"Fast","Slow")))</f>
        <v>Fast</v>
      </c>
      <c r="M321">
        <f>IF(AND(ISNUMBER(Raw_Data[[#This Row],[Closing_Stock]]),ISNUMBER(Raw_Data[[#This Row],[Unit_Cost]])),Raw_Data[[#This Row],[Closing_Stock]]*Raw_Data[[#This Row],[Unit_Cost]],"")</f>
        <v>381</v>
      </c>
      <c r="N32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22" spans="1:14" x14ac:dyDescent="0.3">
      <c r="A322" t="s">
        <v>552</v>
      </c>
      <c r="B322" t="s">
        <v>262</v>
      </c>
      <c r="C322" t="s">
        <v>12</v>
      </c>
      <c r="D322" t="s">
        <v>13</v>
      </c>
      <c r="E322" s="3"/>
      <c r="F322">
        <v>421</v>
      </c>
      <c r="G322">
        <v>0</v>
      </c>
      <c r="H322">
        <v>421</v>
      </c>
      <c r="I322">
        <v>806</v>
      </c>
      <c r="J322" t="s">
        <v>14</v>
      </c>
      <c r="K322" s="4">
        <f>IF(AND(ISNUMBER(Raw_Data[[#This Row],[Opening_Stock]]),ISNUMBER(Raw_Data[[#This Row],[Units_Sold]]),Raw_Data[[#This Row],[Opening_Stock]]&gt;0),Raw_Data[[#This Row],[Units_Sold]]/Raw_Data[[#This Row],[Opening_Stock]],"")</f>
        <v>0</v>
      </c>
      <c r="L322" t="str">
        <f>IF(NOT(ISNUMBER(Raw_Data[[#This Row],[Sell_through%]])),"Check",IF(Raw_Data[[#This Row],[Sell_through%]]=0,"Non-moving",IF(Raw_Data[[#This Row],[Sell_through%]]&gt;=0.6,"Fast","Slow")))</f>
        <v>Non-moving</v>
      </c>
      <c r="M322">
        <f>IF(AND(ISNUMBER(Raw_Data[[#This Row],[Closing_Stock]]),ISNUMBER(Raw_Data[[#This Row],[Unit_Cost]])),Raw_Data[[#This Row],[Closing_Stock]]*Raw_Data[[#This Row],[Unit_Cost]],"")</f>
        <v>339326</v>
      </c>
      <c r="N32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23" spans="1:14" x14ac:dyDescent="0.3">
      <c r="A323" t="s">
        <v>553</v>
      </c>
      <c r="B323" t="s">
        <v>27</v>
      </c>
      <c r="C323" t="s">
        <v>28</v>
      </c>
      <c r="D323" t="s">
        <v>21</v>
      </c>
      <c r="E323" s="3"/>
      <c r="F323">
        <v>483</v>
      </c>
      <c r="G323">
        <v>0</v>
      </c>
      <c r="H323">
        <v>483</v>
      </c>
      <c r="I323">
        <v>1369</v>
      </c>
      <c r="J323" t="s">
        <v>14</v>
      </c>
      <c r="K323" s="4">
        <f>IF(AND(ISNUMBER(Raw_Data[[#This Row],[Opening_Stock]]),ISNUMBER(Raw_Data[[#This Row],[Units_Sold]]),Raw_Data[[#This Row],[Opening_Stock]]&gt;0),Raw_Data[[#This Row],[Units_Sold]]/Raw_Data[[#This Row],[Opening_Stock]],"")</f>
        <v>0</v>
      </c>
      <c r="L323" t="str">
        <f>IF(NOT(ISNUMBER(Raw_Data[[#This Row],[Sell_through%]])),"Check",IF(Raw_Data[[#This Row],[Sell_through%]]=0,"Non-moving",IF(Raw_Data[[#This Row],[Sell_through%]]&gt;=0.6,"Fast","Slow")))</f>
        <v>Non-moving</v>
      </c>
      <c r="M323">
        <f>IF(AND(ISNUMBER(Raw_Data[[#This Row],[Closing_Stock]]),ISNUMBER(Raw_Data[[#This Row],[Unit_Cost]])),Raw_Data[[#This Row],[Closing_Stock]]*Raw_Data[[#This Row],[Unit_Cost]],"")</f>
        <v>661227</v>
      </c>
      <c r="N32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24" spans="1:14" x14ac:dyDescent="0.3">
      <c r="A324" t="s">
        <v>554</v>
      </c>
      <c r="B324" t="s">
        <v>164</v>
      </c>
      <c r="C324" t="s">
        <v>49</v>
      </c>
      <c r="D324" t="s">
        <v>36</v>
      </c>
      <c r="E324" s="3"/>
      <c r="F324">
        <v>481</v>
      </c>
      <c r="G324">
        <v>5</v>
      </c>
      <c r="H324">
        <v>481</v>
      </c>
      <c r="I324">
        <v>2061</v>
      </c>
      <c r="J324" t="s">
        <v>14</v>
      </c>
      <c r="K324" s="4">
        <f>IF(AND(ISNUMBER(Raw_Data[[#This Row],[Opening_Stock]]),ISNUMBER(Raw_Data[[#This Row],[Units_Sold]]),Raw_Data[[#This Row],[Opening_Stock]]&gt;0),Raw_Data[[#This Row],[Units_Sold]]/Raw_Data[[#This Row],[Opening_Stock]],"")</f>
        <v>1.0395010395010396E-2</v>
      </c>
      <c r="L324" t="str">
        <f>IF(NOT(ISNUMBER(Raw_Data[[#This Row],[Sell_through%]])),"Check",IF(Raw_Data[[#This Row],[Sell_through%]]=0,"Non-moving",IF(Raw_Data[[#This Row],[Sell_through%]]&gt;=0.6,"Fast","Slow")))</f>
        <v>Slow</v>
      </c>
      <c r="M324">
        <f>IF(AND(ISNUMBER(Raw_Data[[#This Row],[Closing_Stock]]),ISNUMBER(Raw_Data[[#This Row],[Unit_Cost]])),Raw_Data[[#This Row],[Closing_Stock]]*Raw_Data[[#This Row],[Unit_Cost]],"")</f>
        <v>991341</v>
      </c>
      <c r="N32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25" spans="1:14" x14ac:dyDescent="0.3">
      <c r="A325" t="s">
        <v>555</v>
      </c>
      <c r="B325" t="s">
        <v>27</v>
      </c>
      <c r="C325" t="s">
        <v>28</v>
      </c>
      <c r="D325" t="s">
        <v>36</v>
      </c>
      <c r="E325" s="3"/>
      <c r="F325">
        <v>234</v>
      </c>
      <c r="G325">
        <v>0</v>
      </c>
      <c r="H325">
        <v>234</v>
      </c>
      <c r="I325">
        <v>2125</v>
      </c>
      <c r="J325" t="s">
        <v>14</v>
      </c>
      <c r="K325" s="4">
        <f>IF(AND(ISNUMBER(Raw_Data[[#This Row],[Opening_Stock]]),ISNUMBER(Raw_Data[[#This Row],[Units_Sold]]),Raw_Data[[#This Row],[Opening_Stock]]&gt;0),Raw_Data[[#This Row],[Units_Sold]]/Raw_Data[[#This Row],[Opening_Stock]],"")</f>
        <v>0</v>
      </c>
      <c r="L325" t="str">
        <f>IF(NOT(ISNUMBER(Raw_Data[[#This Row],[Sell_through%]])),"Check",IF(Raw_Data[[#This Row],[Sell_through%]]=0,"Non-moving",IF(Raw_Data[[#This Row],[Sell_through%]]&gt;=0.6,"Fast","Slow")))</f>
        <v>Non-moving</v>
      </c>
      <c r="M325">
        <f>IF(AND(ISNUMBER(Raw_Data[[#This Row],[Closing_Stock]]),ISNUMBER(Raw_Data[[#This Row],[Unit_Cost]])),Raw_Data[[#This Row],[Closing_Stock]]*Raw_Data[[#This Row],[Unit_Cost]],"")</f>
        <v>497250</v>
      </c>
      <c r="N32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26" spans="1:14" x14ac:dyDescent="0.3">
      <c r="A326" t="s">
        <v>557</v>
      </c>
      <c r="B326" t="s">
        <v>422</v>
      </c>
      <c r="C326" t="s">
        <v>12</v>
      </c>
      <c r="D326" t="s">
        <v>36</v>
      </c>
      <c r="E326" s="3">
        <v>46045</v>
      </c>
      <c r="F326">
        <v>458</v>
      </c>
      <c r="G326">
        <v>173</v>
      </c>
      <c r="H326">
        <v>285</v>
      </c>
      <c r="I326">
        <v>925</v>
      </c>
      <c r="J326" t="s">
        <v>14</v>
      </c>
      <c r="K326" s="4">
        <f>IF(AND(ISNUMBER(Raw_Data[[#This Row],[Opening_Stock]]),ISNUMBER(Raw_Data[[#This Row],[Units_Sold]]),Raw_Data[[#This Row],[Opening_Stock]]&gt;0),Raw_Data[[#This Row],[Units_Sold]]/Raw_Data[[#This Row],[Opening_Stock]],"")</f>
        <v>0.37772925764192139</v>
      </c>
      <c r="L326" t="str">
        <f>IF(NOT(ISNUMBER(Raw_Data[[#This Row],[Sell_through%]])),"Check",IF(Raw_Data[[#This Row],[Sell_through%]]=0,"Non-moving",IF(Raw_Data[[#This Row],[Sell_through%]]&gt;=0.6,"Fast","Slow")))</f>
        <v>Slow</v>
      </c>
      <c r="M326">
        <f>IF(AND(ISNUMBER(Raw_Data[[#This Row],[Closing_Stock]]),ISNUMBER(Raw_Data[[#This Row],[Unit_Cost]])),Raw_Data[[#This Row],[Closing_Stock]]*Raw_Data[[#This Row],[Unit_Cost]],"")</f>
        <v>263625</v>
      </c>
      <c r="N32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27" spans="1:14" x14ac:dyDescent="0.3">
      <c r="A327" t="s">
        <v>558</v>
      </c>
      <c r="B327" t="s">
        <v>1342</v>
      </c>
      <c r="C327" t="s">
        <v>28</v>
      </c>
      <c r="D327" t="s">
        <v>32</v>
      </c>
      <c r="E327" s="3">
        <v>46077</v>
      </c>
      <c r="F327">
        <v>256</v>
      </c>
      <c r="G327">
        <v>59</v>
      </c>
      <c r="H327">
        <v>197</v>
      </c>
      <c r="I327">
        <v>1336</v>
      </c>
      <c r="J327" t="s">
        <v>14</v>
      </c>
      <c r="K327" s="4">
        <f>IF(AND(ISNUMBER(Raw_Data[[#This Row],[Opening_Stock]]),ISNUMBER(Raw_Data[[#This Row],[Units_Sold]]),Raw_Data[[#This Row],[Opening_Stock]]&gt;0),Raw_Data[[#This Row],[Units_Sold]]/Raw_Data[[#This Row],[Opening_Stock]],"")</f>
        <v>0.23046875</v>
      </c>
      <c r="L327" t="str">
        <f>IF(NOT(ISNUMBER(Raw_Data[[#This Row],[Sell_through%]])),"Check",IF(Raw_Data[[#This Row],[Sell_through%]]=0,"Non-moving",IF(Raw_Data[[#This Row],[Sell_through%]]&gt;=0.6,"Fast","Slow")))</f>
        <v>Slow</v>
      </c>
      <c r="M327">
        <f>IF(AND(ISNUMBER(Raw_Data[[#This Row],[Closing_Stock]]),ISNUMBER(Raw_Data[[#This Row],[Unit_Cost]])),Raw_Data[[#This Row],[Closing_Stock]]*Raw_Data[[#This Row],[Unit_Cost]],"")</f>
        <v>263192</v>
      </c>
      <c r="N32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28" spans="1:14" x14ac:dyDescent="0.3">
      <c r="A328" t="s">
        <v>559</v>
      </c>
      <c r="B328" t="s">
        <v>479</v>
      </c>
      <c r="C328" t="s">
        <v>31</v>
      </c>
      <c r="D328" t="s">
        <v>13</v>
      </c>
      <c r="E328" s="3">
        <v>46245</v>
      </c>
      <c r="F328">
        <v>270</v>
      </c>
      <c r="G328">
        <v>212</v>
      </c>
      <c r="H328">
        <v>58</v>
      </c>
      <c r="I328">
        <v>2914</v>
      </c>
      <c r="J328" t="s">
        <v>17</v>
      </c>
      <c r="K328" s="4">
        <f>IF(AND(ISNUMBER(Raw_Data[[#This Row],[Opening_Stock]]),ISNUMBER(Raw_Data[[#This Row],[Units_Sold]]),Raw_Data[[#This Row],[Opening_Stock]]&gt;0),Raw_Data[[#This Row],[Units_Sold]]/Raw_Data[[#This Row],[Opening_Stock]],"")</f>
        <v>0.78518518518518521</v>
      </c>
      <c r="L328" t="str">
        <f>IF(NOT(ISNUMBER(Raw_Data[[#This Row],[Sell_through%]])),"Check",IF(Raw_Data[[#This Row],[Sell_through%]]=0,"Non-moving",IF(Raw_Data[[#This Row],[Sell_through%]]&gt;=0.6,"Fast","Slow")))</f>
        <v>Fast</v>
      </c>
      <c r="M328">
        <f>IF(AND(ISNUMBER(Raw_Data[[#This Row],[Closing_Stock]]),ISNUMBER(Raw_Data[[#This Row],[Unit_Cost]])),Raw_Data[[#This Row],[Closing_Stock]]*Raw_Data[[#This Row],[Unit_Cost]],"")</f>
        <v>169012</v>
      </c>
      <c r="N32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29" spans="1:14" x14ac:dyDescent="0.3">
      <c r="A329" t="s">
        <v>560</v>
      </c>
      <c r="B329" t="s">
        <v>240</v>
      </c>
      <c r="C329" t="s">
        <v>49</v>
      </c>
      <c r="D329" t="s">
        <v>36</v>
      </c>
      <c r="E329" s="3"/>
      <c r="F329">
        <v>231</v>
      </c>
      <c r="G329">
        <v>0</v>
      </c>
      <c r="H329">
        <v>231</v>
      </c>
      <c r="I329">
        <v>1189</v>
      </c>
      <c r="J329" t="s">
        <v>14</v>
      </c>
      <c r="K329" s="4">
        <f>IF(AND(ISNUMBER(Raw_Data[[#This Row],[Opening_Stock]]),ISNUMBER(Raw_Data[[#This Row],[Units_Sold]]),Raw_Data[[#This Row],[Opening_Stock]]&gt;0),Raw_Data[[#This Row],[Units_Sold]]/Raw_Data[[#This Row],[Opening_Stock]],"")</f>
        <v>0</v>
      </c>
      <c r="L329" t="str">
        <f>IF(NOT(ISNUMBER(Raw_Data[[#This Row],[Sell_through%]])),"Check",IF(Raw_Data[[#This Row],[Sell_through%]]=0,"Non-moving",IF(Raw_Data[[#This Row],[Sell_through%]]&gt;=0.6,"Fast","Slow")))</f>
        <v>Non-moving</v>
      </c>
      <c r="M329">
        <f>IF(AND(ISNUMBER(Raw_Data[[#This Row],[Closing_Stock]]),ISNUMBER(Raw_Data[[#This Row],[Unit_Cost]])),Raw_Data[[#This Row],[Closing_Stock]]*Raw_Data[[#This Row],[Unit_Cost]],"")</f>
        <v>274659</v>
      </c>
      <c r="N32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30" spans="1:14" x14ac:dyDescent="0.3">
      <c r="A330" t="s">
        <v>561</v>
      </c>
      <c r="B330" t="s">
        <v>562</v>
      </c>
      <c r="C330" t="s">
        <v>35</v>
      </c>
      <c r="D330" t="s">
        <v>13</v>
      </c>
      <c r="E330" s="3">
        <v>46008</v>
      </c>
      <c r="F330">
        <v>388</v>
      </c>
      <c r="G330">
        <v>68</v>
      </c>
      <c r="H330">
        <v>320</v>
      </c>
      <c r="I330">
        <v>334</v>
      </c>
      <c r="J330" t="s">
        <v>14</v>
      </c>
      <c r="K330" s="4">
        <f>IF(AND(ISNUMBER(Raw_Data[[#This Row],[Opening_Stock]]),ISNUMBER(Raw_Data[[#This Row],[Units_Sold]]),Raw_Data[[#This Row],[Opening_Stock]]&gt;0),Raw_Data[[#This Row],[Units_Sold]]/Raw_Data[[#This Row],[Opening_Stock]],"")</f>
        <v>0.17525773195876287</v>
      </c>
      <c r="L330" t="str">
        <f>IF(NOT(ISNUMBER(Raw_Data[[#This Row],[Sell_through%]])),"Check",IF(Raw_Data[[#This Row],[Sell_through%]]=0,"Non-moving",IF(Raw_Data[[#This Row],[Sell_through%]]&gt;=0.6,"Fast","Slow")))</f>
        <v>Slow</v>
      </c>
      <c r="M330">
        <f>IF(AND(ISNUMBER(Raw_Data[[#This Row],[Closing_Stock]]),ISNUMBER(Raw_Data[[#This Row],[Unit_Cost]])),Raw_Data[[#This Row],[Closing_Stock]]*Raw_Data[[#This Row],[Unit_Cost]],"")</f>
        <v>106880</v>
      </c>
      <c r="N33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31" spans="1:14" x14ac:dyDescent="0.3">
      <c r="A331" t="s">
        <v>563</v>
      </c>
      <c r="B331" t="s">
        <v>142</v>
      </c>
      <c r="C331" t="s">
        <v>49</v>
      </c>
      <c r="D331" t="s">
        <v>32</v>
      </c>
      <c r="E331" s="3"/>
      <c r="F331">
        <v>204</v>
      </c>
      <c r="G331">
        <v>0</v>
      </c>
      <c r="H331">
        <v>204</v>
      </c>
      <c r="J331" t="s">
        <v>14</v>
      </c>
      <c r="K331" s="4">
        <f>IF(AND(ISNUMBER(Raw_Data[[#This Row],[Opening_Stock]]),ISNUMBER(Raw_Data[[#This Row],[Units_Sold]]),Raw_Data[[#This Row],[Opening_Stock]]&gt;0),Raw_Data[[#This Row],[Units_Sold]]/Raw_Data[[#This Row],[Opening_Stock]],"")</f>
        <v>0</v>
      </c>
      <c r="L331" t="str">
        <f>IF(NOT(ISNUMBER(Raw_Data[[#This Row],[Sell_through%]])),"Check",IF(Raw_Data[[#This Row],[Sell_through%]]=0,"Non-moving",IF(Raw_Data[[#This Row],[Sell_through%]]&gt;=0.6,"Fast","Slow")))</f>
        <v>Non-moving</v>
      </c>
      <c r="M331" t="str">
        <f>IF(AND(ISNUMBER(Raw_Data[[#This Row],[Closing_Stock]]),ISNUMBER(Raw_Data[[#This Row],[Unit_Cost]])),Raw_Data[[#This Row],[Closing_Stock]]*Raw_Data[[#This Row],[Unit_Cost]],"")</f>
        <v/>
      </c>
      <c r="N33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32" spans="1:14" x14ac:dyDescent="0.3">
      <c r="A332" t="s">
        <v>564</v>
      </c>
      <c r="B332" t="s">
        <v>234</v>
      </c>
      <c r="C332" t="s">
        <v>28</v>
      </c>
      <c r="D332" t="s">
        <v>32</v>
      </c>
      <c r="E332" s="3">
        <v>46075</v>
      </c>
      <c r="F332">
        <v>95</v>
      </c>
      <c r="G332">
        <v>83</v>
      </c>
      <c r="H332">
        <v>12</v>
      </c>
      <c r="I332">
        <v>2859</v>
      </c>
      <c r="J332" t="s">
        <v>17</v>
      </c>
      <c r="K332" s="4">
        <f>IF(AND(ISNUMBER(Raw_Data[[#This Row],[Opening_Stock]]),ISNUMBER(Raw_Data[[#This Row],[Units_Sold]]),Raw_Data[[#This Row],[Opening_Stock]]&gt;0),Raw_Data[[#This Row],[Units_Sold]]/Raw_Data[[#This Row],[Opening_Stock]],"")</f>
        <v>0.87368421052631584</v>
      </c>
      <c r="L332" t="str">
        <f>IF(NOT(ISNUMBER(Raw_Data[[#This Row],[Sell_through%]])),"Check",IF(Raw_Data[[#This Row],[Sell_through%]]=0,"Non-moving",IF(Raw_Data[[#This Row],[Sell_through%]]&gt;=0.6,"Fast","Slow")))</f>
        <v>Fast</v>
      </c>
      <c r="M332">
        <f>IF(AND(ISNUMBER(Raw_Data[[#This Row],[Closing_Stock]]),ISNUMBER(Raw_Data[[#This Row],[Unit_Cost]])),Raw_Data[[#This Row],[Closing_Stock]]*Raw_Data[[#This Row],[Unit_Cost]],"")</f>
        <v>34308</v>
      </c>
      <c r="N332"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33" spans="1:14" x14ac:dyDescent="0.3">
      <c r="A333" t="s">
        <v>565</v>
      </c>
      <c r="B333" t="s">
        <v>80</v>
      </c>
      <c r="C333" t="s">
        <v>12</v>
      </c>
      <c r="D333" t="s">
        <v>32</v>
      </c>
      <c r="E333" s="3"/>
      <c r="F333">
        <v>79</v>
      </c>
      <c r="G333">
        <v>0</v>
      </c>
      <c r="H333">
        <v>79</v>
      </c>
      <c r="I333">
        <v>2406</v>
      </c>
      <c r="J333" t="s">
        <v>14</v>
      </c>
      <c r="K333" s="4">
        <f>IF(AND(ISNUMBER(Raw_Data[[#This Row],[Opening_Stock]]),ISNUMBER(Raw_Data[[#This Row],[Units_Sold]]),Raw_Data[[#This Row],[Opening_Stock]]&gt;0),Raw_Data[[#This Row],[Units_Sold]]/Raw_Data[[#This Row],[Opening_Stock]],"")</f>
        <v>0</v>
      </c>
      <c r="L333" t="str">
        <f>IF(NOT(ISNUMBER(Raw_Data[[#This Row],[Sell_through%]])),"Check",IF(Raw_Data[[#This Row],[Sell_through%]]=0,"Non-moving",IF(Raw_Data[[#This Row],[Sell_through%]]&gt;=0.6,"Fast","Slow")))</f>
        <v>Non-moving</v>
      </c>
      <c r="M333">
        <f>IF(AND(ISNUMBER(Raw_Data[[#This Row],[Closing_Stock]]),ISNUMBER(Raw_Data[[#This Row],[Unit_Cost]])),Raw_Data[[#This Row],[Closing_Stock]]*Raw_Data[[#This Row],[Unit_Cost]],"")</f>
        <v>190074</v>
      </c>
      <c r="N33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34" spans="1:14" x14ac:dyDescent="0.3">
      <c r="A334" t="s">
        <v>567</v>
      </c>
      <c r="B334" t="s">
        <v>262</v>
      </c>
      <c r="C334" t="s">
        <v>12</v>
      </c>
      <c r="D334" t="s">
        <v>36</v>
      </c>
      <c r="E334" s="3">
        <v>46148</v>
      </c>
      <c r="F334">
        <v>448</v>
      </c>
      <c r="G334">
        <v>41</v>
      </c>
      <c r="H334">
        <v>407</v>
      </c>
      <c r="I334">
        <v>1520</v>
      </c>
      <c r="J334" t="s">
        <v>14</v>
      </c>
      <c r="K334" s="4">
        <f>IF(AND(ISNUMBER(Raw_Data[[#This Row],[Opening_Stock]]),ISNUMBER(Raw_Data[[#This Row],[Units_Sold]]),Raw_Data[[#This Row],[Opening_Stock]]&gt;0),Raw_Data[[#This Row],[Units_Sold]]/Raw_Data[[#This Row],[Opening_Stock]],"")</f>
        <v>9.1517857142857137E-2</v>
      </c>
      <c r="L334" t="str">
        <f>IF(NOT(ISNUMBER(Raw_Data[[#This Row],[Sell_through%]])),"Check",IF(Raw_Data[[#This Row],[Sell_through%]]=0,"Non-moving",IF(Raw_Data[[#This Row],[Sell_through%]]&gt;=0.6,"Fast","Slow")))</f>
        <v>Slow</v>
      </c>
      <c r="M334">
        <f>IF(AND(ISNUMBER(Raw_Data[[#This Row],[Closing_Stock]]),ISNUMBER(Raw_Data[[#This Row],[Unit_Cost]])),Raw_Data[[#This Row],[Closing_Stock]]*Raw_Data[[#This Row],[Unit_Cost]],"")</f>
        <v>618640</v>
      </c>
      <c r="N33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35" spans="1:14" x14ac:dyDescent="0.3">
      <c r="A335" t="s">
        <v>568</v>
      </c>
      <c r="B335" t="s">
        <v>146</v>
      </c>
      <c r="C335" t="s">
        <v>35</v>
      </c>
      <c r="D335" t="s">
        <v>36</v>
      </c>
      <c r="E335" s="3"/>
      <c r="F335">
        <v>220</v>
      </c>
      <c r="G335">
        <v>0</v>
      </c>
      <c r="H335">
        <v>220</v>
      </c>
      <c r="I335">
        <v>369</v>
      </c>
      <c r="J335" t="s">
        <v>14</v>
      </c>
      <c r="K335" s="4">
        <f>IF(AND(ISNUMBER(Raw_Data[[#This Row],[Opening_Stock]]),ISNUMBER(Raw_Data[[#This Row],[Units_Sold]]),Raw_Data[[#This Row],[Opening_Stock]]&gt;0),Raw_Data[[#This Row],[Units_Sold]]/Raw_Data[[#This Row],[Opening_Stock]],"")</f>
        <v>0</v>
      </c>
      <c r="L335" t="str">
        <f>IF(NOT(ISNUMBER(Raw_Data[[#This Row],[Sell_through%]])),"Check",IF(Raw_Data[[#This Row],[Sell_through%]]=0,"Non-moving",IF(Raw_Data[[#This Row],[Sell_through%]]&gt;=0.6,"Fast","Slow")))</f>
        <v>Non-moving</v>
      </c>
      <c r="M335">
        <f>IF(AND(ISNUMBER(Raw_Data[[#This Row],[Closing_Stock]]),ISNUMBER(Raw_Data[[#This Row],[Unit_Cost]])),Raw_Data[[#This Row],[Closing_Stock]]*Raw_Data[[#This Row],[Unit_Cost]],"")</f>
        <v>81180</v>
      </c>
      <c r="N33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36" spans="1:14" x14ac:dyDescent="0.3">
      <c r="A336" t="s">
        <v>569</v>
      </c>
      <c r="B336" t="s">
        <v>34</v>
      </c>
      <c r="C336" t="s">
        <v>35</v>
      </c>
      <c r="D336" t="s">
        <v>13</v>
      </c>
      <c r="E336" s="3">
        <v>46269</v>
      </c>
      <c r="F336">
        <v>485</v>
      </c>
      <c r="G336">
        <v>179</v>
      </c>
      <c r="H336">
        <v>306</v>
      </c>
      <c r="I336">
        <v>548</v>
      </c>
      <c r="J336" t="s">
        <v>14</v>
      </c>
      <c r="K336" s="4">
        <f>IF(AND(ISNUMBER(Raw_Data[[#This Row],[Opening_Stock]]),ISNUMBER(Raw_Data[[#This Row],[Units_Sold]]),Raw_Data[[#This Row],[Opening_Stock]]&gt;0),Raw_Data[[#This Row],[Units_Sold]]/Raw_Data[[#This Row],[Opening_Stock]],"")</f>
        <v>0.36907216494845363</v>
      </c>
      <c r="L336" t="str">
        <f>IF(NOT(ISNUMBER(Raw_Data[[#This Row],[Sell_through%]])),"Check",IF(Raw_Data[[#This Row],[Sell_through%]]=0,"Non-moving",IF(Raw_Data[[#This Row],[Sell_through%]]&gt;=0.6,"Fast","Slow")))</f>
        <v>Slow</v>
      </c>
      <c r="M336">
        <f>IF(AND(ISNUMBER(Raw_Data[[#This Row],[Closing_Stock]]),ISNUMBER(Raw_Data[[#This Row],[Unit_Cost]])),Raw_Data[[#This Row],[Closing_Stock]]*Raw_Data[[#This Row],[Unit_Cost]],"")</f>
        <v>167688</v>
      </c>
      <c r="N33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37" spans="1:14" x14ac:dyDescent="0.3">
      <c r="A337" t="s">
        <v>570</v>
      </c>
      <c r="B337" t="s">
        <v>93</v>
      </c>
      <c r="C337" t="s">
        <v>12</v>
      </c>
      <c r="D337" t="s">
        <v>13</v>
      </c>
      <c r="E337" s="3">
        <v>46041</v>
      </c>
      <c r="F337">
        <v>246</v>
      </c>
      <c r="G337">
        <v>65</v>
      </c>
      <c r="H337">
        <v>181</v>
      </c>
      <c r="I337">
        <v>555</v>
      </c>
      <c r="J337" t="s">
        <v>14</v>
      </c>
      <c r="K337" s="4">
        <f>IF(AND(ISNUMBER(Raw_Data[[#This Row],[Opening_Stock]]),ISNUMBER(Raw_Data[[#This Row],[Units_Sold]]),Raw_Data[[#This Row],[Opening_Stock]]&gt;0),Raw_Data[[#This Row],[Units_Sold]]/Raw_Data[[#This Row],[Opening_Stock]],"")</f>
        <v>0.26422764227642276</v>
      </c>
      <c r="L337" t="str">
        <f>IF(NOT(ISNUMBER(Raw_Data[[#This Row],[Sell_through%]])),"Check",IF(Raw_Data[[#This Row],[Sell_through%]]=0,"Non-moving",IF(Raw_Data[[#This Row],[Sell_through%]]&gt;=0.6,"Fast","Slow")))</f>
        <v>Slow</v>
      </c>
      <c r="M337">
        <f>IF(AND(ISNUMBER(Raw_Data[[#This Row],[Closing_Stock]]),ISNUMBER(Raw_Data[[#This Row],[Unit_Cost]])),Raw_Data[[#This Row],[Closing_Stock]]*Raw_Data[[#This Row],[Unit_Cost]],"")</f>
        <v>100455</v>
      </c>
      <c r="N33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38" spans="1:14" x14ac:dyDescent="0.3">
      <c r="A338" t="s">
        <v>571</v>
      </c>
      <c r="B338" t="s">
        <v>45</v>
      </c>
      <c r="C338" t="s">
        <v>35</v>
      </c>
      <c r="D338" t="s">
        <v>13</v>
      </c>
      <c r="E338" s="3">
        <v>46067</v>
      </c>
      <c r="F338">
        <v>352</v>
      </c>
      <c r="G338">
        <v>73</v>
      </c>
      <c r="H338">
        <v>279</v>
      </c>
      <c r="I338">
        <v>2808</v>
      </c>
      <c r="J338" t="s">
        <v>14</v>
      </c>
      <c r="K338" s="4">
        <f>IF(AND(ISNUMBER(Raw_Data[[#This Row],[Opening_Stock]]),ISNUMBER(Raw_Data[[#This Row],[Units_Sold]]),Raw_Data[[#This Row],[Opening_Stock]]&gt;0),Raw_Data[[#This Row],[Units_Sold]]/Raw_Data[[#This Row],[Opening_Stock]],"")</f>
        <v>0.20738636363636365</v>
      </c>
      <c r="L338" t="str">
        <f>IF(NOT(ISNUMBER(Raw_Data[[#This Row],[Sell_through%]])),"Check",IF(Raw_Data[[#This Row],[Sell_through%]]=0,"Non-moving",IF(Raw_Data[[#This Row],[Sell_through%]]&gt;=0.6,"Fast","Slow")))</f>
        <v>Slow</v>
      </c>
      <c r="M338">
        <f>IF(AND(ISNUMBER(Raw_Data[[#This Row],[Closing_Stock]]),ISNUMBER(Raw_Data[[#This Row],[Unit_Cost]])),Raw_Data[[#This Row],[Closing_Stock]]*Raw_Data[[#This Row],[Unit_Cost]],"")</f>
        <v>783432</v>
      </c>
      <c r="N33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39" spans="1:14" x14ac:dyDescent="0.3">
      <c r="A339" t="s">
        <v>573</v>
      </c>
      <c r="B339" t="s">
        <v>211</v>
      </c>
      <c r="C339" t="s">
        <v>35</v>
      </c>
      <c r="D339" t="s">
        <v>32</v>
      </c>
      <c r="E339" s="3">
        <v>46155</v>
      </c>
      <c r="F339">
        <v>119</v>
      </c>
      <c r="G339">
        <v>40</v>
      </c>
      <c r="H339">
        <v>79</v>
      </c>
      <c r="I339">
        <v>1132</v>
      </c>
      <c r="J339" t="s">
        <v>14</v>
      </c>
      <c r="K339" s="4">
        <f>IF(AND(ISNUMBER(Raw_Data[[#This Row],[Opening_Stock]]),ISNUMBER(Raw_Data[[#This Row],[Units_Sold]]),Raw_Data[[#This Row],[Opening_Stock]]&gt;0),Raw_Data[[#This Row],[Units_Sold]]/Raw_Data[[#This Row],[Opening_Stock]],"")</f>
        <v>0.33613445378151263</v>
      </c>
      <c r="L339" t="str">
        <f>IF(NOT(ISNUMBER(Raw_Data[[#This Row],[Sell_through%]])),"Check",IF(Raw_Data[[#This Row],[Sell_through%]]=0,"Non-moving",IF(Raw_Data[[#This Row],[Sell_through%]]&gt;=0.6,"Fast","Slow")))</f>
        <v>Slow</v>
      </c>
      <c r="M339">
        <f>IF(AND(ISNUMBER(Raw_Data[[#This Row],[Closing_Stock]]),ISNUMBER(Raw_Data[[#This Row],[Unit_Cost]])),Raw_Data[[#This Row],[Closing_Stock]]*Raw_Data[[#This Row],[Unit_Cost]],"")</f>
        <v>89428</v>
      </c>
      <c r="N33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40" spans="1:14" x14ac:dyDescent="0.3">
      <c r="A340" t="s">
        <v>574</v>
      </c>
      <c r="B340" t="s">
        <v>455</v>
      </c>
      <c r="C340" t="s">
        <v>35</v>
      </c>
      <c r="D340" t="s">
        <v>21</v>
      </c>
      <c r="E340" s="3">
        <v>46160</v>
      </c>
      <c r="F340">
        <v>294</v>
      </c>
      <c r="G340">
        <v>281</v>
      </c>
      <c r="H340">
        <v>13</v>
      </c>
      <c r="I340">
        <v>2480</v>
      </c>
      <c r="J340" t="s">
        <v>17</v>
      </c>
      <c r="K340" s="4">
        <f>IF(AND(ISNUMBER(Raw_Data[[#This Row],[Opening_Stock]]),ISNUMBER(Raw_Data[[#This Row],[Units_Sold]]),Raw_Data[[#This Row],[Opening_Stock]]&gt;0),Raw_Data[[#This Row],[Units_Sold]]/Raw_Data[[#This Row],[Opening_Stock]],"")</f>
        <v>0.95578231292517002</v>
      </c>
      <c r="L340" t="str">
        <f>IF(NOT(ISNUMBER(Raw_Data[[#This Row],[Sell_through%]])),"Check",IF(Raw_Data[[#This Row],[Sell_through%]]=0,"Non-moving",IF(Raw_Data[[#This Row],[Sell_through%]]&gt;=0.6,"Fast","Slow")))</f>
        <v>Fast</v>
      </c>
      <c r="M340">
        <f>IF(AND(ISNUMBER(Raw_Data[[#This Row],[Closing_Stock]]),ISNUMBER(Raw_Data[[#This Row],[Unit_Cost]])),Raw_Data[[#This Row],[Closing_Stock]]*Raw_Data[[#This Row],[Unit_Cost]],"")</f>
        <v>32240</v>
      </c>
      <c r="N34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41" spans="1:14" x14ac:dyDescent="0.3">
      <c r="A341" t="s">
        <v>575</v>
      </c>
      <c r="B341" t="s">
        <v>211</v>
      </c>
      <c r="C341" t="s">
        <v>35</v>
      </c>
      <c r="D341" t="s">
        <v>21</v>
      </c>
      <c r="E341" s="3"/>
      <c r="F341">
        <v>133</v>
      </c>
      <c r="G341">
        <v>0</v>
      </c>
      <c r="H341">
        <v>133</v>
      </c>
      <c r="I341">
        <v>1793</v>
      </c>
      <c r="J341" t="s">
        <v>14</v>
      </c>
      <c r="K341" s="4">
        <f>IF(AND(ISNUMBER(Raw_Data[[#This Row],[Opening_Stock]]),ISNUMBER(Raw_Data[[#This Row],[Units_Sold]]),Raw_Data[[#This Row],[Opening_Stock]]&gt;0),Raw_Data[[#This Row],[Units_Sold]]/Raw_Data[[#This Row],[Opening_Stock]],"")</f>
        <v>0</v>
      </c>
      <c r="L341" t="str">
        <f>IF(NOT(ISNUMBER(Raw_Data[[#This Row],[Sell_through%]])),"Check",IF(Raw_Data[[#This Row],[Sell_through%]]=0,"Non-moving",IF(Raw_Data[[#This Row],[Sell_through%]]&gt;=0.6,"Fast","Slow")))</f>
        <v>Non-moving</v>
      </c>
      <c r="M341">
        <f>IF(AND(ISNUMBER(Raw_Data[[#This Row],[Closing_Stock]]),ISNUMBER(Raw_Data[[#This Row],[Unit_Cost]])),Raw_Data[[#This Row],[Closing_Stock]]*Raw_Data[[#This Row],[Unit_Cost]],"")</f>
        <v>238469</v>
      </c>
      <c r="N34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42" spans="1:14" x14ac:dyDescent="0.3">
      <c r="A342" t="s">
        <v>577</v>
      </c>
      <c r="B342" t="s">
        <v>211</v>
      </c>
      <c r="C342" t="s">
        <v>35</v>
      </c>
      <c r="D342" t="s">
        <v>21</v>
      </c>
      <c r="E342" s="3">
        <v>46001</v>
      </c>
      <c r="F342">
        <v>489</v>
      </c>
      <c r="G342">
        <v>469</v>
      </c>
      <c r="H342">
        <v>20</v>
      </c>
      <c r="I342">
        <v>1237</v>
      </c>
      <c r="J342" t="s">
        <v>17</v>
      </c>
      <c r="K342" s="4">
        <f>IF(AND(ISNUMBER(Raw_Data[[#This Row],[Opening_Stock]]),ISNUMBER(Raw_Data[[#This Row],[Units_Sold]]),Raw_Data[[#This Row],[Opening_Stock]]&gt;0),Raw_Data[[#This Row],[Units_Sold]]/Raw_Data[[#This Row],[Opening_Stock]],"")</f>
        <v>0.95910020449897748</v>
      </c>
      <c r="L342" t="str">
        <f>IF(NOT(ISNUMBER(Raw_Data[[#This Row],[Sell_through%]])),"Check",IF(Raw_Data[[#This Row],[Sell_through%]]=0,"Non-moving",IF(Raw_Data[[#This Row],[Sell_through%]]&gt;=0.6,"Fast","Slow")))</f>
        <v>Fast</v>
      </c>
      <c r="M342">
        <f>IF(AND(ISNUMBER(Raw_Data[[#This Row],[Closing_Stock]]),ISNUMBER(Raw_Data[[#This Row],[Unit_Cost]])),Raw_Data[[#This Row],[Closing_Stock]]*Raw_Data[[#This Row],[Unit_Cost]],"")</f>
        <v>24740</v>
      </c>
      <c r="N342"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43" spans="1:14" x14ac:dyDescent="0.3">
      <c r="A343" t="s">
        <v>579</v>
      </c>
      <c r="B343" t="s">
        <v>415</v>
      </c>
      <c r="C343" t="s">
        <v>31</v>
      </c>
      <c r="D343" t="s">
        <v>36</v>
      </c>
      <c r="E343" s="3">
        <v>46020</v>
      </c>
      <c r="F343">
        <v>170</v>
      </c>
      <c r="G343">
        <v>60</v>
      </c>
      <c r="H343">
        <v>110</v>
      </c>
      <c r="I343">
        <v>1012</v>
      </c>
      <c r="J343" t="s">
        <v>14</v>
      </c>
      <c r="K343" s="4">
        <f>IF(AND(ISNUMBER(Raw_Data[[#This Row],[Opening_Stock]]),ISNUMBER(Raw_Data[[#This Row],[Units_Sold]]),Raw_Data[[#This Row],[Opening_Stock]]&gt;0),Raw_Data[[#This Row],[Units_Sold]]/Raw_Data[[#This Row],[Opening_Stock]],"")</f>
        <v>0.35294117647058826</v>
      </c>
      <c r="L343" t="str">
        <f>IF(NOT(ISNUMBER(Raw_Data[[#This Row],[Sell_through%]])),"Check",IF(Raw_Data[[#This Row],[Sell_through%]]=0,"Non-moving",IF(Raw_Data[[#This Row],[Sell_through%]]&gt;=0.6,"Fast","Slow")))</f>
        <v>Slow</v>
      </c>
      <c r="M343">
        <f>IF(AND(ISNUMBER(Raw_Data[[#This Row],[Closing_Stock]]),ISNUMBER(Raw_Data[[#This Row],[Unit_Cost]])),Raw_Data[[#This Row],[Closing_Stock]]*Raw_Data[[#This Row],[Unit_Cost]],"")</f>
        <v>111320</v>
      </c>
      <c r="N34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44" spans="1:14" x14ac:dyDescent="0.3">
      <c r="A344" t="s">
        <v>580</v>
      </c>
      <c r="B344" t="s">
        <v>142</v>
      </c>
      <c r="C344" t="s">
        <v>49</v>
      </c>
      <c r="D344" t="s">
        <v>13</v>
      </c>
      <c r="E344" s="3">
        <v>46248</v>
      </c>
      <c r="F344">
        <v>249</v>
      </c>
      <c r="G344">
        <v>209</v>
      </c>
      <c r="H344">
        <v>40</v>
      </c>
      <c r="I344">
        <v>2595</v>
      </c>
      <c r="J344" t="s">
        <v>17</v>
      </c>
      <c r="K344" s="4">
        <f>IF(AND(ISNUMBER(Raw_Data[[#This Row],[Opening_Stock]]),ISNUMBER(Raw_Data[[#This Row],[Units_Sold]]),Raw_Data[[#This Row],[Opening_Stock]]&gt;0),Raw_Data[[#This Row],[Units_Sold]]/Raw_Data[[#This Row],[Opening_Stock]],"")</f>
        <v>0.8393574297188755</v>
      </c>
      <c r="L344" t="str">
        <f>IF(NOT(ISNUMBER(Raw_Data[[#This Row],[Sell_through%]])),"Check",IF(Raw_Data[[#This Row],[Sell_through%]]=0,"Non-moving",IF(Raw_Data[[#This Row],[Sell_through%]]&gt;=0.6,"Fast","Slow")))</f>
        <v>Fast</v>
      </c>
      <c r="M344">
        <f>IF(AND(ISNUMBER(Raw_Data[[#This Row],[Closing_Stock]]),ISNUMBER(Raw_Data[[#This Row],[Unit_Cost]])),Raw_Data[[#This Row],[Closing_Stock]]*Raw_Data[[#This Row],[Unit_Cost]],"")</f>
        <v>103800</v>
      </c>
      <c r="N34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45" spans="1:14" x14ac:dyDescent="0.3">
      <c r="A345" t="s">
        <v>581</v>
      </c>
      <c r="B345" t="s">
        <v>236</v>
      </c>
      <c r="C345" t="s">
        <v>12</v>
      </c>
      <c r="D345" t="s">
        <v>13</v>
      </c>
      <c r="E345" s="3">
        <v>46143</v>
      </c>
      <c r="F345">
        <v>381</v>
      </c>
      <c r="H345">
        <v>240</v>
      </c>
      <c r="I345">
        <v>2387</v>
      </c>
      <c r="J345" t="s">
        <v>14</v>
      </c>
      <c r="K345" s="4" t="str">
        <f>IF(AND(ISNUMBER(Raw_Data[[#This Row],[Opening_Stock]]),ISNUMBER(Raw_Data[[#This Row],[Units_Sold]]),Raw_Data[[#This Row],[Opening_Stock]]&gt;0),Raw_Data[[#This Row],[Units_Sold]]/Raw_Data[[#This Row],[Opening_Stock]],"")</f>
        <v/>
      </c>
      <c r="L345" t="str">
        <f>IF(NOT(ISNUMBER(Raw_Data[[#This Row],[Sell_through%]])),"Check",IF(Raw_Data[[#This Row],[Sell_through%]]=0,"Non-moving",IF(Raw_Data[[#This Row],[Sell_through%]]&gt;=0.6,"Fast","Slow")))</f>
        <v>Check</v>
      </c>
      <c r="M345">
        <f>IF(AND(ISNUMBER(Raw_Data[[#This Row],[Closing_Stock]]),ISNUMBER(Raw_Data[[#This Row],[Unit_Cost]])),Raw_Data[[#This Row],[Closing_Stock]]*Raw_Data[[#This Row],[Unit_Cost]],"")</f>
        <v>572880</v>
      </c>
      <c r="N34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46" spans="1:14" x14ac:dyDescent="0.3">
      <c r="A346" t="s">
        <v>583</v>
      </c>
      <c r="B346" t="s">
        <v>93</v>
      </c>
      <c r="D346" t="s">
        <v>21</v>
      </c>
      <c r="E346" s="3"/>
      <c r="F346">
        <v>101</v>
      </c>
      <c r="G346">
        <v>0</v>
      </c>
      <c r="H346">
        <v>101</v>
      </c>
      <c r="I346">
        <v>2566</v>
      </c>
      <c r="J346" t="s">
        <v>14</v>
      </c>
      <c r="K346" s="4">
        <f>IF(AND(ISNUMBER(Raw_Data[[#This Row],[Opening_Stock]]),ISNUMBER(Raw_Data[[#This Row],[Units_Sold]]),Raw_Data[[#This Row],[Opening_Stock]]&gt;0),Raw_Data[[#This Row],[Units_Sold]]/Raw_Data[[#This Row],[Opening_Stock]],"")</f>
        <v>0</v>
      </c>
      <c r="L346" t="str">
        <f>IF(NOT(ISNUMBER(Raw_Data[[#This Row],[Sell_through%]])),"Check",IF(Raw_Data[[#This Row],[Sell_through%]]=0,"Non-moving",IF(Raw_Data[[#This Row],[Sell_through%]]&gt;=0.6,"Fast","Slow")))</f>
        <v>Non-moving</v>
      </c>
      <c r="M346">
        <f>IF(AND(ISNUMBER(Raw_Data[[#This Row],[Closing_Stock]]),ISNUMBER(Raw_Data[[#This Row],[Unit_Cost]])),Raw_Data[[#This Row],[Closing_Stock]]*Raw_Data[[#This Row],[Unit_Cost]],"")</f>
        <v>259166</v>
      </c>
      <c r="N34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47" spans="1:14" x14ac:dyDescent="0.3">
      <c r="A347" t="s">
        <v>584</v>
      </c>
      <c r="B347" t="s">
        <v>124</v>
      </c>
      <c r="C347" t="s">
        <v>28</v>
      </c>
      <c r="D347" t="s">
        <v>32</v>
      </c>
      <c r="E347" s="3"/>
      <c r="F347">
        <v>145</v>
      </c>
      <c r="G347">
        <v>0</v>
      </c>
      <c r="H347">
        <v>145</v>
      </c>
      <c r="J347" t="s">
        <v>14</v>
      </c>
      <c r="K347" s="4">
        <f>IF(AND(ISNUMBER(Raw_Data[[#This Row],[Opening_Stock]]),ISNUMBER(Raw_Data[[#This Row],[Units_Sold]]),Raw_Data[[#This Row],[Opening_Stock]]&gt;0),Raw_Data[[#This Row],[Units_Sold]]/Raw_Data[[#This Row],[Opening_Stock]],"")</f>
        <v>0</v>
      </c>
      <c r="L347" t="str">
        <f>IF(NOT(ISNUMBER(Raw_Data[[#This Row],[Sell_through%]])),"Check",IF(Raw_Data[[#This Row],[Sell_through%]]=0,"Non-moving",IF(Raw_Data[[#This Row],[Sell_through%]]&gt;=0.6,"Fast","Slow")))</f>
        <v>Non-moving</v>
      </c>
      <c r="M347" t="str">
        <f>IF(AND(ISNUMBER(Raw_Data[[#This Row],[Closing_Stock]]),ISNUMBER(Raw_Data[[#This Row],[Unit_Cost]])),Raw_Data[[#This Row],[Closing_Stock]]*Raw_Data[[#This Row],[Unit_Cost]],"")</f>
        <v/>
      </c>
      <c r="N34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48" spans="1:14" x14ac:dyDescent="0.3">
      <c r="A348" t="s">
        <v>585</v>
      </c>
      <c r="B348" t="s">
        <v>234</v>
      </c>
      <c r="C348" t="s">
        <v>28</v>
      </c>
      <c r="D348" t="s">
        <v>21</v>
      </c>
      <c r="E348" s="3"/>
      <c r="F348">
        <v>56</v>
      </c>
      <c r="G348">
        <v>0</v>
      </c>
      <c r="H348">
        <v>56</v>
      </c>
      <c r="I348">
        <v>2302</v>
      </c>
      <c r="J348" t="s">
        <v>17</v>
      </c>
      <c r="K348" s="4">
        <f>IF(AND(ISNUMBER(Raw_Data[[#This Row],[Opening_Stock]]),ISNUMBER(Raw_Data[[#This Row],[Units_Sold]]),Raw_Data[[#This Row],[Opening_Stock]]&gt;0),Raw_Data[[#This Row],[Units_Sold]]/Raw_Data[[#This Row],[Opening_Stock]],"")</f>
        <v>0</v>
      </c>
      <c r="L348" t="str">
        <f>IF(NOT(ISNUMBER(Raw_Data[[#This Row],[Sell_through%]])),"Check",IF(Raw_Data[[#This Row],[Sell_through%]]=0,"Non-moving",IF(Raw_Data[[#This Row],[Sell_through%]]&gt;=0.6,"Fast","Slow")))</f>
        <v>Non-moving</v>
      </c>
      <c r="M348">
        <f>IF(AND(ISNUMBER(Raw_Data[[#This Row],[Closing_Stock]]),ISNUMBER(Raw_Data[[#This Row],[Unit_Cost]])),Raw_Data[[#This Row],[Closing_Stock]]*Raw_Data[[#This Row],[Unit_Cost]],"")</f>
        <v>128912</v>
      </c>
      <c r="N348"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49" spans="1:14" x14ac:dyDescent="0.3">
      <c r="A349" t="s">
        <v>586</v>
      </c>
      <c r="B349" t="s">
        <v>200</v>
      </c>
      <c r="C349" t="s">
        <v>35</v>
      </c>
      <c r="D349" t="s">
        <v>32</v>
      </c>
      <c r="E349" s="3">
        <v>46134</v>
      </c>
      <c r="F349">
        <v>444</v>
      </c>
      <c r="G349">
        <v>88</v>
      </c>
      <c r="H349">
        <v>356</v>
      </c>
      <c r="I349">
        <v>2129</v>
      </c>
      <c r="J349" t="s">
        <v>14</v>
      </c>
      <c r="K349" s="4">
        <f>IF(AND(ISNUMBER(Raw_Data[[#This Row],[Opening_Stock]]),ISNUMBER(Raw_Data[[#This Row],[Units_Sold]]),Raw_Data[[#This Row],[Opening_Stock]]&gt;0),Raw_Data[[#This Row],[Units_Sold]]/Raw_Data[[#This Row],[Opening_Stock]],"")</f>
        <v>0.1981981981981982</v>
      </c>
      <c r="L349" t="str">
        <f>IF(NOT(ISNUMBER(Raw_Data[[#This Row],[Sell_through%]])),"Check",IF(Raw_Data[[#This Row],[Sell_through%]]=0,"Non-moving",IF(Raw_Data[[#This Row],[Sell_through%]]&gt;=0.6,"Fast","Slow")))</f>
        <v>Slow</v>
      </c>
      <c r="M349">
        <f>IF(AND(ISNUMBER(Raw_Data[[#This Row],[Closing_Stock]]),ISNUMBER(Raw_Data[[#This Row],[Unit_Cost]])),Raw_Data[[#This Row],[Closing_Stock]]*Raw_Data[[#This Row],[Unit_Cost]],"")</f>
        <v>757924</v>
      </c>
      <c r="N34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50" spans="1:14" x14ac:dyDescent="0.3">
      <c r="A350" t="s">
        <v>588</v>
      </c>
      <c r="B350" t="s">
        <v>78</v>
      </c>
      <c r="C350" t="s">
        <v>35</v>
      </c>
      <c r="D350" t="s">
        <v>21</v>
      </c>
      <c r="E350" s="3">
        <v>46174</v>
      </c>
      <c r="F350">
        <v>73</v>
      </c>
      <c r="G350">
        <v>72</v>
      </c>
      <c r="H350">
        <v>1</v>
      </c>
      <c r="I350">
        <v>2856</v>
      </c>
      <c r="J350" t="s">
        <v>17</v>
      </c>
      <c r="K350" s="4">
        <f>IF(AND(ISNUMBER(Raw_Data[[#This Row],[Opening_Stock]]),ISNUMBER(Raw_Data[[#This Row],[Units_Sold]]),Raw_Data[[#This Row],[Opening_Stock]]&gt;0),Raw_Data[[#This Row],[Units_Sold]]/Raw_Data[[#This Row],[Opening_Stock]],"")</f>
        <v>0.98630136986301364</v>
      </c>
      <c r="L350" t="str">
        <f>IF(NOT(ISNUMBER(Raw_Data[[#This Row],[Sell_through%]])),"Check",IF(Raw_Data[[#This Row],[Sell_through%]]=0,"Non-moving",IF(Raw_Data[[#This Row],[Sell_through%]]&gt;=0.6,"Fast","Slow")))</f>
        <v>Fast</v>
      </c>
      <c r="M350">
        <f>IF(AND(ISNUMBER(Raw_Data[[#This Row],[Closing_Stock]]),ISNUMBER(Raw_Data[[#This Row],[Unit_Cost]])),Raw_Data[[#This Row],[Closing_Stock]]*Raw_Data[[#This Row],[Unit_Cost]],"")</f>
        <v>2856</v>
      </c>
      <c r="N35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51" spans="1:14" x14ac:dyDescent="0.3">
      <c r="A351" t="s">
        <v>589</v>
      </c>
      <c r="B351" t="s">
        <v>45</v>
      </c>
      <c r="C351" t="s">
        <v>35</v>
      </c>
      <c r="D351" t="s">
        <v>36</v>
      </c>
      <c r="E351" s="3"/>
      <c r="F351">
        <v>112</v>
      </c>
      <c r="G351">
        <v>0</v>
      </c>
      <c r="H351">
        <v>112</v>
      </c>
      <c r="I351">
        <v>2501</v>
      </c>
      <c r="J351" t="s">
        <v>14</v>
      </c>
      <c r="K351" s="4">
        <f>IF(AND(ISNUMBER(Raw_Data[[#This Row],[Opening_Stock]]),ISNUMBER(Raw_Data[[#This Row],[Units_Sold]]),Raw_Data[[#This Row],[Opening_Stock]]&gt;0),Raw_Data[[#This Row],[Units_Sold]]/Raw_Data[[#This Row],[Opening_Stock]],"")</f>
        <v>0</v>
      </c>
      <c r="L351" t="str">
        <f>IF(NOT(ISNUMBER(Raw_Data[[#This Row],[Sell_through%]])),"Check",IF(Raw_Data[[#This Row],[Sell_through%]]=0,"Non-moving",IF(Raw_Data[[#This Row],[Sell_through%]]&gt;=0.6,"Fast","Slow")))</f>
        <v>Non-moving</v>
      </c>
      <c r="M351">
        <f>IF(AND(ISNUMBER(Raw_Data[[#This Row],[Closing_Stock]]),ISNUMBER(Raw_Data[[#This Row],[Unit_Cost]])),Raw_Data[[#This Row],[Closing_Stock]]*Raw_Data[[#This Row],[Unit_Cost]],"")</f>
        <v>280112</v>
      </c>
      <c r="N35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52" spans="1:14" x14ac:dyDescent="0.3">
      <c r="A352" t="s">
        <v>591</v>
      </c>
      <c r="B352" t="s">
        <v>142</v>
      </c>
      <c r="C352" t="s">
        <v>49</v>
      </c>
      <c r="D352" t="s">
        <v>13</v>
      </c>
      <c r="E352" s="3"/>
      <c r="F352">
        <v>370</v>
      </c>
      <c r="G352">
        <v>0</v>
      </c>
      <c r="H352">
        <v>370</v>
      </c>
      <c r="I352">
        <v>1968</v>
      </c>
      <c r="J352" t="s">
        <v>14</v>
      </c>
      <c r="K352" s="4">
        <f>IF(AND(ISNUMBER(Raw_Data[[#This Row],[Opening_Stock]]),ISNUMBER(Raw_Data[[#This Row],[Units_Sold]]),Raw_Data[[#This Row],[Opening_Stock]]&gt;0),Raw_Data[[#This Row],[Units_Sold]]/Raw_Data[[#This Row],[Opening_Stock]],"")</f>
        <v>0</v>
      </c>
      <c r="L352" t="str">
        <f>IF(NOT(ISNUMBER(Raw_Data[[#This Row],[Sell_through%]])),"Check",IF(Raw_Data[[#This Row],[Sell_through%]]=0,"Non-moving",IF(Raw_Data[[#This Row],[Sell_through%]]&gt;=0.6,"Fast","Slow")))</f>
        <v>Non-moving</v>
      </c>
      <c r="M352">
        <f>IF(AND(ISNUMBER(Raw_Data[[#This Row],[Closing_Stock]]),ISNUMBER(Raw_Data[[#This Row],[Unit_Cost]])),Raw_Data[[#This Row],[Closing_Stock]]*Raw_Data[[#This Row],[Unit_Cost]],"")</f>
        <v>728160</v>
      </c>
      <c r="N35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53" spans="1:14" x14ac:dyDescent="0.3">
      <c r="A353" t="s">
        <v>592</v>
      </c>
      <c r="B353" t="s">
        <v>41</v>
      </c>
      <c r="C353" t="s">
        <v>49</v>
      </c>
      <c r="D353" t="s">
        <v>13</v>
      </c>
      <c r="E353" s="3"/>
      <c r="F353">
        <v>355</v>
      </c>
      <c r="G353">
        <v>0</v>
      </c>
      <c r="H353">
        <v>355</v>
      </c>
      <c r="J353" t="s">
        <v>14</v>
      </c>
      <c r="K353" s="4">
        <f>IF(AND(ISNUMBER(Raw_Data[[#This Row],[Opening_Stock]]),ISNUMBER(Raw_Data[[#This Row],[Units_Sold]]),Raw_Data[[#This Row],[Opening_Stock]]&gt;0),Raw_Data[[#This Row],[Units_Sold]]/Raw_Data[[#This Row],[Opening_Stock]],"")</f>
        <v>0</v>
      </c>
      <c r="L353" t="str">
        <f>IF(NOT(ISNUMBER(Raw_Data[[#This Row],[Sell_through%]])),"Check",IF(Raw_Data[[#This Row],[Sell_through%]]=0,"Non-moving",IF(Raw_Data[[#This Row],[Sell_through%]]&gt;=0.6,"Fast","Slow")))</f>
        <v>Non-moving</v>
      </c>
      <c r="M353" t="str">
        <f>IF(AND(ISNUMBER(Raw_Data[[#This Row],[Closing_Stock]]),ISNUMBER(Raw_Data[[#This Row],[Unit_Cost]])),Raw_Data[[#This Row],[Closing_Stock]]*Raw_Data[[#This Row],[Unit_Cost]],"")</f>
        <v/>
      </c>
      <c r="N35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54" spans="1:14" x14ac:dyDescent="0.3">
      <c r="A354" t="s">
        <v>594</v>
      </c>
      <c r="B354" t="s">
        <v>71</v>
      </c>
      <c r="C354" t="s">
        <v>35</v>
      </c>
      <c r="D354" t="s">
        <v>21</v>
      </c>
      <c r="E354" s="3"/>
      <c r="F354">
        <v>212</v>
      </c>
      <c r="G354">
        <v>0</v>
      </c>
      <c r="H354">
        <v>212</v>
      </c>
      <c r="I354">
        <v>2217</v>
      </c>
      <c r="K354" s="4">
        <f>IF(AND(ISNUMBER(Raw_Data[[#This Row],[Opening_Stock]]),ISNUMBER(Raw_Data[[#This Row],[Units_Sold]]),Raw_Data[[#This Row],[Opening_Stock]]&gt;0),Raw_Data[[#This Row],[Units_Sold]]/Raw_Data[[#This Row],[Opening_Stock]],"")</f>
        <v>0</v>
      </c>
      <c r="L354" t="str">
        <f>IF(NOT(ISNUMBER(Raw_Data[[#This Row],[Sell_through%]])),"Check",IF(Raw_Data[[#This Row],[Sell_through%]]=0,"Non-moving",IF(Raw_Data[[#This Row],[Sell_through%]]&gt;=0.6,"Fast","Slow")))</f>
        <v>Non-moving</v>
      </c>
      <c r="M354">
        <f>IF(AND(ISNUMBER(Raw_Data[[#This Row],[Closing_Stock]]),ISNUMBER(Raw_Data[[#This Row],[Unit_Cost]])),Raw_Data[[#This Row],[Closing_Stock]]*Raw_Data[[#This Row],[Unit_Cost]],"")</f>
        <v>470004</v>
      </c>
      <c r="N35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55" spans="1:14" x14ac:dyDescent="0.3">
      <c r="A355" t="s">
        <v>595</v>
      </c>
      <c r="B355" t="s">
        <v>51</v>
      </c>
      <c r="C355" t="s">
        <v>49</v>
      </c>
      <c r="D355" t="s">
        <v>32</v>
      </c>
      <c r="E355" s="3">
        <v>46060</v>
      </c>
      <c r="F355">
        <v>454</v>
      </c>
      <c r="G355">
        <v>431</v>
      </c>
      <c r="H355">
        <v>23</v>
      </c>
      <c r="I355">
        <v>1962</v>
      </c>
      <c r="J355" t="s">
        <v>17</v>
      </c>
      <c r="K355" s="4">
        <f>IF(AND(ISNUMBER(Raw_Data[[#This Row],[Opening_Stock]]),ISNUMBER(Raw_Data[[#This Row],[Units_Sold]]),Raw_Data[[#This Row],[Opening_Stock]]&gt;0),Raw_Data[[#This Row],[Units_Sold]]/Raw_Data[[#This Row],[Opening_Stock]],"")</f>
        <v>0.9493392070484582</v>
      </c>
      <c r="L355" t="str">
        <f>IF(NOT(ISNUMBER(Raw_Data[[#This Row],[Sell_through%]])),"Check",IF(Raw_Data[[#This Row],[Sell_through%]]=0,"Non-moving",IF(Raw_Data[[#This Row],[Sell_through%]]&gt;=0.6,"Fast","Slow")))</f>
        <v>Fast</v>
      </c>
      <c r="M355">
        <f>IF(AND(ISNUMBER(Raw_Data[[#This Row],[Closing_Stock]]),ISNUMBER(Raw_Data[[#This Row],[Unit_Cost]])),Raw_Data[[#This Row],[Closing_Stock]]*Raw_Data[[#This Row],[Unit_Cost]],"")</f>
        <v>45126</v>
      </c>
      <c r="N355"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56" spans="1:14" x14ac:dyDescent="0.3">
      <c r="A356" t="s">
        <v>598</v>
      </c>
      <c r="B356" t="s">
        <v>131</v>
      </c>
      <c r="C356" t="s">
        <v>49</v>
      </c>
      <c r="D356" t="s">
        <v>13</v>
      </c>
      <c r="E356" s="3"/>
      <c r="F356">
        <v>185</v>
      </c>
      <c r="G356">
        <v>0</v>
      </c>
      <c r="H356">
        <v>185</v>
      </c>
      <c r="I356">
        <v>244</v>
      </c>
      <c r="J356" t="s">
        <v>14</v>
      </c>
      <c r="K356" s="4">
        <f>IF(AND(ISNUMBER(Raw_Data[[#This Row],[Opening_Stock]]),ISNUMBER(Raw_Data[[#This Row],[Units_Sold]]),Raw_Data[[#This Row],[Opening_Stock]]&gt;0),Raw_Data[[#This Row],[Units_Sold]]/Raw_Data[[#This Row],[Opening_Stock]],"")</f>
        <v>0</v>
      </c>
      <c r="L356" t="str">
        <f>IF(NOT(ISNUMBER(Raw_Data[[#This Row],[Sell_through%]])),"Check",IF(Raw_Data[[#This Row],[Sell_through%]]=0,"Non-moving",IF(Raw_Data[[#This Row],[Sell_through%]]&gt;=0.6,"Fast","Slow")))</f>
        <v>Non-moving</v>
      </c>
      <c r="M356">
        <f>IF(AND(ISNUMBER(Raw_Data[[#This Row],[Closing_Stock]]),ISNUMBER(Raw_Data[[#This Row],[Unit_Cost]])),Raw_Data[[#This Row],[Closing_Stock]]*Raw_Data[[#This Row],[Unit_Cost]],"")</f>
        <v>45140</v>
      </c>
      <c r="N35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57" spans="1:14" x14ac:dyDescent="0.3">
      <c r="A357" t="s">
        <v>599</v>
      </c>
      <c r="B357" t="s">
        <v>48</v>
      </c>
      <c r="C357" t="s">
        <v>49</v>
      </c>
      <c r="D357" t="s">
        <v>21</v>
      </c>
      <c r="E357" s="3">
        <v>46270</v>
      </c>
      <c r="F357">
        <v>213</v>
      </c>
      <c r="G357">
        <v>64</v>
      </c>
      <c r="I357">
        <v>448</v>
      </c>
      <c r="J357" t="s">
        <v>14</v>
      </c>
      <c r="K357" s="4">
        <f>IF(AND(ISNUMBER(Raw_Data[[#This Row],[Opening_Stock]]),ISNUMBER(Raw_Data[[#This Row],[Units_Sold]]),Raw_Data[[#This Row],[Opening_Stock]]&gt;0),Raw_Data[[#This Row],[Units_Sold]]/Raw_Data[[#This Row],[Opening_Stock]],"")</f>
        <v>0.30046948356807512</v>
      </c>
      <c r="L357" t="str">
        <f>IF(NOT(ISNUMBER(Raw_Data[[#This Row],[Sell_through%]])),"Check",IF(Raw_Data[[#This Row],[Sell_through%]]=0,"Non-moving",IF(Raw_Data[[#This Row],[Sell_through%]]&gt;=0.6,"Fast","Slow")))</f>
        <v>Slow</v>
      </c>
      <c r="M357" t="str">
        <f>IF(AND(ISNUMBER(Raw_Data[[#This Row],[Closing_Stock]]),ISNUMBER(Raw_Data[[#This Row],[Unit_Cost]])),Raw_Data[[#This Row],[Closing_Stock]]*Raw_Data[[#This Row],[Unit_Cost]],"")</f>
        <v/>
      </c>
      <c r="N35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58" spans="1:14" x14ac:dyDescent="0.3">
      <c r="A358" t="s">
        <v>601</v>
      </c>
      <c r="B358" t="s">
        <v>60</v>
      </c>
      <c r="C358" t="s">
        <v>28</v>
      </c>
      <c r="D358" t="s">
        <v>13</v>
      </c>
      <c r="E358" s="3"/>
      <c r="F358">
        <v>110</v>
      </c>
      <c r="G358">
        <v>0</v>
      </c>
      <c r="H358">
        <v>110</v>
      </c>
      <c r="I358">
        <v>1907</v>
      </c>
      <c r="K358" s="4">
        <f>IF(AND(ISNUMBER(Raw_Data[[#This Row],[Opening_Stock]]),ISNUMBER(Raw_Data[[#This Row],[Units_Sold]]),Raw_Data[[#This Row],[Opening_Stock]]&gt;0),Raw_Data[[#This Row],[Units_Sold]]/Raw_Data[[#This Row],[Opening_Stock]],"")</f>
        <v>0</v>
      </c>
      <c r="L358" t="str">
        <f>IF(NOT(ISNUMBER(Raw_Data[[#This Row],[Sell_through%]])),"Check",IF(Raw_Data[[#This Row],[Sell_through%]]=0,"Non-moving",IF(Raw_Data[[#This Row],[Sell_through%]]&gt;=0.6,"Fast","Slow")))</f>
        <v>Non-moving</v>
      </c>
      <c r="M358">
        <f>IF(AND(ISNUMBER(Raw_Data[[#This Row],[Closing_Stock]]),ISNUMBER(Raw_Data[[#This Row],[Unit_Cost]])),Raw_Data[[#This Row],[Closing_Stock]]*Raw_Data[[#This Row],[Unit_Cost]],"")</f>
        <v>209770</v>
      </c>
      <c r="N358"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59" spans="1:14" x14ac:dyDescent="0.3">
      <c r="A359" t="s">
        <v>602</v>
      </c>
      <c r="B359" t="s">
        <v>243</v>
      </c>
      <c r="C359" t="s">
        <v>28</v>
      </c>
      <c r="D359" t="s">
        <v>13</v>
      </c>
      <c r="E359" s="3"/>
      <c r="F359">
        <v>74</v>
      </c>
      <c r="G359">
        <v>0</v>
      </c>
      <c r="H359">
        <v>74</v>
      </c>
      <c r="I359">
        <v>2095</v>
      </c>
      <c r="J359" t="s">
        <v>14</v>
      </c>
      <c r="K359" s="4">
        <f>IF(AND(ISNUMBER(Raw_Data[[#This Row],[Opening_Stock]]),ISNUMBER(Raw_Data[[#This Row],[Units_Sold]]),Raw_Data[[#This Row],[Opening_Stock]]&gt;0),Raw_Data[[#This Row],[Units_Sold]]/Raw_Data[[#This Row],[Opening_Stock]],"")</f>
        <v>0</v>
      </c>
      <c r="L359" t="str">
        <f>IF(NOT(ISNUMBER(Raw_Data[[#This Row],[Sell_through%]])),"Check",IF(Raw_Data[[#This Row],[Sell_through%]]=0,"Non-moving",IF(Raw_Data[[#This Row],[Sell_through%]]&gt;=0.6,"Fast","Slow")))</f>
        <v>Non-moving</v>
      </c>
      <c r="M359">
        <f>IF(AND(ISNUMBER(Raw_Data[[#This Row],[Closing_Stock]]),ISNUMBER(Raw_Data[[#This Row],[Unit_Cost]])),Raw_Data[[#This Row],[Closing_Stock]]*Raw_Data[[#This Row],[Unit_Cost]],"")</f>
        <v>155030</v>
      </c>
      <c r="N35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60" spans="1:14" x14ac:dyDescent="0.3">
      <c r="A360" t="s">
        <v>604</v>
      </c>
      <c r="B360" t="s">
        <v>54</v>
      </c>
      <c r="C360" t="s">
        <v>31</v>
      </c>
      <c r="D360" t="s">
        <v>36</v>
      </c>
      <c r="E360" s="3">
        <v>46037</v>
      </c>
      <c r="F360">
        <v>331</v>
      </c>
      <c r="G360">
        <v>114</v>
      </c>
      <c r="H360">
        <v>217</v>
      </c>
      <c r="J360" t="s">
        <v>14</v>
      </c>
      <c r="K360" s="4">
        <f>IF(AND(ISNUMBER(Raw_Data[[#This Row],[Opening_Stock]]),ISNUMBER(Raw_Data[[#This Row],[Units_Sold]]),Raw_Data[[#This Row],[Opening_Stock]]&gt;0),Raw_Data[[#This Row],[Units_Sold]]/Raw_Data[[#This Row],[Opening_Stock]],"")</f>
        <v>0.34441087613293053</v>
      </c>
      <c r="L360" t="str">
        <f>IF(NOT(ISNUMBER(Raw_Data[[#This Row],[Sell_through%]])),"Check",IF(Raw_Data[[#This Row],[Sell_through%]]=0,"Non-moving",IF(Raw_Data[[#This Row],[Sell_through%]]&gt;=0.6,"Fast","Slow")))</f>
        <v>Slow</v>
      </c>
      <c r="M360" t="str">
        <f>IF(AND(ISNUMBER(Raw_Data[[#This Row],[Closing_Stock]]),ISNUMBER(Raw_Data[[#This Row],[Unit_Cost]])),Raw_Data[[#This Row],[Closing_Stock]]*Raw_Data[[#This Row],[Unit_Cost]],"")</f>
        <v/>
      </c>
      <c r="N36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61" spans="1:14" x14ac:dyDescent="0.3">
      <c r="A361" t="s">
        <v>605</v>
      </c>
      <c r="B361" t="s">
        <v>455</v>
      </c>
      <c r="C361" t="s">
        <v>35</v>
      </c>
      <c r="D361" t="s">
        <v>13</v>
      </c>
      <c r="E361" s="3"/>
      <c r="F361">
        <v>351</v>
      </c>
      <c r="G361">
        <v>0</v>
      </c>
      <c r="H361">
        <v>351</v>
      </c>
      <c r="I361">
        <v>1341</v>
      </c>
      <c r="J361" t="s">
        <v>14</v>
      </c>
      <c r="K361" s="4">
        <f>IF(AND(ISNUMBER(Raw_Data[[#This Row],[Opening_Stock]]),ISNUMBER(Raw_Data[[#This Row],[Units_Sold]]),Raw_Data[[#This Row],[Opening_Stock]]&gt;0),Raw_Data[[#This Row],[Units_Sold]]/Raw_Data[[#This Row],[Opening_Stock]],"")</f>
        <v>0</v>
      </c>
      <c r="L361" t="str">
        <f>IF(NOT(ISNUMBER(Raw_Data[[#This Row],[Sell_through%]])),"Check",IF(Raw_Data[[#This Row],[Sell_through%]]=0,"Non-moving",IF(Raw_Data[[#This Row],[Sell_through%]]&gt;=0.6,"Fast","Slow")))</f>
        <v>Non-moving</v>
      </c>
      <c r="M361">
        <f>IF(AND(ISNUMBER(Raw_Data[[#This Row],[Closing_Stock]]),ISNUMBER(Raw_Data[[#This Row],[Unit_Cost]])),Raw_Data[[#This Row],[Closing_Stock]]*Raw_Data[[#This Row],[Unit_Cost]],"")</f>
        <v>470691</v>
      </c>
      <c r="N36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62" spans="1:14" x14ac:dyDescent="0.3">
      <c r="A362" t="s">
        <v>606</v>
      </c>
      <c r="B362" t="s">
        <v>198</v>
      </c>
      <c r="C362" t="s">
        <v>31</v>
      </c>
      <c r="D362" t="s">
        <v>21</v>
      </c>
      <c r="E362" s="3">
        <v>46210</v>
      </c>
      <c r="F362">
        <v>183</v>
      </c>
      <c r="G362">
        <v>34</v>
      </c>
      <c r="H362">
        <v>149</v>
      </c>
      <c r="I362">
        <v>1421</v>
      </c>
      <c r="J362" t="s">
        <v>14</v>
      </c>
      <c r="K362" s="4">
        <f>IF(AND(ISNUMBER(Raw_Data[[#This Row],[Opening_Stock]]),ISNUMBER(Raw_Data[[#This Row],[Units_Sold]]),Raw_Data[[#This Row],[Opening_Stock]]&gt;0),Raw_Data[[#This Row],[Units_Sold]]/Raw_Data[[#This Row],[Opening_Stock]],"")</f>
        <v>0.18579234972677597</v>
      </c>
      <c r="L362" t="str">
        <f>IF(NOT(ISNUMBER(Raw_Data[[#This Row],[Sell_through%]])),"Check",IF(Raw_Data[[#This Row],[Sell_through%]]=0,"Non-moving",IF(Raw_Data[[#This Row],[Sell_through%]]&gt;=0.6,"Fast","Slow")))</f>
        <v>Slow</v>
      </c>
      <c r="M362">
        <f>IF(AND(ISNUMBER(Raw_Data[[#This Row],[Closing_Stock]]),ISNUMBER(Raw_Data[[#This Row],[Unit_Cost]])),Raw_Data[[#This Row],[Closing_Stock]]*Raw_Data[[#This Row],[Unit_Cost]],"")</f>
        <v>211729</v>
      </c>
      <c r="N36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63" spans="1:14" x14ac:dyDescent="0.3">
      <c r="A363" t="s">
        <v>608</v>
      </c>
      <c r="B363" t="s">
        <v>105</v>
      </c>
      <c r="C363" t="s">
        <v>28</v>
      </c>
      <c r="D363" t="s">
        <v>13</v>
      </c>
      <c r="E363" s="3">
        <v>46274</v>
      </c>
      <c r="F363">
        <v>239</v>
      </c>
      <c r="G363">
        <v>35</v>
      </c>
      <c r="H363">
        <v>204</v>
      </c>
      <c r="I363">
        <v>679</v>
      </c>
      <c r="J363" t="s">
        <v>14</v>
      </c>
      <c r="K363" s="4">
        <f>IF(AND(ISNUMBER(Raw_Data[[#This Row],[Opening_Stock]]),ISNUMBER(Raw_Data[[#This Row],[Units_Sold]]),Raw_Data[[#This Row],[Opening_Stock]]&gt;0),Raw_Data[[#This Row],[Units_Sold]]/Raw_Data[[#This Row],[Opening_Stock]],"")</f>
        <v>0.14644351464435146</v>
      </c>
      <c r="L363" t="str">
        <f>IF(NOT(ISNUMBER(Raw_Data[[#This Row],[Sell_through%]])),"Check",IF(Raw_Data[[#This Row],[Sell_through%]]=0,"Non-moving",IF(Raw_Data[[#This Row],[Sell_through%]]&gt;=0.6,"Fast","Slow")))</f>
        <v>Slow</v>
      </c>
      <c r="M363">
        <f>IF(AND(ISNUMBER(Raw_Data[[#This Row],[Closing_Stock]]),ISNUMBER(Raw_Data[[#This Row],[Unit_Cost]])),Raw_Data[[#This Row],[Closing_Stock]]*Raw_Data[[#This Row],[Unit_Cost]],"")</f>
        <v>138516</v>
      </c>
      <c r="N36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64" spans="1:14" x14ac:dyDescent="0.3">
      <c r="A364" t="s">
        <v>609</v>
      </c>
      <c r="B364" t="s">
        <v>363</v>
      </c>
      <c r="C364" t="s">
        <v>12</v>
      </c>
      <c r="D364" t="s">
        <v>36</v>
      </c>
      <c r="E364" s="3">
        <v>46166</v>
      </c>
      <c r="F364">
        <v>421</v>
      </c>
      <c r="G364">
        <v>82</v>
      </c>
      <c r="H364">
        <v>339</v>
      </c>
      <c r="J364" t="s">
        <v>14</v>
      </c>
      <c r="K364" s="4">
        <f>IF(AND(ISNUMBER(Raw_Data[[#This Row],[Opening_Stock]]),ISNUMBER(Raw_Data[[#This Row],[Units_Sold]]),Raw_Data[[#This Row],[Opening_Stock]]&gt;0),Raw_Data[[#This Row],[Units_Sold]]/Raw_Data[[#This Row],[Opening_Stock]],"")</f>
        <v>0.19477434679334918</v>
      </c>
      <c r="L364" t="str">
        <f>IF(NOT(ISNUMBER(Raw_Data[[#This Row],[Sell_through%]])),"Check",IF(Raw_Data[[#This Row],[Sell_through%]]=0,"Non-moving",IF(Raw_Data[[#This Row],[Sell_through%]]&gt;=0.6,"Fast","Slow")))</f>
        <v>Slow</v>
      </c>
      <c r="M364" t="str">
        <f>IF(AND(ISNUMBER(Raw_Data[[#This Row],[Closing_Stock]]),ISNUMBER(Raw_Data[[#This Row],[Unit_Cost]])),Raw_Data[[#This Row],[Closing_Stock]]*Raw_Data[[#This Row],[Unit_Cost]],"")</f>
        <v/>
      </c>
      <c r="N36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65" spans="1:14" x14ac:dyDescent="0.3">
      <c r="A365" t="s">
        <v>611</v>
      </c>
      <c r="B365" t="s">
        <v>363</v>
      </c>
      <c r="C365" t="s">
        <v>12</v>
      </c>
      <c r="D365" t="s">
        <v>21</v>
      </c>
      <c r="E365" s="3">
        <v>46173</v>
      </c>
      <c r="F365">
        <v>102</v>
      </c>
      <c r="G365">
        <v>12</v>
      </c>
      <c r="H365">
        <v>90</v>
      </c>
      <c r="I365">
        <v>518</v>
      </c>
      <c r="J365" t="s">
        <v>14</v>
      </c>
      <c r="K365" s="4">
        <f>IF(AND(ISNUMBER(Raw_Data[[#This Row],[Opening_Stock]]),ISNUMBER(Raw_Data[[#This Row],[Units_Sold]]),Raw_Data[[#This Row],[Opening_Stock]]&gt;0),Raw_Data[[#This Row],[Units_Sold]]/Raw_Data[[#This Row],[Opening_Stock]],"")</f>
        <v>0.11764705882352941</v>
      </c>
      <c r="L365" t="str">
        <f>IF(NOT(ISNUMBER(Raw_Data[[#This Row],[Sell_through%]])),"Check",IF(Raw_Data[[#This Row],[Sell_through%]]=0,"Non-moving",IF(Raw_Data[[#This Row],[Sell_through%]]&gt;=0.6,"Fast","Slow")))</f>
        <v>Slow</v>
      </c>
      <c r="M365">
        <f>IF(AND(ISNUMBER(Raw_Data[[#This Row],[Closing_Stock]]),ISNUMBER(Raw_Data[[#This Row],[Unit_Cost]])),Raw_Data[[#This Row],[Closing_Stock]]*Raw_Data[[#This Row],[Unit_Cost]],"")</f>
        <v>46620</v>
      </c>
      <c r="N36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66" spans="1:14" x14ac:dyDescent="0.3">
      <c r="A366" t="s">
        <v>613</v>
      </c>
      <c r="B366" t="s">
        <v>240</v>
      </c>
      <c r="C366" t="s">
        <v>49</v>
      </c>
      <c r="D366" t="s">
        <v>13</v>
      </c>
      <c r="E366" s="3">
        <v>46267</v>
      </c>
      <c r="F366">
        <v>140</v>
      </c>
      <c r="G366">
        <v>131</v>
      </c>
      <c r="H366">
        <v>9</v>
      </c>
      <c r="I366">
        <v>2436</v>
      </c>
      <c r="J366" t="s">
        <v>17</v>
      </c>
      <c r="K366" s="4">
        <f>IF(AND(ISNUMBER(Raw_Data[[#This Row],[Opening_Stock]]),ISNUMBER(Raw_Data[[#This Row],[Units_Sold]]),Raw_Data[[#This Row],[Opening_Stock]]&gt;0),Raw_Data[[#This Row],[Units_Sold]]/Raw_Data[[#This Row],[Opening_Stock]],"")</f>
        <v>0.93571428571428572</v>
      </c>
      <c r="L366" t="str">
        <f>IF(NOT(ISNUMBER(Raw_Data[[#This Row],[Sell_through%]])),"Check",IF(Raw_Data[[#This Row],[Sell_through%]]=0,"Non-moving",IF(Raw_Data[[#This Row],[Sell_through%]]&gt;=0.6,"Fast","Slow")))</f>
        <v>Fast</v>
      </c>
      <c r="M366">
        <f>IF(AND(ISNUMBER(Raw_Data[[#This Row],[Closing_Stock]]),ISNUMBER(Raw_Data[[#This Row],[Unit_Cost]])),Raw_Data[[#This Row],[Closing_Stock]]*Raw_Data[[#This Row],[Unit_Cost]],"")</f>
        <v>21924</v>
      </c>
      <c r="N366"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67" spans="1:14" x14ac:dyDescent="0.3">
      <c r="A367" t="s">
        <v>614</v>
      </c>
      <c r="B367" t="s">
        <v>284</v>
      </c>
      <c r="C367" t="s">
        <v>49</v>
      </c>
      <c r="D367" t="s">
        <v>13</v>
      </c>
      <c r="E367" s="3"/>
      <c r="F367">
        <v>470</v>
      </c>
      <c r="G367">
        <v>0</v>
      </c>
      <c r="H367">
        <v>470</v>
      </c>
      <c r="I367">
        <v>2124</v>
      </c>
      <c r="J367" t="s">
        <v>14</v>
      </c>
      <c r="K367" s="4">
        <f>IF(AND(ISNUMBER(Raw_Data[[#This Row],[Opening_Stock]]),ISNUMBER(Raw_Data[[#This Row],[Units_Sold]]),Raw_Data[[#This Row],[Opening_Stock]]&gt;0),Raw_Data[[#This Row],[Units_Sold]]/Raw_Data[[#This Row],[Opening_Stock]],"")</f>
        <v>0</v>
      </c>
      <c r="L367" t="str">
        <f>IF(NOT(ISNUMBER(Raw_Data[[#This Row],[Sell_through%]])),"Check",IF(Raw_Data[[#This Row],[Sell_through%]]=0,"Non-moving",IF(Raw_Data[[#This Row],[Sell_through%]]&gt;=0.6,"Fast","Slow")))</f>
        <v>Non-moving</v>
      </c>
      <c r="M367">
        <f>IF(AND(ISNUMBER(Raw_Data[[#This Row],[Closing_Stock]]),ISNUMBER(Raw_Data[[#This Row],[Unit_Cost]])),Raw_Data[[#This Row],[Closing_Stock]]*Raw_Data[[#This Row],[Unit_Cost]],"")</f>
        <v>998280</v>
      </c>
      <c r="N36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68" spans="1:14" x14ac:dyDescent="0.3">
      <c r="A368" t="s">
        <v>615</v>
      </c>
      <c r="B368" t="s">
        <v>19</v>
      </c>
      <c r="C368" t="s">
        <v>28</v>
      </c>
      <c r="D368" t="s">
        <v>32</v>
      </c>
      <c r="E368" s="3">
        <v>46129</v>
      </c>
      <c r="G368">
        <v>154</v>
      </c>
      <c r="H368">
        <v>6</v>
      </c>
      <c r="I368">
        <v>2910</v>
      </c>
      <c r="J368" t="s">
        <v>17</v>
      </c>
      <c r="K368" s="4" t="str">
        <f>IF(AND(ISNUMBER(Raw_Data[[#This Row],[Opening_Stock]]),ISNUMBER(Raw_Data[[#This Row],[Units_Sold]]),Raw_Data[[#This Row],[Opening_Stock]]&gt;0),Raw_Data[[#This Row],[Units_Sold]]/Raw_Data[[#This Row],[Opening_Stock]],"")</f>
        <v/>
      </c>
      <c r="L368" t="str">
        <f>IF(NOT(ISNUMBER(Raw_Data[[#This Row],[Sell_through%]])),"Check",IF(Raw_Data[[#This Row],[Sell_through%]]=0,"Non-moving",IF(Raw_Data[[#This Row],[Sell_through%]]&gt;=0.6,"Fast","Slow")))</f>
        <v>Check</v>
      </c>
      <c r="M368">
        <f>IF(AND(ISNUMBER(Raw_Data[[#This Row],[Closing_Stock]]),ISNUMBER(Raw_Data[[#This Row],[Unit_Cost]])),Raw_Data[[#This Row],[Closing_Stock]]*Raw_Data[[#This Row],[Unit_Cost]],"")</f>
        <v>17460</v>
      </c>
      <c r="N368"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69" spans="1:14" x14ac:dyDescent="0.3">
      <c r="A369" t="s">
        <v>616</v>
      </c>
      <c r="B369" t="s">
        <v>198</v>
      </c>
      <c r="C369" t="s">
        <v>31</v>
      </c>
      <c r="D369" t="s">
        <v>36</v>
      </c>
      <c r="E369" s="3"/>
      <c r="F369">
        <v>192</v>
      </c>
      <c r="G369">
        <v>0</v>
      </c>
      <c r="H369">
        <v>192</v>
      </c>
      <c r="I369">
        <v>507</v>
      </c>
      <c r="J369" t="s">
        <v>14</v>
      </c>
      <c r="K369" s="4">
        <f>IF(AND(ISNUMBER(Raw_Data[[#This Row],[Opening_Stock]]),ISNUMBER(Raw_Data[[#This Row],[Units_Sold]]),Raw_Data[[#This Row],[Opening_Stock]]&gt;0),Raw_Data[[#This Row],[Units_Sold]]/Raw_Data[[#This Row],[Opening_Stock]],"")</f>
        <v>0</v>
      </c>
      <c r="L369" t="str">
        <f>IF(NOT(ISNUMBER(Raw_Data[[#This Row],[Sell_through%]])),"Check",IF(Raw_Data[[#This Row],[Sell_through%]]=0,"Non-moving",IF(Raw_Data[[#This Row],[Sell_through%]]&gt;=0.6,"Fast","Slow")))</f>
        <v>Non-moving</v>
      </c>
      <c r="M369">
        <f>IF(AND(ISNUMBER(Raw_Data[[#This Row],[Closing_Stock]]),ISNUMBER(Raw_Data[[#This Row],[Unit_Cost]])),Raw_Data[[#This Row],[Closing_Stock]]*Raw_Data[[#This Row],[Unit_Cost]],"")</f>
        <v>97344</v>
      </c>
      <c r="N36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70" spans="1:14" x14ac:dyDescent="0.3">
      <c r="A370" t="s">
        <v>617</v>
      </c>
      <c r="B370" t="s">
        <v>189</v>
      </c>
      <c r="C370" t="s">
        <v>49</v>
      </c>
      <c r="D370" t="s">
        <v>13</v>
      </c>
      <c r="E370" s="3"/>
      <c r="F370">
        <v>146</v>
      </c>
      <c r="G370">
        <v>0</v>
      </c>
      <c r="H370">
        <v>146</v>
      </c>
      <c r="I370">
        <v>1243</v>
      </c>
      <c r="K370" s="4">
        <f>IF(AND(ISNUMBER(Raw_Data[[#This Row],[Opening_Stock]]),ISNUMBER(Raw_Data[[#This Row],[Units_Sold]]),Raw_Data[[#This Row],[Opening_Stock]]&gt;0),Raw_Data[[#This Row],[Units_Sold]]/Raw_Data[[#This Row],[Opening_Stock]],"")</f>
        <v>0</v>
      </c>
      <c r="L370" t="str">
        <f>IF(NOT(ISNUMBER(Raw_Data[[#This Row],[Sell_through%]])),"Check",IF(Raw_Data[[#This Row],[Sell_through%]]=0,"Non-moving",IF(Raw_Data[[#This Row],[Sell_through%]]&gt;=0.6,"Fast","Slow")))</f>
        <v>Non-moving</v>
      </c>
      <c r="M370">
        <f>IF(AND(ISNUMBER(Raw_Data[[#This Row],[Closing_Stock]]),ISNUMBER(Raw_Data[[#This Row],[Unit_Cost]])),Raw_Data[[#This Row],[Closing_Stock]]*Raw_Data[[#This Row],[Unit_Cost]],"")</f>
        <v>181478</v>
      </c>
      <c r="N370"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71" spans="1:14" x14ac:dyDescent="0.3">
      <c r="A371" t="s">
        <v>618</v>
      </c>
      <c r="B371" t="s">
        <v>296</v>
      </c>
      <c r="C371" t="s">
        <v>31</v>
      </c>
      <c r="D371" t="s">
        <v>36</v>
      </c>
      <c r="E371" s="3">
        <v>46000</v>
      </c>
      <c r="F371">
        <v>338</v>
      </c>
      <c r="G371">
        <v>61</v>
      </c>
      <c r="H371">
        <v>277</v>
      </c>
      <c r="I371">
        <v>1262</v>
      </c>
      <c r="J371" t="s">
        <v>14</v>
      </c>
      <c r="K371" s="4">
        <f>IF(AND(ISNUMBER(Raw_Data[[#This Row],[Opening_Stock]]),ISNUMBER(Raw_Data[[#This Row],[Units_Sold]]),Raw_Data[[#This Row],[Opening_Stock]]&gt;0),Raw_Data[[#This Row],[Units_Sold]]/Raw_Data[[#This Row],[Opening_Stock]],"")</f>
        <v>0.18047337278106509</v>
      </c>
      <c r="L371" t="str">
        <f>IF(NOT(ISNUMBER(Raw_Data[[#This Row],[Sell_through%]])),"Check",IF(Raw_Data[[#This Row],[Sell_through%]]=0,"Non-moving",IF(Raw_Data[[#This Row],[Sell_through%]]&gt;=0.6,"Fast","Slow")))</f>
        <v>Slow</v>
      </c>
      <c r="M371">
        <f>IF(AND(ISNUMBER(Raw_Data[[#This Row],[Closing_Stock]]),ISNUMBER(Raw_Data[[#This Row],[Unit_Cost]])),Raw_Data[[#This Row],[Closing_Stock]]*Raw_Data[[#This Row],[Unit_Cost]],"")</f>
        <v>349574</v>
      </c>
      <c r="N37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72" spans="1:14" x14ac:dyDescent="0.3">
      <c r="A372" t="s">
        <v>619</v>
      </c>
      <c r="B372" t="s">
        <v>315</v>
      </c>
      <c r="C372" t="s">
        <v>49</v>
      </c>
      <c r="D372" t="s">
        <v>21</v>
      </c>
      <c r="E372" s="3"/>
      <c r="F372">
        <v>255</v>
      </c>
      <c r="G372">
        <v>0</v>
      </c>
      <c r="H372">
        <v>255</v>
      </c>
      <c r="I372">
        <v>2610</v>
      </c>
      <c r="J372" t="s">
        <v>14</v>
      </c>
      <c r="K372" s="4">
        <f>IF(AND(ISNUMBER(Raw_Data[[#This Row],[Opening_Stock]]),ISNUMBER(Raw_Data[[#This Row],[Units_Sold]]),Raw_Data[[#This Row],[Opening_Stock]]&gt;0),Raw_Data[[#This Row],[Units_Sold]]/Raw_Data[[#This Row],[Opening_Stock]],"")</f>
        <v>0</v>
      </c>
      <c r="L372" t="str">
        <f>IF(NOT(ISNUMBER(Raw_Data[[#This Row],[Sell_through%]])),"Check",IF(Raw_Data[[#This Row],[Sell_through%]]=0,"Non-moving",IF(Raw_Data[[#This Row],[Sell_through%]]&gt;=0.6,"Fast","Slow")))</f>
        <v>Non-moving</v>
      </c>
      <c r="M372">
        <f>IF(AND(ISNUMBER(Raw_Data[[#This Row],[Closing_Stock]]),ISNUMBER(Raw_Data[[#This Row],[Unit_Cost]])),Raw_Data[[#This Row],[Closing_Stock]]*Raw_Data[[#This Row],[Unit_Cost]],"")</f>
        <v>665550</v>
      </c>
      <c r="N37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73" spans="1:14" x14ac:dyDescent="0.3">
      <c r="A373" t="s">
        <v>620</v>
      </c>
      <c r="B373" t="s">
        <v>60</v>
      </c>
      <c r="C373" t="s">
        <v>28</v>
      </c>
      <c r="D373" t="s">
        <v>36</v>
      </c>
      <c r="E373" s="3"/>
      <c r="F373">
        <v>455</v>
      </c>
      <c r="G373">
        <v>0</v>
      </c>
      <c r="H373">
        <v>455</v>
      </c>
      <c r="I373">
        <v>2551</v>
      </c>
      <c r="J373" t="s">
        <v>14</v>
      </c>
      <c r="K373" s="4">
        <f>IF(AND(ISNUMBER(Raw_Data[[#This Row],[Opening_Stock]]),ISNUMBER(Raw_Data[[#This Row],[Units_Sold]]),Raw_Data[[#This Row],[Opening_Stock]]&gt;0),Raw_Data[[#This Row],[Units_Sold]]/Raw_Data[[#This Row],[Opening_Stock]],"")</f>
        <v>0</v>
      </c>
      <c r="L373" t="str">
        <f>IF(NOT(ISNUMBER(Raw_Data[[#This Row],[Sell_through%]])),"Check",IF(Raw_Data[[#This Row],[Sell_through%]]=0,"Non-moving",IF(Raw_Data[[#This Row],[Sell_through%]]&gt;=0.6,"Fast","Slow")))</f>
        <v>Non-moving</v>
      </c>
      <c r="M373">
        <f>IF(AND(ISNUMBER(Raw_Data[[#This Row],[Closing_Stock]]),ISNUMBER(Raw_Data[[#This Row],[Unit_Cost]])),Raw_Data[[#This Row],[Closing_Stock]]*Raw_Data[[#This Row],[Unit_Cost]],"")</f>
        <v>1160705</v>
      </c>
      <c r="N37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74" spans="1:14" x14ac:dyDescent="0.3">
      <c r="A374" t="s">
        <v>622</v>
      </c>
      <c r="B374" t="s">
        <v>136</v>
      </c>
      <c r="C374" t="s">
        <v>35</v>
      </c>
      <c r="D374" t="s">
        <v>36</v>
      </c>
      <c r="E374" s="3"/>
      <c r="F374">
        <v>365</v>
      </c>
      <c r="G374">
        <v>0</v>
      </c>
      <c r="H374">
        <v>365</v>
      </c>
      <c r="I374">
        <v>959</v>
      </c>
      <c r="J374" t="s">
        <v>14</v>
      </c>
      <c r="K374" s="4">
        <f>IF(AND(ISNUMBER(Raw_Data[[#This Row],[Opening_Stock]]),ISNUMBER(Raw_Data[[#This Row],[Units_Sold]]),Raw_Data[[#This Row],[Opening_Stock]]&gt;0),Raw_Data[[#This Row],[Units_Sold]]/Raw_Data[[#This Row],[Opening_Stock]],"")</f>
        <v>0</v>
      </c>
      <c r="L374" t="str">
        <f>IF(NOT(ISNUMBER(Raw_Data[[#This Row],[Sell_through%]])),"Check",IF(Raw_Data[[#This Row],[Sell_through%]]=0,"Non-moving",IF(Raw_Data[[#This Row],[Sell_through%]]&gt;=0.6,"Fast","Slow")))</f>
        <v>Non-moving</v>
      </c>
      <c r="M374">
        <f>IF(AND(ISNUMBER(Raw_Data[[#This Row],[Closing_Stock]]),ISNUMBER(Raw_Data[[#This Row],[Unit_Cost]])),Raw_Data[[#This Row],[Closing_Stock]]*Raw_Data[[#This Row],[Unit_Cost]],"")</f>
        <v>350035</v>
      </c>
      <c r="N37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75" spans="1:14" x14ac:dyDescent="0.3">
      <c r="A375" t="s">
        <v>623</v>
      </c>
      <c r="B375" t="s">
        <v>455</v>
      </c>
      <c r="C375" t="s">
        <v>35</v>
      </c>
      <c r="D375" t="s">
        <v>32</v>
      </c>
      <c r="E375" s="3">
        <v>46205</v>
      </c>
      <c r="F375">
        <v>283</v>
      </c>
      <c r="G375">
        <v>65</v>
      </c>
      <c r="H375">
        <v>218</v>
      </c>
      <c r="I375">
        <v>2012</v>
      </c>
      <c r="J375" t="s">
        <v>14</v>
      </c>
      <c r="K375" s="4">
        <f>IF(AND(ISNUMBER(Raw_Data[[#This Row],[Opening_Stock]]),ISNUMBER(Raw_Data[[#This Row],[Units_Sold]]),Raw_Data[[#This Row],[Opening_Stock]]&gt;0),Raw_Data[[#This Row],[Units_Sold]]/Raw_Data[[#This Row],[Opening_Stock]],"")</f>
        <v>0.22968197879858657</v>
      </c>
      <c r="L375" t="str">
        <f>IF(NOT(ISNUMBER(Raw_Data[[#This Row],[Sell_through%]])),"Check",IF(Raw_Data[[#This Row],[Sell_through%]]=0,"Non-moving",IF(Raw_Data[[#This Row],[Sell_through%]]&gt;=0.6,"Fast","Slow")))</f>
        <v>Slow</v>
      </c>
      <c r="M375">
        <f>IF(AND(ISNUMBER(Raw_Data[[#This Row],[Closing_Stock]]),ISNUMBER(Raw_Data[[#This Row],[Unit_Cost]])),Raw_Data[[#This Row],[Closing_Stock]]*Raw_Data[[#This Row],[Unit_Cost]],"")</f>
        <v>438616</v>
      </c>
      <c r="N37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76" spans="1:14" x14ac:dyDescent="0.3">
      <c r="A376" t="s">
        <v>624</v>
      </c>
      <c r="B376" t="s">
        <v>234</v>
      </c>
      <c r="C376" t="s">
        <v>28</v>
      </c>
      <c r="D376" t="s">
        <v>13</v>
      </c>
      <c r="E376" s="3">
        <v>46253</v>
      </c>
      <c r="F376">
        <v>381</v>
      </c>
      <c r="G376">
        <v>352</v>
      </c>
      <c r="H376">
        <v>29</v>
      </c>
      <c r="I376">
        <v>178</v>
      </c>
      <c r="J376" t="s">
        <v>17</v>
      </c>
      <c r="K376" s="4">
        <f>IF(AND(ISNUMBER(Raw_Data[[#This Row],[Opening_Stock]]),ISNUMBER(Raw_Data[[#This Row],[Units_Sold]]),Raw_Data[[#This Row],[Opening_Stock]]&gt;0),Raw_Data[[#This Row],[Units_Sold]]/Raw_Data[[#This Row],[Opening_Stock]],"")</f>
        <v>0.92388451443569553</v>
      </c>
      <c r="L376" t="str">
        <f>IF(NOT(ISNUMBER(Raw_Data[[#This Row],[Sell_through%]])),"Check",IF(Raw_Data[[#This Row],[Sell_through%]]=0,"Non-moving",IF(Raw_Data[[#This Row],[Sell_through%]]&gt;=0.6,"Fast","Slow")))</f>
        <v>Fast</v>
      </c>
      <c r="M376">
        <f>IF(AND(ISNUMBER(Raw_Data[[#This Row],[Closing_Stock]]),ISNUMBER(Raw_Data[[#This Row],[Unit_Cost]])),Raw_Data[[#This Row],[Closing_Stock]]*Raw_Data[[#This Row],[Unit_Cost]],"")</f>
        <v>5162</v>
      </c>
      <c r="N376"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77" spans="1:14" x14ac:dyDescent="0.3">
      <c r="A377" t="s">
        <v>625</v>
      </c>
      <c r="B377" t="s">
        <v>124</v>
      </c>
      <c r="C377" t="s">
        <v>28</v>
      </c>
      <c r="D377" t="s">
        <v>36</v>
      </c>
      <c r="E377" s="3"/>
      <c r="F377">
        <v>417</v>
      </c>
      <c r="G377">
        <v>0</v>
      </c>
      <c r="H377">
        <v>417</v>
      </c>
      <c r="I377">
        <v>2431</v>
      </c>
      <c r="J377" t="s">
        <v>14</v>
      </c>
      <c r="K377" s="4">
        <f>IF(AND(ISNUMBER(Raw_Data[[#This Row],[Opening_Stock]]),ISNUMBER(Raw_Data[[#This Row],[Units_Sold]]),Raw_Data[[#This Row],[Opening_Stock]]&gt;0),Raw_Data[[#This Row],[Units_Sold]]/Raw_Data[[#This Row],[Opening_Stock]],"")</f>
        <v>0</v>
      </c>
      <c r="L377" t="str">
        <f>IF(NOT(ISNUMBER(Raw_Data[[#This Row],[Sell_through%]])),"Check",IF(Raw_Data[[#This Row],[Sell_through%]]=0,"Non-moving",IF(Raw_Data[[#This Row],[Sell_through%]]&gt;=0.6,"Fast","Slow")))</f>
        <v>Non-moving</v>
      </c>
      <c r="M377">
        <f>IF(AND(ISNUMBER(Raw_Data[[#This Row],[Closing_Stock]]),ISNUMBER(Raw_Data[[#This Row],[Unit_Cost]])),Raw_Data[[#This Row],[Closing_Stock]]*Raw_Data[[#This Row],[Unit_Cost]],"")</f>
        <v>1013727</v>
      </c>
      <c r="N37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78" spans="1:14" x14ac:dyDescent="0.3">
      <c r="A378" t="s">
        <v>626</v>
      </c>
      <c r="B378" t="s">
        <v>84</v>
      </c>
      <c r="C378" t="s">
        <v>28</v>
      </c>
      <c r="D378" t="s">
        <v>32</v>
      </c>
      <c r="E378" s="3">
        <v>46085</v>
      </c>
      <c r="F378">
        <v>459</v>
      </c>
      <c r="G378">
        <v>367</v>
      </c>
      <c r="H378">
        <v>92</v>
      </c>
      <c r="I378">
        <v>617</v>
      </c>
      <c r="J378" t="s">
        <v>14</v>
      </c>
      <c r="K378" s="4">
        <f>IF(AND(ISNUMBER(Raw_Data[[#This Row],[Opening_Stock]]),ISNUMBER(Raw_Data[[#This Row],[Units_Sold]]),Raw_Data[[#This Row],[Opening_Stock]]&gt;0),Raw_Data[[#This Row],[Units_Sold]]/Raw_Data[[#This Row],[Opening_Stock]],"")</f>
        <v>0.79956427015250542</v>
      </c>
      <c r="L378" t="str">
        <f>IF(NOT(ISNUMBER(Raw_Data[[#This Row],[Sell_through%]])),"Check",IF(Raw_Data[[#This Row],[Sell_through%]]=0,"Non-moving",IF(Raw_Data[[#This Row],[Sell_through%]]&gt;=0.6,"Fast","Slow")))</f>
        <v>Fast</v>
      </c>
      <c r="M378">
        <f>IF(AND(ISNUMBER(Raw_Data[[#This Row],[Closing_Stock]]),ISNUMBER(Raw_Data[[#This Row],[Unit_Cost]])),Raw_Data[[#This Row],[Closing_Stock]]*Raw_Data[[#This Row],[Unit_Cost]],"")</f>
        <v>56764</v>
      </c>
      <c r="N378"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79" spans="1:14" x14ac:dyDescent="0.3">
      <c r="A379" t="s">
        <v>627</v>
      </c>
      <c r="B379" t="s">
        <v>211</v>
      </c>
      <c r="C379" t="s">
        <v>35</v>
      </c>
      <c r="D379" t="s">
        <v>36</v>
      </c>
      <c r="E379" s="3">
        <v>46257</v>
      </c>
      <c r="F379">
        <v>159</v>
      </c>
      <c r="G379">
        <v>130</v>
      </c>
      <c r="H379">
        <v>29</v>
      </c>
      <c r="I379">
        <v>2077</v>
      </c>
      <c r="J379" t="s">
        <v>17</v>
      </c>
      <c r="K379" s="4">
        <f>IF(AND(ISNUMBER(Raw_Data[[#This Row],[Opening_Stock]]),ISNUMBER(Raw_Data[[#This Row],[Units_Sold]]),Raw_Data[[#This Row],[Opening_Stock]]&gt;0),Raw_Data[[#This Row],[Units_Sold]]/Raw_Data[[#This Row],[Opening_Stock]],"")</f>
        <v>0.8176100628930818</v>
      </c>
      <c r="L379" t="str">
        <f>IF(NOT(ISNUMBER(Raw_Data[[#This Row],[Sell_through%]])),"Check",IF(Raw_Data[[#This Row],[Sell_through%]]=0,"Non-moving",IF(Raw_Data[[#This Row],[Sell_through%]]&gt;=0.6,"Fast","Slow")))</f>
        <v>Fast</v>
      </c>
      <c r="M379">
        <f>IF(AND(ISNUMBER(Raw_Data[[#This Row],[Closing_Stock]]),ISNUMBER(Raw_Data[[#This Row],[Unit_Cost]])),Raw_Data[[#This Row],[Closing_Stock]]*Raw_Data[[#This Row],[Unit_Cost]],"")</f>
        <v>60233</v>
      </c>
      <c r="N37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80" spans="1:14" x14ac:dyDescent="0.3">
      <c r="A380" t="s">
        <v>628</v>
      </c>
      <c r="B380" t="s">
        <v>16</v>
      </c>
      <c r="C380" t="s">
        <v>12</v>
      </c>
      <c r="D380" t="s">
        <v>13</v>
      </c>
      <c r="E380" s="3">
        <v>46261</v>
      </c>
      <c r="F380">
        <v>316</v>
      </c>
      <c r="G380">
        <v>68</v>
      </c>
      <c r="H380">
        <v>248</v>
      </c>
      <c r="I380">
        <v>560</v>
      </c>
      <c r="J380" t="s">
        <v>14</v>
      </c>
      <c r="K380" s="4">
        <f>IF(AND(ISNUMBER(Raw_Data[[#This Row],[Opening_Stock]]),ISNUMBER(Raw_Data[[#This Row],[Units_Sold]]),Raw_Data[[#This Row],[Opening_Stock]]&gt;0),Raw_Data[[#This Row],[Units_Sold]]/Raw_Data[[#This Row],[Opening_Stock]],"")</f>
        <v>0.21518987341772153</v>
      </c>
      <c r="L380" t="str">
        <f>IF(NOT(ISNUMBER(Raw_Data[[#This Row],[Sell_through%]])),"Check",IF(Raw_Data[[#This Row],[Sell_through%]]=0,"Non-moving",IF(Raw_Data[[#This Row],[Sell_through%]]&gt;=0.6,"Fast","Slow")))</f>
        <v>Slow</v>
      </c>
      <c r="M380">
        <f>IF(AND(ISNUMBER(Raw_Data[[#This Row],[Closing_Stock]]),ISNUMBER(Raw_Data[[#This Row],[Unit_Cost]])),Raw_Data[[#This Row],[Closing_Stock]]*Raw_Data[[#This Row],[Unit_Cost]],"")</f>
        <v>138880</v>
      </c>
      <c r="N38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81" spans="1:14" x14ac:dyDescent="0.3">
      <c r="A381" t="s">
        <v>629</v>
      </c>
      <c r="B381" t="s">
        <v>243</v>
      </c>
      <c r="C381" t="s">
        <v>28</v>
      </c>
      <c r="D381" t="s">
        <v>21</v>
      </c>
      <c r="E381" s="3">
        <v>46106</v>
      </c>
      <c r="F381">
        <v>85</v>
      </c>
      <c r="G381">
        <v>29</v>
      </c>
      <c r="H381">
        <v>56</v>
      </c>
      <c r="I381">
        <v>1434</v>
      </c>
      <c r="J381" t="s">
        <v>17</v>
      </c>
      <c r="K381" s="4">
        <f>IF(AND(ISNUMBER(Raw_Data[[#This Row],[Opening_Stock]]),ISNUMBER(Raw_Data[[#This Row],[Units_Sold]]),Raw_Data[[#This Row],[Opening_Stock]]&gt;0),Raw_Data[[#This Row],[Units_Sold]]/Raw_Data[[#This Row],[Opening_Stock]],"")</f>
        <v>0.3411764705882353</v>
      </c>
      <c r="L381" t="str">
        <f>IF(NOT(ISNUMBER(Raw_Data[[#This Row],[Sell_through%]])),"Check",IF(Raw_Data[[#This Row],[Sell_through%]]=0,"Non-moving",IF(Raw_Data[[#This Row],[Sell_through%]]&gt;=0.6,"Fast","Slow")))</f>
        <v>Slow</v>
      </c>
      <c r="M381">
        <f>IF(AND(ISNUMBER(Raw_Data[[#This Row],[Closing_Stock]]),ISNUMBER(Raw_Data[[#This Row],[Unit_Cost]])),Raw_Data[[#This Row],[Closing_Stock]]*Raw_Data[[#This Row],[Unit_Cost]],"")</f>
        <v>80304</v>
      </c>
      <c r="N38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82" spans="1:14" x14ac:dyDescent="0.3">
      <c r="A382" t="s">
        <v>630</v>
      </c>
      <c r="B382" t="s">
        <v>27</v>
      </c>
      <c r="C382" t="s">
        <v>28</v>
      </c>
      <c r="D382" t="s">
        <v>36</v>
      </c>
      <c r="E382" s="3">
        <v>46161</v>
      </c>
      <c r="F382">
        <v>401</v>
      </c>
      <c r="G382">
        <v>92</v>
      </c>
      <c r="H382">
        <v>309</v>
      </c>
      <c r="I382">
        <v>624</v>
      </c>
      <c r="J382" t="s">
        <v>14</v>
      </c>
      <c r="K382" s="4">
        <f>IF(AND(ISNUMBER(Raw_Data[[#This Row],[Opening_Stock]]),ISNUMBER(Raw_Data[[#This Row],[Units_Sold]]),Raw_Data[[#This Row],[Opening_Stock]]&gt;0),Raw_Data[[#This Row],[Units_Sold]]/Raw_Data[[#This Row],[Opening_Stock]],"")</f>
        <v>0.22942643391521197</v>
      </c>
      <c r="L382" t="str">
        <f>IF(NOT(ISNUMBER(Raw_Data[[#This Row],[Sell_through%]])),"Check",IF(Raw_Data[[#This Row],[Sell_through%]]=0,"Non-moving",IF(Raw_Data[[#This Row],[Sell_through%]]&gt;=0.6,"Fast","Slow")))</f>
        <v>Slow</v>
      </c>
      <c r="M382">
        <f>IF(AND(ISNUMBER(Raw_Data[[#This Row],[Closing_Stock]]),ISNUMBER(Raw_Data[[#This Row],[Unit_Cost]])),Raw_Data[[#This Row],[Closing_Stock]]*Raw_Data[[#This Row],[Unit_Cost]],"")</f>
        <v>192816</v>
      </c>
      <c r="N38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83" spans="1:14" x14ac:dyDescent="0.3">
      <c r="A383" t="s">
        <v>631</v>
      </c>
      <c r="B383" t="s">
        <v>146</v>
      </c>
      <c r="C383" t="s">
        <v>35</v>
      </c>
      <c r="D383" t="s">
        <v>13</v>
      </c>
      <c r="E383" s="3">
        <v>46104</v>
      </c>
      <c r="F383">
        <v>54</v>
      </c>
      <c r="G383">
        <v>9</v>
      </c>
      <c r="H383">
        <v>45</v>
      </c>
      <c r="I383">
        <v>380</v>
      </c>
      <c r="J383" t="s">
        <v>17</v>
      </c>
      <c r="K383" s="4">
        <f>IF(AND(ISNUMBER(Raw_Data[[#This Row],[Opening_Stock]]),ISNUMBER(Raw_Data[[#This Row],[Units_Sold]]),Raw_Data[[#This Row],[Opening_Stock]]&gt;0),Raw_Data[[#This Row],[Units_Sold]]/Raw_Data[[#This Row],[Opening_Stock]],"")</f>
        <v>0.16666666666666666</v>
      </c>
      <c r="L383" t="str">
        <f>IF(NOT(ISNUMBER(Raw_Data[[#This Row],[Sell_through%]])),"Check",IF(Raw_Data[[#This Row],[Sell_through%]]=0,"Non-moving",IF(Raw_Data[[#This Row],[Sell_through%]]&gt;=0.6,"Fast","Slow")))</f>
        <v>Slow</v>
      </c>
      <c r="M383">
        <f>IF(AND(ISNUMBER(Raw_Data[[#This Row],[Closing_Stock]]),ISNUMBER(Raw_Data[[#This Row],[Unit_Cost]])),Raw_Data[[#This Row],[Closing_Stock]]*Raw_Data[[#This Row],[Unit_Cost]],"")</f>
        <v>17100</v>
      </c>
      <c r="N38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84" spans="1:14" x14ac:dyDescent="0.3">
      <c r="A384" t="s">
        <v>633</v>
      </c>
      <c r="B384" t="s">
        <v>93</v>
      </c>
      <c r="C384" t="s">
        <v>12</v>
      </c>
      <c r="D384" t="s">
        <v>32</v>
      </c>
      <c r="E384" s="3">
        <v>46080</v>
      </c>
      <c r="F384">
        <v>446</v>
      </c>
      <c r="G384">
        <v>40</v>
      </c>
      <c r="H384">
        <v>406</v>
      </c>
      <c r="I384">
        <v>1809</v>
      </c>
      <c r="J384" t="s">
        <v>14</v>
      </c>
      <c r="K384" s="4">
        <f>IF(AND(ISNUMBER(Raw_Data[[#This Row],[Opening_Stock]]),ISNUMBER(Raw_Data[[#This Row],[Units_Sold]]),Raw_Data[[#This Row],[Opening_Stock]]&gt;0),Raw_Data[[#This Row],[Units_Sold]]/Raw_Data[[#This Row],[Opening_Stock]],"")</f>
        <v>8.9686098654708515E-2</v>
      </c>
      <c r="L384" t="str">
        <f>IF(NOT(ISNUMBER(Raw_Data[[#This Row],[Sell_through%]])),"Check",IF(Raw_Data[[#This Row],[Sell_through%]]=0,"Non-moving",IF(Raw_Data[[#This Row],[Sell_through%]]&gt;=0.6,"Fast","Slow")))</f>
        <v>Slow</v>
      </c>
      <c r="M384">
        <f>IF(AND(ISNUMBER(Raw_Data[[#This Row],[Closing_Stock]]),ISNUMBER(Raw_Data[[#This Row],[Unit_Cost]])),Raw_Data[[#This Row],[Closing_Stock]]*Raw_Data[[#This Row],[Unit_Cost]],"")</f>
        <v>734454</v>
      </c>
      <c r="N38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85" spans="1:14" x14ac:dyDescent="0.3">
      <c r="A385" t="s">
        <v>635</v>
      </c>
      <c r="B385" t="s">
        <v>84</v>
      </c>
      <c r="C385" t="s">
        <v>28</v>
      </c>
      <c r="D385" t="s">
        <v>21</v>
      </c>
      <c r="E385" s="3"/>
      <c r="G385">
        <v>0</v>
      </c>
      <c r="H385">
        <v>183</v>
      </c>
      <c r="I385">
        <v>347</v>
      </c>
      <c r="J385" t="s">
        <v>14</v>
      </c>
      <c r="K385" s="4" t="str">
        <f>IF(AND(ISNUMBER(Raw_Data[[#This Row],[Opening_Stock]]),ISNUMBER(Raw_Data[[#This Row],[Units_Sold]]),Raw_Data[[#This Row],[Opening_Stock]]&gt;0),Raw_Data[[#This Row],[Units_Sold]]/Raw_Data[[#This Row],[Opening_Stock]],"")</f>
        <v/>
      </c>
      <c r="L385" t="str">
        <f>IF(NOT(ISNUMBER(Raw_Data[[#This Row],[Sell_through%]])),"Check",IF(Raw_Data[[#This Row],[Sell_through%]]=0,"Non-moving",IF(Raw_Data[[#This Row],[Sell_through%]]&gt;=0.6,"Fast","Slow")))</f>
        <v>Check</v>
      </c>
      <c r="M385">
        <f>IF(AND(ISNUMBER(Raw_Data[[#This Row],[Closing_Stock]]),ISNUMBER(Raw_Data[[#This Row],[Unit_Cost]])),Raw_Data[[#This Row],[Closing_Stock]]*Raw_Data[[#This Row],[Unit_Cost]],"")</f>
        <v>63501</v>
      </c>
      <c r="N38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86" spans="1:14" x14ac:dyDescent="0.3">
      <c r="A386" t="s">
        <v>636</v>
      </c>
      <c r="B386" t="s">
        <v>363</v>
      </c>
      <c r="C386" t="s">
        <v>12</v>
      </c>
      <c r="D386" t="s">
        <v>36</v>
      </c>
      <c r="E386" s="3">
        <v>46252</v>
      </c>
      <c r="F386">
        <v>248</v>
      </c>
      <c r="G386">
        <v>79</v>
      </c>
      <c r="H386">
        <v>169</v>
      </c>
      <c r="I386">
        <v>2143</v>
      </c>
      <c r="J386" t="s">
        <v>14</v>
      </c>
      <c r="K386" s="4">
        <f>IF(AND(ISNUMBER(Raw_Data[[#This Row],[Opening_Stock]]),ISNUMBER(Raw_Data[[#This Row],[Units_Sold]]),Raw_Data[[#This Row],[Opening_Stock]]&gt;0),Raw_Data[[#This Row],[Units_Sold]]/Raw_Data[[#This Row],[Opening_Stock]],"")</f>
        <v>0.31854838709677419</v>
      </c>
      <c r="L386" t="str">
        <f>IF(NOT(ISNUMBER(Raw_Data[[#This Row],[Sell_through%]])),"Check",IF(Raw_Data[[#This Row],[Sell_through%]]=0,"Non-moving",IF(Raw_Data[[#This Row],[Sell_through%]]&gt;=0.6,"Fast","Slow")))</f>
        <v>Slow</v>
      </c>
      <c r="M386">
        <f>IF(AND(ISNUMBER(Raw_Data[[#This Row],[Closing_Stock]]),ISNUMBER(Raw_Data[[#This Row],[Unit_Cost]])),Raw_Data[[#This Row],[Closing_Stock]]*Raw_Data[[#This Row],[Unit_Cost]],"")</f>
        <v>362167</v>
      </c>
      <c r="N38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87" spans="1:14" x14ac:dyDescent="0.3">
      <c r="A387" t="s">
        <v>637</v>
      </c>
      <c r="B387" t="s">
        <v>98</v>
      </c>
      <c r="C387" t="s">
        <v>12</v>
      </c>
      <c r="D387" t="s">
        <v>21</v>
      </c>
      <c r="E387" s="3">
        <v>46250</v>
      </c>
      <c r="F387">
        <v>51</v>
      </c>
      <c r="G387">
        <v>44</v>
      </c>
      <c r="H387">
        <v>7</v>
      </c>
      <c r="I387">
        <v>273</v>
      </c>
      <c r="J387" t="s">
        <v>17</v>
      </c>
      <c r="K387" s="4">
        <f>IF(AND(ISNUMBER(Raw_Data[[#This Row],[Opening_Stock]]),ISNUMBER(Raw_Data[[#This Row],[Units_Sold]]),Raw_Data[[#This Row],[Opening_Stock]]&gt;0),Raw_Data[[#This Row],[Units_Sold]]/Raw_Data[[#This Row],[Opening_Stock]],"")</f>
        <v>0.86274509803921573</v>
      </c>
      <c r="L387" t="str">
        <f>IF(NOT(ISNUMBER(Raw_Data[[#This Row],[Sell_through%]])),"Check",IF(Raw_Data[[#This Row],[Sell_through%]]=0,"Non-moving",IF(Raw_Data[[#This Row],[Sell_through%]]&gt;=0.6,"Fast","Slow")))</f>
        <v>Fast</v>
      </c>
      <c r="M387">
        <f>IF(AND(ISNUMBER(Raw_Data[[#This Row],[Closing_Stock]]),ISNUMBER(Raw_Data[[#This Row],[Unit_Cost]])),Raw_Data[[#This Row],[Closing_Stock]]*Raw_Data[[#This Row],[Unit_Cost]],"")</f>
        <v>1911</v>
      </c>
      <c r="N38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88" spans="1:14" x14ac:dyDescent="0.3">
      <c r="A388" t="s">
        <v>638</v>
      </c>
      <c r="B388" t="s">
        <v>434</v>
      </c>
      <c r="D388" t="s">
        <v>13</v>
      </c>
      <c r="E388" s="3"/>
      <c r="F388">
        <v>234</v>
      </c>
      <c r="G388">
        <v>0</v>
      </c>
      <c r="H388">
        <v>234</v>
      </c>
      <c r="I388">
        <v>962</v>
      </c>
      <c r="J388" t="s">
        <v>14</v>
      </c>
      <c r="K388" s="4">
        <f>IF(AND(ISNUMBER(Raw_Data[[#This Row],[Opening_Stock]]),ISNUMBER(Raw_Data[[#This Row],[Units_Sold]]),Raw_Data[[#This Row],[Opening_Stock]]&gt;0),Raw_Data[[#This Row],[Units_Sold]]/Raw_Data[[#This Row],[Opening_Stock]],"")</f>
        <v>0</v>
      </c>
      <c r="L388" t="str">
        <f>IF(NOT(ISNUMBER(Raw_Data[[#This Row],[Sell_through%]])),"Check",IF(Raw_Data[[#This Row],[Sell_through%]]=0,"Non-moving",IF(Raw_Data[[#This Row],[Sell_through%]]&gt;=0.6,"Fast","Slow")))</f>
        <v>Non-moving</v>
      </c>
      <c r="M388">
        <f>IF(AND(ISNUMBER(Raw_Data[[#This Row],[Closing_Stock]]),ISNUMBER(Raw_Data[[#This Row],[Unit_Cost]])),Raw_Data[[#This Row],[Closing_Stock]]*Raw_Data[[#This Row],[Unit_Cost]],"")</f>
        <v>225108</v>
      </c>
      <c r="N38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89" spans="1:14" x14ac:dyDescent="0.3">
      <c r="A389" t="s">
        <v>640</v>
      </c>
      <c r="B389" t="s">
        <v>479</v>
      </c>
      <c r="C389" t="s">
        <v>31</v>
      </c>
      <c r="D389" t="s">
        <v>13</v>
      </c>
      <c r="E389" s="3"/>
      <c r="F389">
        <v>379</v>
      </c>
      <c r="G389">
        <v>5</v>
      </c>
      <c r="H389">
        <v>379</v>
      </c>
      <c r="I389">
        <v>2579</v>
      </c>
      <c r="J389" t="s">
        <v>14</v>
      </c>
      <c r="K389" s="4">
        <f>IF(AND(ISNUMBER(Raw_Data[[#This Row],[Opening_Stock]]),ISNUMBER(Raw_Data[[#This Row],[Units_Sold]]),Raw_Data[[#This Row],[Opening_Stock]]&gt;0),Raw_Data[[#This Row],[Units_Sold]]/Raw_Data[[#This Row],[Opening_Stock]],"")</f>
        <v>1.3192612137203167E-2</v>
      </c>
      <c r="L389" t="str">
        <f>IF(NOT(ISNUMBER(Raw_Data[[#This Row],[Sell_through%]])),"Check",IF(Raw_Data[[#This Row],[Sell_through%]]=0,"Non-moving",IF(Raw_Data[[#This Row],[Sell_through%]]&gt;=0.6,"Fast","Slow")))</f>
        <v>Slow</v>
      </c>
      <c r="M389">
        <f>IF(AND(ISNUMBER(Raw_Data[[#This Row],[Closing_Stock]]),ISNUMBER(Raw_Data[[#This Row],[Unit_Cost]])),Raw_Data[[#This Row],[Closing_Stock]]*Raw_Data[[#This Row],[Unit_Cost]],"")</f>
        <v>977441</v>
      </c>
      <c r="N38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90" spans="1:14" x14ac:dyDescent="0.3">
      <c r="A390" t="s">
        <v>641</v>
      </c>
      <c r="B390" t="s">
        <v>105</v>
      </c>
      <c r="D390" t="s">
        <v>13</v>
      </c>
      <c r="E390" s="3">
        <v>46070</v>
      </c>
      <c r="F390">
        <v>358</v>
      </c>
      <c r="G390">
        <v>118</v>
      </c>
      <c r="H390">
        <v>240</v>
      </c>
      <c r="I390">
        <v>2906</v>
      </c>
      <c r="J390" t="s">
        <v>14</v>
      </c>
      <c r="K390" s="4">
        <f>IF(AND(ISNUMBER(Raw_Data[[#This Row],[Opening_Stock]]),ISNUMBER(Raw_Data[[#This Row],[Units_Sold]]),Raw_Data[[#This Row],[Opening_Stock]]&gt;0),Raw_Data[[#This Row],[Units_Sold]]/Raw_Data[[#This Row],[Opening_Stock]],"")</f>
        <v>0.32960893854748602</v>
      </c>
      <c r="L390" t="str">
        <f>IF(NOT(ISNUMBER(Raw_Data[[#This Row],[Sell_through%]])),"Check",IF(Raw_Data[[#This Row],[Sell_through%]]=0,"Non-moving",IF(Raw_Data[[#This Row],[Sell_through%]]&gt;=0.6,"Fast","Slow")))</f>
        <v>Slow</v>
      </c>
      <c r="M390">
        <f>IF(AND(ISNUMBER(Raw_Data[[#This Row],[Closing_Stock]]),ISNUMBER(Raw_Data[[#This Row],[Unit_Cost]])),Raw_Data[[#This Row],[Closing_Stock]]*Raw_Data[[#This Row],[Unit_Cost]],"")</f>
        <v>697440</v>
      </c>
      <c r="N39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91" spans="1:14" x14ac:dyDescent="0.3">
      <c r="A391" t="s">
        <v>643</v>
      </c>
      <c r="B391" t="s">
        <v>78</v>
      </c>
      <c r="C391" t="s">
        <v>35</v>
      </c>
      <c r="D391" t="s">
        <v>32</v>
      </c>
      <c r="E391" s="3"/>
      <c r="F391">
        <v>219</v>
      </c>
      <c r="G391">
        <v>0</v>
      </c>
      <c r="H391">
        <v>219</v>
      </c>
      <c r="I391">
        <v>2541</v>
      </c>
      <c r="J391" t="s">
        <v>14</v>
      </c>
      <c r="K391" s="4">
        <f>IF(AND(ISNUMBER(Raw_Data[[#This Row],[Opening_Stock]]),ISNUMBER(Raw_Data[[#This Row],[Units_Sold]]),Raw_Data[[#This Row],[Opening_Stock]]&gt;0),Raw_Data[[#This Row],[Units_Sold]]/Raw_Data[[#This Row],[Opening_Stock]],"")</f>
        <v>0</v>
      </c>
      <c r="L391" t="str">
        <f>IF(NOT(ISNUMBER(Raw_Data[[#This Row],[Sell_through%]])),"Check",IF(Raw_Data[[#This Row],[Sell_through%]]=0,"Non-moving",IF(Raw_Data[[#This Row],[Sell_through%]]&gt;=0.6,"Fast","Slow")))</f>
        <v>Non-moving</v>
      </c>
      <c r="M391">
        <f>IF(AND(ISNUMBER(Raw_Data[[#This Row],[Closing_Stock]]),ISNUMBER(Raw_Data[[#This Row],[Unit_Cost]])),Raw_Data[[#This Row],[Closing_Stock]]*Raw_Data[[#This Row],[Unit_Cost]],"")</f>
        <v>556479</v>
      </c>
      <c r="N39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92" spans="1:14" x14ac:dyDescent="0.3">
      <c r="A392" t="s">
        <v>645</v>
      </c>
      <c r="B392" t="s">
        <v>11</v>
      </c>
      <c r="C392" t="s">
        <v>12</v>
      </c>
      <c r="D392" t="s">
        <v>21</v>
      </c>
      <c r="E392" s="3">
        <v>46174</v>
      </c>
      <c r="F392">
        <v>383</v>
      </c>
      <c r="G392">
        <v>53</v>
      </c>
      <c r="H392">
        <v>330</v>
      </c>
      <c r="K392" s="4">
        <f>IF(AND(ISNUMBER(Raw_Data[[#This Row],[Opening_Stock]]),ISNUMBER(Raw_Data[[#This Row],[Units_Sold]]),Raw_Data[[#This Row],[Opening_Stock]]&gt;0),Raw_Data[[#This Row],[Units_Sold]]/Raw_Data[[#This Row],[Opening_Stock]],"")</f>
        <v>0.13838120104438642</v>
      </c>
      <c r="L392" t="str">
        <f>IF(NOT(ISNUMBER(Raw_Data[[#This Row],[Sell_through%]])),"Check",IF(Raw_Data[[#This Row],[Sell_through%]]=0,"Non-moving",IF(Raw_Data[[#This Row],[Sell_through%]]&gt;=0.6,"Fast","Slow")))</f>
        <v>Slow</v>
      </c>
      <c r="M392" t="str">
        <f>IF(AND(ISNUMBER(Raw_Data[[#This Row],[Closing_Stock]]),ISNUMBER(Raw_Data[[#This Row],[Unit_Cost]])),Raw_Data[[#This Row],[Closing_Stock]]*Raw_Data[[#This Row],[Unit_Cost]],"")</f>
        <v/>
      </c>
      <c r="N392"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93" spans="1:14" x14ac:dyDescent="0.3">
      <c r="A393" t="s">
        <v>647</v>
      </c>
      <c r="B393" t="s">
        <v>48</v>
      </c>
      <c r="D393" t="s">
        <v>21</v>
      </c>
      <c r="E393" s="3">
        <v>46215</v>
      </c>
      <c r="F393">
        <v>496</v>
      </c>
      <c r="G393">
        <v>354</v>
      </c>
      <c r="H393">
        <v>142</v>
      </c>
      <c r="I393">
        <v>1278</v>
      </c>
      <c r="J393" t="s">
        <v>14</v>
      </c>
      <c r="K393" s="4">
        <f>IF(AND(ISNUMBER(Raw_Data[[#This Row],[Opening_Stock]]),ISNUMBER(Raw_Data[[#This Row],[Units_Sold]]),Raw_Data[[#This Row],[Opening_Stock]]&gt;0),Raw_Data[[#This Row],[Units_Sold]]/Raw_Data[[#This Row],[Opening_Stock]],"")</f>
        <v>0.71370967741935487</v>
      </c>
      <c r="L393" t="str">
        <f>IF(NOT(ISNUMBER(Raw_Data[[#This Row],[Sell_through%]])),"Check",IF(Raw_Data[[#This Row],[Sell_through%]]=0,"Non-moving",IF(Raw_Data[[#This Row],[Sell_through%]]&gt;=0.6,"Fast","Slow")))</f>
        <v>Fast</v>
      </c>
      <c r="M393">
        <f>IF(AND(ISNUMBER(Raw_Data[[#This Row],[Closing_Stock]]),ISNUMBER(Raw_Data[[#This Row],[Unit_Cost]])),Raw_Data[[#This Row],[Closing_Stock]]*Raw_Data[[#This Row],[Unit_Cost]],"")</f>
        <v>181476</v>
      </c>
      <c r="N39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94" spans="1:14" x14ac:dyDescent="0.3">
      <c r="A394" t="s">
        <v>648</v>
      </c>
      <c r="B394" t="s">
        <v>284</v>
      </c>
      <c r="C394" t="s">
        <v>49</v>
      </c>
      <c r="D394" t="s">
        <v>13</v>
      </c>
      <c r="E394" s="3">
        <v>46032</v>
      </c>
      <c r="F394">
        <v>438</v>
      </c>
      <c r="G394">
        <v>369</v>
      </c>
      <c r="H394">
        <v>69</v>
      </c>
      <c r="I394">
        <v>567</v>
      </c>
      <c r="J394" t="s">
        <v>14</v>
      </c>
      <c r="K394" s="4">
        <f>IF(AND(ISNUMBER(Raw_Data[[#This Row],[Opening_Stock]]),ISNUMBER(Raw_Data[[#This Row],[Units_Sold]]),Raw_Data[[#This Row],[Opening_Stock]]&gt;0),Raw_Data[[#This Row],[Units_Sold]]/Raw_Data[[#This Row],[Opening_Stock]],"")</f>
        <v>0.84246575342465757</v>
      </c>
      <c r="L394" t="str">
        <f>IF(NOT(ISNUMBER(Raw_Data[[#This Row],[Sell_through%]])),"Check",IF(Raw_Data[[#This Row],[Sell_through%]]=0,"Non-moving",IF(Raw_Data[[#This Row],[Sell_through%]]&gt;=0.6,"Fast","Slow")))</f>
        <v>Fast</v>
      </c>
      <c r="M394">
        <f>IF(AND(ISNUMBER(Raw_Data[[#This Row],[Closing_Stock]]),ISNUMBER(Raw_Data[[#This Row],[Unit_Cost]])),Raw_Data[[#This Row],[Closing_Stock]]*Raw_Data[[#This Row],[Unit_Cost]],"")</f>
        <v>39123</v>
      </c>
      <c r="N39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95" spans="1:14" x14ac:dyDescent="0.3">
      <c r="A395" t="s">
        <v>649</v>
      </c>
      <c r="B395" t="s">
        <v>238</v>
      </c>
      <c r="C395" t="s">
        <v>28</v>
      </c>
      <c r="D395" t="s">
        <v>21</v>
      </c>
      <c r="E395" s="3">
        <v>45998</v>
      </c>
      <c r="F395">
        <v>429</v>
      </c>
      <c r="G395">
        <v>361</v>
      </c>
      <c r="H395">
        <v>68</v>
      </c>
      <c r="I395">
        <v>1836</v>
      </c>
      <c r="J395" t="s">
        <v>14</v>
      </c>
      <c r="K395" s="4">
        <f>IF(AND(ISNUMBER(Raw_Data[[#This Row],[Opening_Stock]]),ISNUMBER(Raw_Data[[#This Row],[Units_Sold]]),Raw_Data[[#This Row],[Opening_Stock]]&gt;0),Raw_Data[[#This Row],[Units_Sold]]/Raw_Data[[#This Row],[Opening_Stock]],"")</f>
        <v>0.84149184149184153</v>
      </c>
      <c r="L395" t="str">
        <f>IF(NOT(ISNUMBER(Raw_Data[[#This Row],[Sell_through%]])),"Check",IF(Raw_Data[[#This Row],[Sell_through%]]=0,"Non-moving",IF(Raw_Data[[#This Row],[Sell_through%]]&gt;=0.6,"Fast","Slow")))</f>
        <v>Fast</v>
      </c>
      <c r="M395">
        <f>IF(AND(ISNUMBER(Raw_Data[[#This Row],[Closing_Stock]]),ISNUMBER(Raw_Data[[#This Row],[Unit_Cost]])),Raw_Data[[#This Row],[Closing_Stock]]*Raw_Data[[#This Row],[Unit_Cost]],"")</f>
        <v>124848</v>
      </c>
      <c r="N39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396" spans="1:14" x14ac:dyDescent="0.3">
      <c r="A396" t="s">
        <v>650</v>
      </c>
      <c r="B396" t="s">
        <v>182</v>
      </c>
      <c r="C396" t="s">
        <v>12</v>
      </c>
      <c r="D396" t="s">
        <v>21</v>
      </c>
      <c r="E396" s="3">
        <v>46243</v>
      </c>
      <c r="F396">
        <v>296</v>
      </c>
      <c r="G396">
        <v>18</v>
      </c>
      <c r="H396">
        <v>278</v>
      </c>
      <c r="I396">
        <v>837</v>
      </c>
      <c r="J396" t="s">
        <v>14</v>
      </c>
      <c r="K396" s="4">
        <f>IF(AND(ISNUMBER(Raw_Data[[#This Row],[Opening_Stock]]),ISNUMBER(Raw_Data[[#This Row],[Units_Sold]]),Raw_Data[[#This Row],[Opening_Stock]]&gt;0),Raw_Data[[#This Row],[Units_Sold]]/Raw_Data[[#This Row],[Opening_Stock]],"")</f>
        <v>6.0810810810810814E-2</v>
      </c>
      <c r="L396" t="str">
        <f>IF(NOT(ISNUMBER(Raw_Data[[#This Row],[Sell_through%]])),"Check",IF(Raw_Data[[#This Row],[Sell_through%]]=0,"Non-moving",IF(Raw_Data[[#This Row],[Sell_through%]]&gt;=0.6,"Fast","Slow")))</f>
        <v>Slow</v>
      </c>
      <c r="M396">
        <f>IF(AND(ISNUMBER(Raw_Data[[#This Row],[Closing_Stock]]),ISNUMBER(Raw_Data[[#This Row],[Unit_Cost]])),Raw_Data[[#This Row],[Closing_Stock]]*Raw_Data[[#This Row],[Unit_Cost]],"")</f>
        <v>232686</v>
      </c>
      <c r="N39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397" spans="1:14" x14ac:dyDescent="0.3">
      <c r="A397" t="s">
        <v>652</v>
      </c>
      <c r="B397" t="s">
        <v>51</v>
      </c>
      <c r="C397" t="s">
        <v>49</v>
      </c>
      <c r="D397" t="s">
        <v>32</v>
      </c>
      <c r="E397" s="3">
        <v>46156</v>
      </c>
      <c r="F397">
        <v>147</v>
      </c>
      <c r="G397">
        <v>103</v>
      </c>
      <c r="H397">
        <v>44</v>
      </c>
      <c r="I397">
        <v>2669</v>
      </c>
      <c r="J397" t="s">
        <v>17</v>
      </c>
      <c r="K397" s="4">
        <f>IF(AND(ISNUMBER(Raw_Data[[#This Row],[Opening_Stock]]),ISNUMBER(Raw_Data[[#This Row],[Units_Sold]]),Raw_Data[[#This Row],[Opening_Stock]]&gt;0),Raw_Data[[#This Row],[Units_Sold]]/Raw_Data[[#This Row],[Opening_Stock]],"")</f>
        <v>0.70068027210884354</v>
      </c>
      <c r="L397" t="str">
        <f>IF(NOT(ISNUMBER(Raw_Data[[#This Row],[Sell_through%]])),"Check",IF(Raw_Data[[#This Row],[Sell_through%]]=0,"Non-moving",IF(Raw_Data[[#This Row],[Sell_through%]]&gt;=0.6,"Fast","Slow")))</f>
        <v>Fast</v>
      </c>
      <c r="M397">
        <f>IF(AND(ISNUMBER(Raw_Data[[#This Row],[Closing_Stock]]),ISNUMBER(Raw_Data[[#This Row],[Unit_Cost]])),Raw_Data[[#This Row],[Closing_Stock]]*Raw_Data[[#This Row],[Unit_Cost]],"")</f>
        <v>117436</v>
      </c>
      <c r="N39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98" spans="1:14" x14ac:dyDescent="0.3">
      <c r="A398" t="s">
        <v>653</v>
      </c>
      <c r="B398" t="s">
        <v>236</v>
      </c>
      <c r="C398" t="s">
        <v>12</v>
      </c>
      <c r="D398" t="s">
        <v>21</v>
      </c>
      <c r="E398" s="3">
        <v>46200</v>
      </c>
      <c r="F398">
        <v>496</v>
      </c>
      <c r="G398">
        <v>486</v>
      </c>
      <c r="H398">
        <v>10</v>
      </c>
      <c r="I398">
        <v>1346</v>
      </c>
      <c r="J398" t="s">
        <v>17</v>
      </c>
      <c r="K398" s="4">
        <f>IF(AND(ISNUMBER(Raw_Data[[#This Row],[Opening_Stock]]),ISNUMBER(Raw_Data[[#This Row],[Units_Sold]]),Raw_Data[[#This Row],[Opening_Stock]]&gt;0),Raw_Data[[#This Row],[Units_Sold]]/Raw_Data[[#This Row],[Opening_Stock]],"")</f>
        <v>0.97983870967741937</v>
      </c>
      <c r="L398" t="str">
        <f>IF(NOT(ISNUMBER(Raw_Data[[#This Row],[Sell_through%]])),"Check",IF(Raw_Data[[#This Row],[Sell_through%]]=0,"Non-moving",IF(Raw_Data[[#This Row],[Sell_through%]]&gt;=0.6,"Fast","Slow")))</f>
        <v>Fast</v>
      </c>
      <c r="M398">
        <f>IF(AND(ISNUMBER(Raw_Data[[#This Row],[Closing_Stock]]),ISNUMBER(Raw_Data[[#This Row],[Unit_Cost]])),Raw_Data[[#This Row],[Closing_Stock]]*Raw_Data[[#This Row],[Unit_Cost]],"")</f>
        <v>13460</v>
      </c>
      <c r="N39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399" spans="1:14" x14ac:dyDescent="0.3">
      <c r="A399" t="s">
        <v>655</v>
      </c>
      <c r="B399" t="s">
        <v>11</v>
      </c>
      <c r="C399" t="s">
        <v>12</v>
      </c>
      <c r="D399" t="s">
        <v>13</v>
      </c>
      <c r="E399" s="3">
        <v>46143</v>
      </c>
      <c r="F399">
        <v>304</v>
      </c>
      <c r="G399">
        <v>100</v>
      </c>
      <c r="H399">
        <v>204</v>
      </c>
      <c r="I399">
        <v>728</v>
      </c>
      <c r="J399" t="s">
        <v>14</v>
      </c>
      <c r="K399" s="4">
        <f>IF(AND(ISNUMBER(Raw_Data[[#This Row],[Opening_Stock]]),ISNUMBER(Raw_Data[[#This Row],[Units_Sold]]),Raw_Data[[#This Row],[Opening_Stock]]&gt;0),Raw_Data[[#This Row],[Units_Sold]]/Raw_Data[[#This Row],[Opening_Stock]],"")</f>
        <v>0.32894736842105265</v>
      </c>
      <c r="L399" t="str">
        <f>IF(NOT(ISNUMBER(Raw_Data[[#This Row],[Sell_through%]])),"Check",IF(Raw_Data[[#This Row],[Sell_through%]]=0,"Non-moving",IF(Raw_Data[[#This Row],[Sell_through%]]&gt;=0.6,"Fast","Slow")))</f>
        <v>Slow</v>
      </c>
      <c r="M399">
        <f>IF(AND(ISNUMBER(Raw_Data[[#This Row],[Closing_Stock]]),ISNUMBER(Raw_Data[[#This Row],[Unit_Cost]])),Raw_Data[[#This Row],[Closing_Stock]]*Raw_Data[[#This Row],[Unit_Cost]],"")</f>
        <v>148512</v>
      </c>
      <c r="N39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00" spans="1:14" x14ac:dyDescent="0.3">
      <c r="A400" t="s">
        <v>656</v>
      </c>
      <c r="B400" t="s">
        <v>98</v>
      </c>
      <c r="C400" t="s">
        <v>12</v>
      </c>
      <c r="D400" t="s">
        <v>32</v>
      </c>
      <c r="E400" s="3">
        <v>46266</v>
      </c>
      <c r="F400">
        <v>385</v>
      </c>
      <c r="G400">
        <v>303</v>
      </c>
      <c r="I400">
        <v>2467</v>
      </c>
      <c r="J400" t="s">
        <v>14</v>
      </c>
      <c r="K400" s="4">
        <f>IF(AND(ISNUMBER(Raw_Data[[#This Row],[Opening_Stock]]),ISNUMBER(Raw_Data[[#This Row],[Units_Sold]]),Raw_Data[[#This Row],[Opening_Stock]]&gt;0),Raw_Data[[#This Row],[Units_Sold]]/Raw_Data[[#This Row],[Opening_Stock]],"")</f>
        <v>0.78701298701298705</v>
      </c>
      <c r="L400" t="str">
        <f>IF(NOT(ISNUMBER(Raw_Data[[#This Row],[Sell_through%]])),"Check",IF(Raw_Data[[#This Row],[Sell_through%]]=0,"Non-moving",IF(Raw_Data[[#This Row],[Sell_through%]]&gt;=0.6,"Fast","Slow")))</f>
        <v>Fast</v>
      </c>
      <c r="M400" t="str">
        <f>IF(AND(ISNUMBER(Raw_Data[[#This Row],[Closing_Stock]]),ISNUMBER(Raw_Data[[#This Row],[Unit_Cost]])),Raw_Data[[#This Row],[Closing_Stock]]*Raw_Data[[#This Row],[Unit_Cost]],"")</f>
        <v/>
      </c>
      <c r="N400"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01" spans="1:14" x14ac:dyDescent="0.3">
      <c r="A401" t="s">
        <v>657</v>
      </c>
      <c r="B401" t="s">
        <v>182</v>
      </c>
      <c r="D401" t="s">
        <v>21</v>
      </c>
      <c r="E401" s="3">
        <v>46004</v>
      </c>
      <c r="F401">
        <v>163</v>
      </c>
      <c r="G401">
        <v>123</v>
      </c>
      <c r="I401">
        <v>1722</v>
      </c>
      <c r="J401" t="s">
        <v>17</v>
      </c>
      <c r="K401" s="4">
        <f>IF(AND(ISNUMBER(Raw_Data[[#This Row],[Opening_Stock]]),ISNUMBER(Raw_Data[[#This Row],[Units_Sold]]),Raw_Data[[#This Row],[Opening_Stock]]&gt;0),Raw_Data[[#This Row],[Units_Sold]]/Raw_Data[[#This Row],[Opening_Stock]],"")</f>
        <v>0.754601226993865</v>
      </c>
      <c r="L401" t="str">
        <f>IF(NOT(ISNUMBER(Raw_Data[[#This Row],[Sell_through%]])),"Check",IF(Raw_Data[[#This Row],[Sell_through%]]=0,"Non-moving",IF(Raw_Data[[#This Row],[Sell_through%]]&gt;=0.6,"Fast","Slow")))</f>
        <v>Fast</v>
      </c>
      <c r="M401" t="str">
        <f>IF(AND(ISNUMBER(Raw_Data[[#This Row],[Closing_Stock]]),ISNUMBER(Raw_Data[[#This Row],[Unit_Cost]])),Raw_Data[[#This Row],[Closing_Stock]]*Raw_Data[[#This Row],[Unit_Cost]],"")</f>
        <v/>
      </c>
      <c r="N40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02" spans="1:14" x14ac:dyDescent="0.3">
      <c r="A402" t="s">
        <v>658</v>
      </c>
      <c r="B402" t="s">
        <v>499</v>
      </c>
      <c r="C402" t="s">
        <v>28</v>
      </c>
      <c r="D402" t="s">
        <v>36</v>
      </c>
      <c r="E402" s="3">
        <v>46145</v>
      </c>
      <c r="F402">
        <v>328</v>
      </c>
      <c r="G402">
        <v>52</v>
      </c>
      <c r="H402">
        <v>276</v>
      </c>
      <c r="I402">
        <v>570</v>
      </c>
      <c r="J402" t="s">
        <v>14</v>
      </c>
      <c r="K402" s="4">
        <f>IF(AND(ISNUMBER(Raw_Data[[#This Row],[Opening_Stock]]),ISNUMBER(Raw_Data[[#This Row],[Units_Sold]]),Raw_Data[[#This Row],[Opening_Stock]]&gt;0),Raw_Data[[#This Row],[Units_Sold]]/Raw_Data[[#This Row],[Opening_Stock]],"")</f>
        <v>0.15853658536585366</v>
      </c>
      <c r="L402" t="str">
        <f>IF(NOT(ISNUMBER(Raw_Data[[#This Row],[Sell_through%]])),"Check",IF(Raw_Data[[#This Row],[Sell_through%]]=0,"Non-moving",IF(Raw_Data[[#This Row],[Sell_through%]]&gt;=0.6,"Fast","Slow")))</f>
        <v>Slow</v>
      </c>
      <c r="M402">
        <f>IF(AND(ISNUMBER(Raw_Data[[#This Row],[Closing_Stock]]),ISNUMBER(Raw_Data[[#This Row],[Unit_Cost]])),Raw_Data[[#This Row],[Closing_Stock]]*Raw_Data[[#This Row],[Unit_Cost]],"")</f>
        <v>157320</v>
      </c>
      <c r="N40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03" spans="1:14" x14ac:dyDescent="0.3">
      <c r="A403" t="s">
        <v>659</v>
      </c>
      <c r="B403" t="s">
        <v>198</v>
      </c>
      <c r="C403" t="s">
        <v>31</v>
      </c>
      <c r="D403" t="s">
        <v>32</v>
      </c>
      <c r="E403" s="3"/>
      <c r="F403">
        <v>188</v>
      </c>
      <c r="G403">
        <v>0</v>
      </c>
      <c r="H403">
        <v>188</v>
      </c>
      <c r="I403">
        <v>1417</v>
      </c>
      <c r="J403" t="s">
        <v>14</v>
      </c>
      <c r="K403" s="4">
        <f>IF(AND(ISNUMBER(Raw_Data[[#This Row],[Opening_Stock]]),ISNUMBER(Raw_Data[[#This Row],[Units_Sold]]),Raw_Data[[#This Row],[Opening_Stock]]&gt;0),Raw_Data[[#This Row],[Units_Sold]]/Raw_Data[[#This Row],[Opening_Stock]],"")</f>
        <v>0</v>
      </c>
      <c r="L403" t="str">
        <f>IF(NOT(ISNUMBER(Raw_Data[[#This Row],[Sell_through%]])),"Check",IF(Raw_Data[[#This Row],[Sell_through%]]=0,"Non-moving",IF(Raw_Data[[#This Row],[Sell_through%]]&gt;=0.6,"Fast","Slow")))</f>
        <v>Non-moving</v>
      </c>
      <c r="M403">
        <f>IF(AND(ISNUMBER(Raw_Data[[#This Row],[Closing_Stock]]),ISNUMBER(Raw_Data[[#This Row],[Unit_Cost]])),Raw_Data[[#This Row],[Closing_Stock]]*Raw_Data[[#This Row],[Unit_Cost]],"")</f>
        <v>266396</v>
      </c>
      <c r="N40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04" spans="1:14" x14ac:dyDescent="0.3">
      <c r="A404" t="s">
        <v>661</v>
      </c>
      <c r="B404" t="s">
        <v>62</v>
      </c>
      <c r="C404" t="s">
        <v>49</v>
      </c>
      <c r="D404" t="s">
        <v>32</v>
      </c>
      <c r="E404" s="3">
        <v>46036</v>
      </c>
      <c r="F404">
        <v>211</v>
      </c>
      <c r="G404">
        <v>24</v>
      </c>
      <c r="H404">
        <v>187</v>
      </c>
      <c r="I404">
        <v>2656</v>
      </c>
      <c r="K404" s="4">
        <f>IF(AND(ISNUMBER(Raw_Data[[#This Row],[Opening_Stock]]),ISNUMBER(Raw_Data[[#This Row],[Units_Sold]]),Raw_Data[[#This Row],[Opening_Stock]]&gt;0),Raw_Data[[#This Row],[Units_Sold]]/Raw_Data[[#This Row],[Opening_Stock]],"")</f>
        <v>0.11374407582938388</v>
      </c>
      <c r="L404" t="str">
        <f>IF(NOT(ISNUMBER(Raw_Data[[#This Row],[Sell_through%]])),"Check",IF(Raw_Data[[#This Row],[Sell_through%]]=0,"Non-moving",IF(Raw_Data[[#This Row],[Sell_through%]]&gt;=0.6,"Fast","Slow")))</f>
        <v>Slow</v>
      </c>
      <c r="M404">
        <f>IF(AND(ISNUMBER(Raw_Data[[#This Row],[Closing_Stock]]),ISNUMBER(Raw_Data[[#This Row],[Unit_Cost]])),Raw_Data[[#This Row],[Closing_Stock]]*Raw_Data[[#This Row],[Unit_Cost]],"")</f>
        <v>496672</v>
      </c>
      <c r="N40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05" spans="1:14" x14ac:dyDescent="0.3">
      <c r="A405" t="s">
        <v>662</v>
      </c>
      <c r="B405" t="s">
        <v>387</v>
      </c>
      <c r="D405" t="s">
        <v>32</v>
      </c>
      <c r="E405" s="3">
        <v>46253</v>
      </c>
      <c r="F405">
        <v>347</v>
      </c>
      <c r="G405">
        <v>69</v>
      </c>
      <c r="H405">
        <v>278</v>
      </c>
      <c r="I405">
        <v>886</v>
      </c>
      <c r="J405" t="s">
        <v>14</v>
      </c>
      <c r="K405" s="4">
        <f>IF(AND(ISNUMBER(Raw_Data[[#This Row],[Opening_Stock]]),ISNUMBER(Raw_Data[[#This Row],[Units_Sold]]),Raw_Data[[#This Row],[Opening_Stock]]&gt;0),Raw_Data[[#This Row],[Units_Sold]]/Raw_Data[[#This Row],[Opening_Stock]],"")</f>
        <v>0.19884726224783861</v>
      </c>
      <c r="L405" t="str">
        <f>IF(NOT(ISNUMBER(Raw_Data[[#This Row],[Sell_through%]])),"Check",IF(Raw_Data[[#This Row],[Sell_through%]]=0,"Non-moving",IF(Raw_Data[[#This Row],[Sell_through%]]&gt;=0.6,"Fast","Slow")))</f>
        <v>Slow</v>
      </c>
      <c r="M405">
        <f>IF(AND(ISNUMBER(Raw_Data[[#This Row],[Closing_Stock]]),ISNUMBER(Raw_Data[[#This Row],[Unit_Cost]])),Raw_Data[[#This Row],[Closing_Stock]]*Raw_Data[[#This Row],[Unit_Cost]],"")</f>
        <v>246308</v>
      </c>
      <c r="N40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06" spans="1:14" x14ac:dyDescent="0.3">
      <c r="A406" t="s">
        <v>664</v>
      </c>
      <c r="B406" t="s">
        <v>62</v>
      </c>
      <c r="C406" t="s">
        <v>49</v>
      </c>
      <c r="D406" t="s">
        <v>32</v>
      </c>
      <c r="E406" s="3">
        <v>46120</v>
      </c>
      <c r="F406">
        <v>90</v>
      </c>
      <c r="G406">
        <v>27</v>
      </c>
      <c r="H406">
        <v>63</v>
      </c>
      <c r="I406">
        <v>2754</v>
      </c>
      <c r="J406" t="s">
        <v>14</v>
      </c>
      <c r="K406" s="4">
        <f>IF(AND(ISNUMBER(Raw_Data[[#This Row],[Opening_Stock]]),ISNUMBER(Raw_Data[[#This Row],[Units_Sold]]),Raw_Data[[#This Row],[Opening_Stock]]&gt;0),Raw_Data[[#This Row],[Units_Sold]]/Raw_Data[[#This Row],[Opening_Stock]],"")</f>
        <v>0.3</v>
      </c>
      <c r="L406" t="str">
        <f>IF(NOT(ISNUMBER(Raw_Data[[#This Row],[Sell_through%]])),"Check",IF(Raw_Data[[#This Row],[Sell_through%]]=0,"Non-moving",IF(Raw_Data[[#This Row],[Sell_through%]]&gt;=0.6,"Fast","Slow")))</f>
        <v>Slow</v>
      </c>
      <c r="M406">
        <f>IF(AND(ISNUMBER(Raw_Data[[#This Row],[Closing_Stock]]),ISNUMBER(Raw_Data[[#This Row],[Unit_Cost]])),Raw_Data[[#This Row],[Closing_Stock]]*Raw_Data[[#This Row],[Unit_Cost]],"")</f>
        <v>173502</v>
      </c>
      <c r="N40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07" spans="1:14" x14ac:dyDescent="0.3">
      <c r="A407" t="s">
        <v>665</v>
      </c>
      <c r="B407" t="s">
        <v>562</v>
      </c>
      <c r="C407" t="s">
        <v>35</v>
      </c>
      <c r="D407" t="s">
        <v>32</v>
      </c>
      <c r="E407" s="3">
        <v>46090</v>
      </c>
      <c r="F407">
        <v>450</v>
      </c>
      <c r="G407">
        <v>368</v>
      </c>
      <c r="H407">
        <v>82</v>
      </c>
      <c r="I407">
        <v>2662</v>
      </c>
      <c r="J407" t="s">
        <v>14</v>
      </c>
      <c r="K407" s="4">
        <f>IF(AND(ISNUMBER(Raw_Data[[#This Row],[Opening_Stock]]),ISNUMBER(Raw_Data[[#This Row],[Units_Sold]]),Raw_Data[[#This Row],[Opening_Stock]]&gt;0),Raw_Data[[#This Row],[Units_Sold]]/Raw_Data[[#This Row],[Opening_Stock]],"")</f>
        <v>0.81777777777777783</v>
      </c>
      <c r="L407" t="str">
        <f>IF(NOT(ISNUMBER(Raw_Data[[#This Row],[Sell_through%]])),"Check",IF(Raw_Data[[#This Row],[Sell_through%]]=0,"Non-moving",IF(Raw_Data[[#This Row],[Sell_through%]]&gt;=0.6,"Fast","Slow")))</f>
        <v>Fast</v>
      </c>
      <c r="M407">
        <f>IF(AND(ISNUMBER(Raw_Data[[#This Row],[Closing_Stock]]),ISNUMBER(Raw_Data[[#This Row],[Unit_Cost]])),Raw_Data[[#This Row],[Closing_Stock]]*Raw_Data[[#This Row],[Unit_Cost]],"")</f>
        <v>218284</v>
      </c>
      <c r="N407"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08" spans="1:14" x14ac:dyDescent="0.3">
      <c r="A408" t="s">
        <v>666</v>
      </c>
      <c r="B408" t="s">
        <v>67</v>
      </c>
      <c r="D408" t="s">
        <v>36</v>
      </c>
      <c r="E408" s="3">
        <v>46083</v>
      </c>
      <c r="F408">
        <v>283</v>
      </c>
      <c r="G408">
        <v>55</v>
      </c>
      <c r="H408">
        <v>228</v>
      </c>
      <c r="I408">
        <v>2387</v>
      </c>
      <c r="J408" t="s">
        <v>14</v>
      </c>
      <c r="K408" s="4">
        <f>IF(AND(ISNUMBER(Raw_Data[[#This Row],[Opening_Stock]]),ISNUMBER(Raw_Data[[#This Row],[Units_Sold]]),Raw_Data[[#This Row],[Opening_Stock]]&gt;0),Raw_Data[[#This Row],[Units_Sold]]/Raw_Data[[#This Row],[Opening_Stock]],"")</f>
        <v>0.19434628975265017</v>
      </c>
      <c r="L408" t="str">
        <f>IF(NOT(ISNUMBER(Raw_Data[[#This Row],[Sell_through%]])),"Check",IF(Raw_Data[[#This Row],[Sell_through%]]=0,"Non-moving",IF(Raw_Data[[#This Row],[Sell_through%]]&gt;=0.6,"Fast","Slow")))</f>
        <v>Slow</v>
      </c>
      <c r="M408">
        <f>IF(AND(ISNUMBER(Raw_Data[[#This Row],[Closing_Stock]]),ISNUMBER(Raw_Data[[#This Row],[Unit_Cost]])),Raw_Data[[#This Row],[Closing_Stock]]*Raw_Data[[#This Row],[Unit_Cost]],"")</f>
        <v>544236</v>
      </c>
      <c r="N40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09" spans="1:14" x14ac:dyDescent="0.3">
      <c r="A409" t="s">
        <v>667</v>
      </c>
      <c r="B409" t="s">
        <v>54</v>
      </c>
      <c r="C409" t="s">
        <v>31</v>
      </c>
      <c r="D409" t="s">
        <v>32</v>
      </c>
      <c r="E409" s="3">
        <v>46065</v>
      </c>
      <c r="F409">
        <v>430</v>
      </c>
      <c r="G409">
        <v>362</v>
      </c>
      <c r="H409">
        <v>68</v>
      </c>
      <c r="I409">
        <v>503</v>
      </c>
      <c r="J409" t="s">
        <v>14</v>
      </c>
      <c r="K409" s="4">
        <f>IF(AND(ISNUMBER(Raw_Data[[#This Row],[Opening_Stock]]),ISNUMBER(Raw_Data[[#This Row],[Units_Sold]]),Raw_Data[[#This Row],[Opening_Stock]]&gt;0),Raw_Data[[#This Row],[Units_Sold]]/Raw_Data[[#This Row],[Opening_Stock]],"")</f>
        <v>0.8418604651162791</v>
      </c>
      <c r="L409" t="str">
        <f>IF(NOT(ISNUMBER(Raw_Data[[#This Row],[Sell_through%]])),"Check",IF(Raw_Data[[#This Row],[Sell_through%]]=0,"Non-moving",IF(Raw_Data[[#This Row],[Sell_through%]]&gt;=0.6,"Fast","Slow")))</f>
        <v>Fast</v>
      </c>
      <c r="M409">
        <f>IF(AND(ISNUMBER(Raw_Data[[#This Row],[Closing_Stock]]),ISNUMBER(Raw_Data[[#This Row],[Unit_Cost]])),Raw_Data[[#This Row],[Closing_Stock]]*Raw_Data[[#This Row],[Unit_Cost]],"")</f>
        <v>34204</v>
      </c>
      <c r="N40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10" spans="1:14" x14ac:dyDescent="0.3">
      <c r="A410" t="s">
        <v>668</v>
      </c>
      <c r="B410" t="s">
        <v>84</v>
      </c>
      <c r="C410" t="s">
        <v>28</v>
      </c>
      <c r="D410" t="s">
        <v>13</v>
      </c>
      <c r="E410" s="3"/>
      <c r="F410">
        <v>482</v>
      </c>
      <c r="G410">
        <v>0</v>
      </c>
      <c r="H410">
        <v>482</v>
      </c>
      <c r="I410">
        <v>1549</v>
      </c>
      <c r="J410" t="s">
        <v>14</v>
      </c>
      <c r="K410" s="4">
        <f>IF(AND(ISNUMBER(Raw_Data[[#This Row],[Opening_Stock]]),ISNUMBER(Raw_Data[[#This Row],[Units_Sold]]),Raw_Data[[#This Row],[Opening_Stock]]&gt;0),Raw_Data[[#This Row],[Units_Sold]]/Raw_Data[[#This Row],[Opening_Stock]],"")</f>
        <v>0</v>
      </c>
      <c r="L410" t="str">
        <f>IF(NOT(ISNUMBER(Raw_Data[[#This Row],[Sell_through%]])),"Check",IF(Raw_Data[[#This Row],[Sell_through%]]=0,"Non-moving",IF(Raw_Data[[#This Row],[Sell_through%]]&gt;=0.6,"Fast","Slow")))</f>
        <v>Non-moving</v>
      </c>
      <c r="M410">
        <f>IF(AND(ISNUMBER(Raw_Data[[#This Row],[Closing_Stock]]),ISNUMBER(Raw_Data[[#This Row],[Unit_Cost]])),Raw_Data[[#This Row],[Closing_Stock]]*Raw_Data[[#This Row],[Unit_Cost]],"")</f>
        <v>746618</v>
      </c>
      <c r="N41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11" spans="1:14" x14ac:dyDescent="0.3">
      <c r="A411" t="s">
        <v>669</v>
      </c>
      <c r="B411" t="s">
        <v>455</v>
      </c>
      <c r="C411" t="s">
        <v>35</v>
      </c>
      <c r="D411" t="s">
        <v>13</v>
      </c>
      <c r="E411" s="3">
        <v>46281</v>
      </c>
      <c r="F411">
        <v>380</v>
      </c>
      <c r="G411">
        <v>335</v>
      </c>
      <c r="H411">
        <v>45</v>
      </c>
      <c r="I411">
        <v>1949</v>
      </c>
      <c r="J411" t="s">
        <v>17</v>
      </c>
      <c r="K411" s="4">
        <f>IF(AND(ISNUMBER(Raw_Data[[#This Row],[Opening_Stock]]),ISNUMBER(Raw_Data[[#This Row],[Units_Sold]]),Raw_Data[[#This Row],[Opening_Stock]]&gt;0),Raw_Data[[#This Row],[Units_Sold]]/Raw_Data[[#This Row],[Opening_Stock]],"")</f>
        <v>0.88157894736842102</v>
      </c>
      <c r="L411" t="str">
        <f>IF(NOT(ISNUMBER(Raw_Data[[#This Row],[Sell_through%]])),"Check",IF(Raw_Data[[#This Row],[Sell_through%]]=0,"Non-moving",IF(Raw_Data[[#This Row],[Sell_through%]]&gt;=0.6,"Fast","Slow")))</f>
        <v>Fast</v>
      </c>
      <c r="M411">
        <f>IF(AND(ISNUMBER(Raw_Data[[#This Row],[Closing_Stock]]),ISNUMBER(Raw_Data[[#This Row],[Unit_Cost]])),Raw_Data[[#This Row],[Closing_Stock]]*Raw_Data[[#This Row],[Unit_Cost]],"")</f>
        <v>87705</v>
      </c>
      <c r="N41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12" spans="1:14" x14ac:dyDescent="0.3">
      <c r="A412" t="s">
        <v>670</v>
      </c>
      <c r="B412" t="s">
        <v>296</v>
      </c>
      <c r="D412" t="s">
        <v>32</v>
      </c>
      <c r="E412" s="3">
        <v>46042</v>
      </c>
      <c r="F412">
        <v>412</v>
      </c>
      <c r="G412">
        <v>42</v>
      </c>
      <c r="H412">
        <v>370</v>
      </c>
      <c r="I412">
        <v>1857</v>
      </c>
      <c r="J412" t="s">
        <v>14</v>
      </c>
      <c r="K412" s="4">
        <f>IF(AND(ISNUMBER(Raw_Data[[#This Row],[Opening_Stock]]),ISNUMBER(Raw_Data[[#This Row],[Units_Sold]]),Raw_Data[[#This Row],[Opening_Stock]]&gt;0),Raw_Data[[#This Row],[Units_Sold]]/Raw_Data[[#This Row],[Opening_Stock]],"")</f>
        <v>0.10194174757281553</v>
      </c>
      <c r="L412" t="str">
        <f>IF(NOT(ISNUMBER(Raw_Data[[#This Row],[Sell_through%]])),"Check",IF(Raw_Data[[#This Row],[Sell_through%]]=0,"Non-moving",IF(Raw_Data[[#This Row],[Sell_through%]]&gt;=0.6,"Fast","Slow")))</f>
        <v>Slow</v>
      </c>
      <c r="M412">
        <f>IF(AND(ISNUMBER(Raw_Data[[#This Row],[Closing_Stock]]),ISNUMBER(Raw_Data[[#This Row],[Unit_Cost]])),Raw_Data[[#This Row],[Closing_Stock]]*Raw_Data[[#This Row],[Unit_Cost]],"")</f>
        <v>687090</v>
      </c>
      <c r="N41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13" spans="1:14" x14ac:dyDescent="0.3">
      <c r="A413" t="s">
        <v>671</v>
      </c>
      <c r="B413" t="s">
        <v>479</v>
      </c>
      <c r="C413" t="s">
        <v>31</v>
      </c>
      <c r="D413" t="s">
        <v>36</v>
      </c>
      <c r="E413" s="3">
        <v>46106</v>
      </c>
      <c r="F413">
        <v>393</v>
      </c>
      <c r="G413">
        <v>38</v>
      </c>
      <c r="H413">
        <v>355</v>
      </c>
      <c r="I413">
        <v>843</v>
      </c>
      <c r="J413" t="s">
        <v>14</v>
      </c>
      <c r="K413" s="4">
        <f>IF(AND(ISNUMBER(Raw_Data[[#This Row],[Opening_Stock]]),ISNUMBER(Raw_Data[[#This Row],[Units_Sold]]),Raw_Data[[#This Row],[Opening_Stock]]&gt;0),Raw_Data[[#This Row],[Units_Sold]]/Raw_Data[[#This Row],[Opening_Stock]],"")</f>
        <v>9.6692111959287536E-2</v>
      </c>
      <c r="L413" t="str">
        <f>IF(NOT(ISNUMBER(Raw_Data[[#This Row],[Sell_through%]])),"Check",IF(Raw_Data[[#This Row],[Sell_through%]]=0,"Non-moving",IF(Raw_Data[[#This Row],[Sell_through%]]&gt;=0.6,"Fast","Slow")))</f>
        <v>Slow</v>
      </c>
      <c r="M413">
        <f>IF(AND(ISNUMBER(Raw_Data[[#This Row],[Closing_Stock]]),ISNUMBER(Raw_Data[[#This Row],[Unit_Cost]])),Raw_Data[[#This Row],[Closing_Stock]]*Raw_Data[[#This Row],[Unit_Cost]],"")</f>
        <v>299265</v>
      </c>
      <c r="N41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14" spans="1:14" x14ac:dyDescent="0.3">
      <c r="A414" t="s">
        <v>673</v>
      </c>
      <c r="B414" t="s">
        <v>95</v>
      </c>
      <c r="C414" t="s">
        <v>31</v>
      </c>
      <c r="D414" t="s">
        <v>13</v>
      </c>
      <c r="E414" s="3">
        <v>46240</v>
      </c>
      <c r="F414">
        <v>166</v>
      </c>
      <c r="G414">
        <v>144</v>
      </c>
      <c r="H414">
        <v>22</v>
      </c>
      <c r="I414">
        <v>2038</v>
      </c>
      <c r="J414" t="s">
        <v>17</v>
      </c>
      <c r="K414" s="4">
        <f>IF(AND(ISNUMBER(Raw_Data[[#This Row],[Opening_Stock]]),ISNUMBER(Raw_Data[[#This Row],[Units_Sold]]),Raw_Data[[#This Row],[Opening_Stock]]&gt;0),Raw_Data[[#This Row],[Units_Sold]]/Raw_Data[[#This Row],[Opening_Stock]],"")</f>
        <v>0.86746987951807231</v>
      </c>
      <c r="L414" t="str">
        <f>IF(NOT(ISNUMBER(Raw_Data[[#This Row],[Sell_through%]])),"Check",IF(Raw_Data[[#This Row],[Sell_through%]]=0,"Non-moving",IF(Raw_Data[[#This Row],[Sell_through%]]&gt;=0.6,"Fast","Slow")))</f>
        <v>Fast</v>
      </c>
      <c r="M414">
        <f>IF(AND(ISNUMBER(Raw_Data[[#This Row],[Closing_Stock]]),ISNUMBER(Raw_Data[[#This Row],[Unit_Cost]])),Raw_Data[[#This Row],[Closing_Stock]]*Raw_Data[[#This Row],[Unit_Cost]],"")</f>
        <v>44836</v>
      </c>
      <c r="N41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15" spans="1:14" x14ac:dyDescent="0.3">
      <c r="A415" t="s">
        <v>674</v>
      </c>
      <c r="B415" t="s">
        <v>387</v>
      </c>
      <c r="C415" t="s">
        <v>12</v>
      </c>
      <c r="D415" t="s">
        <v>21</v>
      </c>
      <c r="E415" s="3">
        <v>46243</v>
      </c>
      <c r="F415">
        <v>475</v>
      </c>
      <c r="H415">
        <v>141</v>
      </c>
      <c r="I415">
        <v>2886</v>
      </c>
      <c r="J415" t="s">
        <v>14</v>
      </c>
      <c r="K415" s="4" t="str">
        <f>IF(AND(ISNUMBER(Raw_Data[[#This Row],[Opening_Stock]]),ISNUMBER(Raw_Data[[#This Row],[Units_Sold]]),Raw_Data[[#This Row],[Opening_Stock]]&gt;0),Raw_Data[[#This Row],[Units_Sold]]/Raw_Data[[#This Row],[Opening_Stock]],"")</f>
        <v/>
      </c>
      <c r="L415" t="str">
        <f>IF(NOT(ISNUMBER(Raw_Data[[#This Row],[Sell_through%]])),"Check",IF(Raw_Data[[#This Row],[Sell_through%]]=0,"Non-moving",IF(Raw_Data[[#This Row],[Sell_through%]]&gt;=0.6,"Fast","Slow")))</f>
        <v>Check</v>
      </c>
      <c r="M415">
        <f>IF(AND(ISNUMBER(Raw_Data[[#This Row],[Closing_Stock]]),ISNUMBER(Raw_Data[[#This Row],[Unit_Cost]])),Raw_Data[[#This Row],[Closing_Stock]]*Raw_Data[[#This Row],[Unit_Cost]],"")</f>
        <v>406926</v>
      </c>
      <c r="N41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16" spans="1:14" x14ac:dyDescent="0.3">
      <c r="A416" t="s">
        <v>675</v>
      </c>
      <c r="B416" t="s">
        <v>112</v>
      </c>
      <c r="C416" t="s">
        <v>35</v>
      </c>
      <c r="D416" t="s">
        <v>13</v>
      </c>
      <c r="E416" s="3"/>
      <c r="F416">
        <v>297</v>
      </c>
      <c r="G416">
        <v>0</v>
      </c>
      <c r="H416">
        <v>297</v>
      </c>
      <c r="I416">
        <v>911</v>
      </c>
      <c r="J416" t="s">
        <v>14</v>
      </c>
      <c r="K416" s="4">
        <f>IF(AND(ISNUMBER(Raw_Data[[#This Row],[Opening_Stock]]),ISNUMBER(Raw_Data[[#This Row],[Units_Sold]]),Raw_Data[[#This Row],[Opening_Stock]]&gt;0),Raw_Data[[#This Row],[Units_Sold]]/Raw_Data[[#This Row],[Opening_Stock]],"")</f>
        <v>0</v>
      </c>
      <c r="L416" t="str">
        <f>IF(NOT(ISNUMBER(Raw_Data[[#This Row],[Sell_through%]])),"Check",IF(Raw_Data[[#This Row],[Sell_through%]]=0,"Non-moving",IF(Raw_Data[[#This Row],[Sell_through%]]&gt;=0.6,"Fast","Slow")))</f>
        <v>Non-moving</v>
      </c>
      <c r="M416">
        <f>IF(AND(ISNUMBER(Raw_Data[[#This Row],[Closing_Stock]]),ISNUMBER(Raw_Data[[#This Row],[Unit_Cost]])),Raw_Data[[#This Row],[Closing_Stock]]*Raw_Data[[#This Row],[Unit_Cost]],"")</f>
        <v>270567</v>
      </c>
      <c r="N41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17" spans="1:14" x14ac:dyDescent="0.3">
      <c r="A417" t="s">
        <v>676</v>
      </c>
      <c r="B417" t="s">
        <v>142</v>
      </c>
      <c r="C417" t="s">
        <v>49</v>
      </c>
      <c r="D417" t="s">
        <v>21</v>
      </c>
      <c r="E417" s="3"/>
      <c r="F417">
        <v>463</v>
      </c>
      <c r="G417">
        <v>0</v>
      </c>
      <c r="H417">
        <v>463</v>
      </c>
      <c r="I417">
        <v>960</v>
      </c>
      <c r="J417" t="s">
        <v>14</v>
      </c>
      <c r="K417" s="4">
        <f>IF(AND(ISNUMBER(Raw_Data[[#This Row],[Opening_Stock]]),ISNUMBER(Raw_Data[[#This Row],[Units_Sold]]),Raw_Data[[#This Row],[Opening_Stock]]&gt;0),Raw_Data[[#This Row],[Units_Sold]]/Raw_Data[[#This Row],[Opening_Stock]],"")</f>
        <v>0</v>
      </c>
      <c r="L417" t="str">
        <f>IF(NOT(ISNUMBER(Raw_Data[[#This Row],[Sell_through%]])),"Check",IF(Raw_Data[[#This Row],[Sell_through%]]=0,"Non-moving",IF(Raw_Data[[#This Row],[Sell_through%]]&gt;=0.6,"Fast","Slow")))</f>
        <v>Non-moving</v>
      </c>
      <c r="M417">
        <f>IF(AND(ISNUMBER(Raw_Data[[#This Row],[Closing_Stock]]),ISNUMBER(Raw_Data[[#This Row],[Unit_Cost]])),Raw_Data[[#This Row],[Closing_Stock]]*Raw_Data[[#This Row],[Unit_Cost]],"")</f>
        <v>444480</v>
      </c>
      <c r="N41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18" spans="1:14" x14ac:dyDescent="0.3">
      <c r="A418" t="s">
        <v>677</v>
      </c>
      <c r="B418" t="s">
        <v>105</v>
      </c>
      <c r="C418" t="s">
        <v>28</v>
      </c>
      <c r="D418" t="s">
        <v>21</v>
      </c>
      <c r="E418" s="3">
        <v>46216</v>
      </c>
      <c r="F418">
        <v>163</v>
      </c>
      <c r="G418">
        <v>47</v>
      </c>
      <c r="H418">
        <v>116</v>
      </c>
      <c r="I418">
        <v>1596</v>
      </c>
      <c r="J418" t="s">
        <v>14</v>
      </c>
      <c r="K418" s="4">
        <f>IF(AND(ISNUMBER(Raw_Data[[#This Row],[Opening_Stock]]),ISNUMBER(Raw_Data[[#This Row],[Units_Sold]]),Raw_Data[[#This Row],[Opening_Stock]]&gt;0),Raw_Data[[#This Row],[Units_Sold]]/Raw_Data[[#This Row],[Opening_Stock]],"")</f>
        <v>0.28834355828220859</v>
      </c>
      <c r="L418" t="str">
        <f>IF(NOT(ISNUMBER(Raw_Data[[#This Row],[Sell_through%]])),"Check",IF(Raw_Data[[#This Row],[Sell_through%]]=0,"Non-moving",IF(Raw_Data[[#This Row],[Sell_through%]]&gt;=0.6,"Fast","Slow")))</f>
        <v>Slow</v>
      </c>
      <c r="M418">
        <f>IF(AND(ISNUMBER(Raw_Data[[#This Row],[Closing_Stock]]),ISNUMBER(Raw_Data[[#This Row],[Unit_Cost]])),Raw_Data[[#This Row],[Closing_Stock]]*Raw_Data[[#This Row],[Unit_Cost]],"")</f>
        <v>185136</v>
      </c>
      <c r="N41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19" spans="1:14" x14ac:dyDescent="0.3">
      <c r="A419" t="s">
        <v>678</v>
      </c>
      <c r="B419" t="s">
        <v>23</v>
      </c>
      <c r="C419" t="s">
        <v>35</v>
      </c>
      <c r="D419" t="s">
        <v>13</v>
      </c>
      <c r="E419" s="3">
        <v>46068</v>
      </c>
      <c r="F419">
        <v>213</v>
      </c>
      <c r="G419">
        <v>156</v>
      </c>
      <c r="H419">
        <v>57</v>
      </c>
      <c r="I419">
        <v>2970</v>
      </c>
      <c r="J419" t="s">
        <v>17</v>
      </c>
      <c r="K419" s="4">
        <f>IF(AND(ISNUMBER(Raw_Data[[#This Row],[Opening_Stock]]),ISNUMBER(Raw_Data[[#This Row],[Units_Sold]]),Raw_Data[[#This Row],[Opening_Stock]]&gt;0),Raw_Data[[#This Row],[Units_Sold]]/Raw_Data[[#This Row],[Opening_Stock]],"")</f>
        <v>0.73239436619718312</v>
      </c>
      <c r="L419" t="str">
        <f>IF(NOT(ISNUMBER(Raw_Data[[#This Row],[Sell_through%]])),"Check",IF(Raw_Data[[#This Row],[Sell_through%]]=0,"Non-moving",IF(Raw_Data[[#This Row],[Sell_through%]]&gt;=0.6,"Fast","Slow")))</f>
        <v>Fast</v>
      </c>
      <c r="M419">
        <f>IF(AND(ISNUMBER(Raw_Data[[#This Row],[Closing_Stock]]),ISNUMBER(Raw_Data[[#This Row],[Unit_Cost]])),Raw_Data[[#This Row],[Closing_Stock]]*Raw_Data[[#This Row],[Unit_Cost]],"")</f>
        <v>169290</v>
      </c>
      <c r="N41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20" spans="1:14" x14ac:dyDescent="0.3">
      <c r="A420" t="s">
        <v>679</v>
      </c>
      <c r="B420" t="s">
        <v>434</v>
      </c>
      <c r="C420" t="s">
        <v>31</v>
      </c>
      <c r="D420" t="s">
        <v>36</v>
      </c>
      <c r="E420" s="3"/>
      <c r="F420">
        <v>202</v>
      </c>
      <c r="H420">
        <v>202</v>
      </c>
      <c r="I420">
        <v>50</v>
      </c>
      <c r="J420" t="s">
        <v>14</v>
      </c>
      <c r="K420" s="4" t="str">
        <f>IF(AND(ISNUMBER(Raw_Data[[#This Row],[Opening_Stock]]),ISNUMBER(Raw_Data[[#This Row],[Units_Sold]]),Raw_Data[[#This Row],[Opening_Stock]]&gt;0),Raw_Data[[#This Row],[Units_Sold]]/Raw_Data[[#This Row],[Opening_Stock]],"")</f>
        <v/>
      </c>
      <c r="L420" t="str">
        <f>IF(NOT(ISNUMBER(Raw_Data[[#This Row],[Sell_through%]])),"Check",IF(Raw_Data[[#This Row],[Sell_through%]]=0,"Non-moving",IF(Raw_Data[[#This Row],[Sell_through%]]&gt;=0.6,"Fast","Slow")))</f>
        <v>Check</v>
      </c>
      <c r="M420">
        <f>IF(AND(ISNUMBER(Raw_Data[[#This Row],[Closing_Stock]]),ISNUMBER(Raw_Data[[#This Row],[Unit_Cost]])),Raw_Data[[#This Row],[Closing_Stock]]*Raw_Data[[#This Row],[Unit_Cost]],"")</f>
        <v>10100</v>
      </c>
      <c r="N420"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21" spans="1:14" x14ac:dyDescent="0.3">
      <c r="A421" t="s">
        <v>680</v>
      </c>
      <c r="B421" t="s">
        <v>1344</v>
      </c>
      <c r="C421" t="s">
        <v>28</v>
      </c>
      <c r="D421" t="s">
        <v>21</v>
      </c>
      <c r="E421" s="3">
        <v>46010</v>
      </c>
      <c r="F421">
        <v>139</v>
      </c>
      <c r="G421">
        <v>23</v>
      </c>
      <c r="H421">
        <v>116</v>
      </c>
      <c r="I421">
        <v>1175</v>
      </c>
      <c r="J421" t="s">
        <v>14</v>
      </c>
      <c r="K421" s="4">
        <f>IF(AND(ISNUMBER(Raw_Data[[#This Row],[Opening_Stock]]),ISNUMBER(Raw_Data[[#This Row],[Units_Sold]]),Raw_Data[[#This Row],[Opening_Stock]]&gt;0),Raw_Data[[#This Row],[Units_Sold]]/Raw_Data[[#This Row],[Opening_Stock]],"")</f>
        <v>0.16546762589928057</v>
      </c>
      <c r="L421" t="str">
        <f>IF(NOT(ISNUMBER(Raw_Data[[#This Row],[Sell_through%]])),"Check",IF(Raw_Data[[#This Row],[Sell_through%]]=0,"Non-moving",IF(Raw_Data[[#This Row],[Sell_through%]]&gt;=0.6,"Fast","Slow")))</f>
        <v>Slow</v>
      </c>
      <c r="M421">
        <f>IF(AND(ISNUMBER(Raw_Data[[#This Row],[Closing_Stock]]),ISNUMBER(Raw_Data[[#This Row],[Unit_Cost]])),Raw_Data[[#This Row],[Closing_Stock]]*Raw_Data[[#This Row],[Unit_Cost]],"")</f>
        <v>136300</v>
      </c>
      <c r="N42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22" spans="1:14" x14ac:dyDescent="0.3">
      <c r="A422" t="s">
        <v>681</v>
      </c>
      <c r="B422" t="s">
        <v>131</v>
      </c>
      <c r="C422" t="s">
        <v>49</v>
      </c>
      <c r="D422" t="s">
        <v>36</v>
      </c>
      <c r="E422" s="3">
        <v>46227</v>
      </c>
      <c r="F422">
        <v>89</v>
      </c>
      <c r="G422">
        <v>82</v>
      </c>
      <c r="H422">
        <v>7</v>
      </c>
      <c r="I422">
        <v>1525</v>
      </c>
      <c r="K422" s="4">
        <f>IF(AND(ISNUMBER(Raw_Data[[#This Row],[Opening_Stock]]),ISNUMBER(Raw_Data[[#This Row],[Units_Sold]]),Raw_Data[[#This Row],[Opening_Stock]]&gt;0),Raw_Data[[#This Row],[Units_Sold]]/Raw_Data[[#This Row],[Opening_Stock]],"")</f>
        <v>0.9213483146067416</v>
      </c>
      <c r="L422" t="str">
        <f>IF(NOT(ISNUMBER(Raw_Data[[#This Row],[Sell_through%]])),"Check",IF(Raw_Data[[#This Row],[Sell_through%]]=0,"Non-moving",IF(Raw_Data[[#This Row],[Sell_through%]]&gt;=0.6,"Fast","Slow")))</f>
        <v>Fast</v>
      </c>
      <c r="M422">
        <f>IF(AND(ISNUMBER(Raw_Data[[#This Row],[Closing_Stock]]),ISNUMBER(Raw_Data[[#This Row],[Unit_Cost]])),Raw_Data[[#This Row],[Closing_Stock]]*Raw_Data[[#This Row],[Unit_Cost]],"")</f>
        <v>10675</v>
      </c>
      <c r="N422"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23" spans="1:14" x14ac:dyDescent="0.3">
      <c r="A423" t="s">
        <v>683</v>
      </c>
      <c r="B423" t="s">
        <v>101</v>
      </c>
      <c r="C423" t="s">
        <v>12</v>
      </c>
      <c r="D423" t="s">
        <v>36</v>
      </c>
      <c r="E423" s="3">
        <v>46039</v>
      </c>
      <c r="F423">
        <v>455</v>
      </c>
      <c r="G423">
        <v>364</v>
      </c>
      <c r="H423">
        <v>91</v>
      </c>
      <c r="I423">
        <v>2533</v>
      </c>
      <c r="J423" t="s">
        <v>14</v>
      </c>
      <c r="K423" s="4">
        <f>IF(AND(ISNUMBER(Raw_Data[[#This Row],[Opening_Stock]]),ISNUMBER(Raw_Data[[#This Row],[Units_Sold]]),Raw_Data[[#This Row],[Opening_Stock]]&gt;0),Raw_Data[[#This Row],[Units_Sold]]/Raw_Data[[#This Row],[Opening_Stock]],"")</f>
        <v>0.8</v>
      </c>
      <c r="L423" t="str">
        <f>IF(NOT(ISNUMBER(Raw_Data[[#This Row],[Sell_through%]])),"Check",IF(Raw_Data[[#This Row],[Sell_through%]]=0,"Non-moving",IF(Raw_Data[[#This Row],[Sell_through%]]&gt;=0.6,"Fast","Slow")))</f>
        <v>Fast</v>
      </c>
      <c r="M423">
        <f>IF(AND(ISNUMBER(Raw_Data[[#This Row],[Closing_Stock]]),ISNUMBER(Raw_Data[[#This Row],[Unit_Cost]])),Raw_Data[[#This Row],[Closing_Stock]]*Raw_Data[[#This Row],[Unit_Cost]],"")</f>
        <v>230503</v>
      </c>
      <c r="N42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24" spans="1:14" x14ac:dyDescent="0.3">
      <c r="A424" t="s">
        <v>684</v>
      </c>
      <c r="B424" t="s">
        <v>243</v>
      </c>
      <c r="C424" t="s">
        <v>28</v>
      </c>
      <c r="D424" t="s">
        <v>36</v>
      </c>
      <c r="E424" s="3"/>
      <c r="F424">
        <v>408</v>
      </c>
      <c r="G424">
        <v>0</v>
      </c>
      <c r="H424">
        <v>408</v>
      </c>
      <c r="I424">
        <v>776</v>
      </c>
      <c r="J424" t="s">
        <v>14</v>
      </c>
      <c r="K424" s="4">
        <f>IF(AND(ISNUMBER(Raw_Data[[#This Row],[Opening_Stock]]),ISNUMBER(Raw_Data[[#This Row],[Units_Sold]]),Raw_Data[[#This Row],[Opening_Stock]]&gt;0),Raw_Data[[#This Row],[Units_Sold]]/Raw_Data[[#This Row],[Opening_Stock]],"")</f>
        <v>0</v>
      </c>
      <c r="L424" t="str">
        <f>IF(NOT(ISNUMBER(Raw_Data[[#This Row],[Sell_through%]])),"Check",IF(Raw_Data[[#This Row],[Sell_through%]]=0,"Non-moving",IF(Raw_Data[[#This Row],[Sell_through%]]&gt;=0.6,"Fast","Slow")))</f>
        <v>Non-moving</v>
      </c>
      <c r="M424">
        <f>IF(AND(ISNUMBER(Raw_Data[[#This Row],[Closing_Stock]]),ISNUMBER(Raw_Data[[#This Row],[Unit_Cost]])),Raw_Data[[#This Row],[Closing_Stock]]*Raw_Data[[#This Row],[Unit_Cost]],"")</f>
        <v>316608</v>
      </c>
      <c r="N42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25" spans="1:14" x14ac:dyDescent="0.3">
      <c r="A425" t="s">
        <v>685</v>
      </c>
      <c r="B425" t="s">
        <v>105</v>
      </c>
      <c r="C425" t="s">
        <v>28</v>
      </c>
      <c r="D425" t="s">
        <v>36</v>
      </c>
      <c r="E425" s="3">
        <v>46190</v>
      </c>
      <c r="F425">
        <v>397</v>
      </c>
      <c r="G425">
        <v>310</v>
      </c>
      <c r="H425">
        <v>87</v>
      </c>
      <c r="J425" t="s">
        <v>14</v>
      </c>
      <c r="K425" s="4">
        <f>IF(AND(ISNUMBER(Raw_Data[[#This Row],[Opening_Stock]]),ISNUMBER(Raw_Data[[#This Row],[Units_Sold]]),Raw_Data[[#This Row],[Opening_Stock]]&gt;0),Raw_Data[[#This Row],[Units_Sold]]/Raw_Data[[#This Row],[Opening_Stock]],"")</f>
        <v>0.78085642317380355</v>
      </c>
      <c r="L425" t="str">
        <f>IF(NOT(ISNUMBER(Raw_Data[[#This Row],[Sell_through%]])),"Check",IF(Raw_Data[[#This Row],[Sell_through%]]=0,"Non-moving",IF(Raw_Data[[#This Row],[Sell_through%]]&gt;=0.6,"Fast","Slow")))</f>
        <v>Fast</v>
      </c>
      <c r="M425" t="str">
        <f>IF(AND(ISNUMBER(Raw_Data[[#This Row],[Closing_Stock]]),ISNUMBER(Raw_Data[[#This Row],[Unit_Cost]])),Raw_Data[[#This Row],[Closing_Stock]]*Raw_Data[[#This Row],[Unit_Cost]],"")</f>
        <v/>
      </c>
      <c r="N42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26" spans="1:14" x14ac:dyDescent="0.3">
      <c r="A426" t="s">
        <v>686</v>
      </c>
      <c r="B426" t="s">
        <v>134</v>
      </c>
      <c r="C426" t="s">
        <v>31</v>
      </c>
      <c r="D426" t="s">
        <v>21</v>
      </c>
      <c r="E426" s="3">
        <v>46034</v>
      </c>
      <c r="F426">
        <v>429</v>
      </c>
      <c r="G426">
        <v>76</v>
      </c>
      <c r="H426">
        <v>353</v>
      </c>
      <c r="I426">
        <v>1900</v>
      </c>
      <c r="J426" t="s">
        <v>14</v>
      </c>
      <c r="K426" s="4">
        <f>IF(AND(ISNUMBER(Raw_Data[[#This Row],[Opening_Stock]]),ISNUMBER(Raw_Data[[#This Row],[Units_Sold]]),Raw_Data[[#This Row],[Opening_Stock]]&gt;0),Raw_Data[[#This Row],[Units_Sold]]/Raw_Data[[#This Row],[Opening_Stock]],"")</f>
        <v>0.17715617715617715</v>
      </c>
      <c r="L426" t="str">
        <f>IF(NOT(ISNUMBER(Raw_Data[[#This Row],[Sell_through%]])),"Check",IF(Raw_Data[[#This Row],[Sell_through%]]=0,"Non-moving",IF(Raw_Data[[#This Row],[Sell_through%]]&gt;=0.6,"Fast","Slow")))</f>
        <v>Slow</v>
      </c>
      <c r="M426">
        <f>IF(AND(ISNUMBER(Raw_Data[[#This Row],[Closing_Stock]]),ISNUMBER(Raw_Data[[#This Row],[Unit_Cost]])),Raw_Data[[#This Row],[Closing_Stock]]*Raw_Data[[#This Row],[Unit_Cost]],"")</f>
        <v>670700</v>
      </c>
      <c r="N42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27" spans="1:14" x14ac:dyDescent="0.3">
      <c r="A427" t="s">
        <v>687</v>
      </c>
      <c r="B427" t="s">
        <v>1344</v>
      </c>
      <c r="C427" t="s">
        <v>28</v>
      </c>
      <c r="D427" t="s">
        <v>32</v>
      </c>
      <c r="E427" s="3"/>
      <c r="F427">
        <v>248</v>
      </c>
      <c r="G427">
        <v>0</v>
      </c>
      <c r="H427">
        <v>248</v>
      </c>
      <c r="I427">
        <v>2554</v>
      </c>
      <c r="J427" t="s">
        <v>14</v>
      </c>
      <c r="K427" s="4">
        <f>IF(AND(ISNUMBER(Raw_Data[[#This Row],[Opening_Stock]]),ISNUMBER(Raw_Data[[#This Row],[Units_Sold]]),Raw_Data[[#This Row],[Opening_Stock]]&gt;0),Raw_Data[[#This Row],[Units_Sold]]/Raw_Data[[#This Row],[Opening_Stock]],"")</f>
        <v>0</v>
      </c>
      <c r="L427" t="str">
        <f>IF(NOT(ISNUMBER(Raw_Data[[#This Row],[Sell_through%]])),"Check",IF(Raw_Data[[#This Row],[Sell_through%]]=0,"Non-moving",IF(Raw_Data[[#This Row],[Sell_through%]]&gt;=0.6,"Fast","Slow")))</f>
        <v>Non-moving</v>
      </c>
      <c r="M427">
        <f>IF(AND(ISNUMBER(Raw_Data[[#This Row],[Closing_Stock]]),ISNUMBER(Raw_Data[[#This Row],[Unit_Cost]])),Raw_Data[[#This Row],[Closing_Stock]]*Raw_Data[[#This Row],[Unit_Cost]],"")</f>
        <v>633392</v>
      </c>
      <c r="N42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28" spans="1:14" x14ac:dyDescent="0.3">
      <c r="A428" t="s">
        <v>689</v>
      </c>
      <c r="B428" t="s">
        <v>16</v>
      </c>
      <c r="C428" t="s">
        <v>12</v>
      </c>
      <c r="D428" t="s">
        <v>32</v>
      </c>
      <c r="E428" s="3"/>
      <c r="F428">
        <v>373</v>
      </c>
      <c r="G428">
        <v>0</v>
      </c>
      <c r="H428">
        <v>373</v>
      </c>
      <c r="I428">
        <v>1339</v>
      </c>
      <c r="J428" t="s">
        <v>14</v>
      </c>
      <c r="K428" s="4">
        <f>IF(AND(ISNUMBER(Raw_Data[[#This Row],[Opening_Stock]]),ISNUMBER(Raw_Data[[#This Row],[Units_Sold]]),Raw_Data[[#This Row],[Opening_Stock]]&gt;0),Raw_Data[[#This Row],[Units_Sold]]/Raw_Data[[#This Row],[Opening_Stock]],"")</f>
        <v>0</v>
      </c>
      <c r="L428" t="str">
        <f>IF(NOT(ISNUMBER(Raw_Data[[#This Row],[Sell_through%]])),"Check",IF(Raw_Data[[#This Row],[Sell_through%]]=0,"Non-moving",IF(Raw_Data[[#This Row],[Sell_through%]]&gt;=0.6,"Fast","Slow")))</f>
        <v>Non-moving</v>
      </c>
      <c r="M428">
        <f>IF(AND(ISNUMBER(Raw_Data[[#This Row],[Closing_Stock]]),ISNUMBER(Raw_Data[[#This Row],[Unit_Cost]])),Raw_Data[[#This Row],[Closing_Stock]]*Raw_Data[[#This Row],[Unit_Cost]],"")</f>
        <v>499447</v>
      </c>
      <c r="N42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29" spans="1:14" x14ac:dyDescent="0.3">
      <c r="A429" t="s">
        <v>690</v>
      </c>
      <c r="B429" t="s">
        <v>455</v>
      </c>
      <c r="C429" t="s">
        <v>35</v>
      </c>
      <c r="D429" t="s">
        <v>13</v>
      </c>
      <c r="E429" s="3">
        <v>46067</v>
      </c>
      <c r="F429">
        <v>462</v>
      </c>
      <c r="G429">
        <v>324</v>
      </c>
      <c r="H429">
        <v>138</v>
      </c>
      <c r="I429">
        <v>2675</v>
      </c>
      <c r="J429" t="s">
        <v>14</v>
      </c>
      <c r="K429" s="4">
        <f>IF(AND(ISNUMBER(Raw_Data[[#This Row],[Opening_Stock]]),ISNUMBER(Raw_Data[[#This Row],[Units_Sold]]),Raw_Data[[#This Row],[Opening_Stock]]&gt;0),Raw_Data[[#This Row],[Units_Sold]]/Raw_Data[[#This Row],[Opening_Stock]],"")</f>
        <v>0.70129870129870131</v>
      </c>
      <c r="L429" t="str">
        <f>IF(NOT(ISNUMBER(Raw_Data[[#This Row],[Sell_through%]])),"Check",IF(Raw_Data[[#This Row],[Sell_through%]]=0,"Non-moving",IF(Raw_Data[[#This Row],[Sell_through%]]&gt;=0.6,"Fast","Slow")))</f>
        <v>Fast</v>
      </c>
      <c r="M429">
        <f>IF(AND(ISNUMBER(Raw_Data[[#This Row],[Closing_Stock]]),ISNUMBER(Raw_Data[[#This Row],[Unit_Cost]])),Raw_Data[[#This Row],[Closing_Stock]]*Raw_Data[[#This Row],[Unit_Cost]],"")</f>
        <v>369150</v>
      </c>
      <c r="N42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30" spans="1:14" x14ac:dyDescent="0.3">
      <c r="A430" t="s">
        <v>691</v>
      </c>
      <c r="B430" t="s">
        <v>236</v>
      </c>
      <c r="C430" t="s">
        <v>12</v>
      </c>
      <c r="D430" t="s">
        <v>21</v>
      </c>
      <c r="E430" s="3"/>
      <c r="F430">
        <v>171</v>
      </c>
      <c r="G430">
        <v>5</v>
      </c>
      <c r="H430">
        <v>171</v>
      </c>
      <c r="I430">
        <v>1551</v>
      </c>
      <c r="J430" t="s">
        <v>14</v>
      </c>
      <c r="K430" s="4">
        <f>IF(AND(ISNUMBER(Raw_Data[[#This Row],[Opening_Stock]]),ISNUMBER(Raw_Data[[#This Row],[Units_Sold]]),Raw_Data[[#This Row],[Opening_Stock]]&gt;0),Raw_Data[[#This Row],[Units_Sold]]/Raw_Data[[#This Row],[Opening_Stock]],"")</f>
        <v>2.9239766081871343E-2</v>
      </c>
      <c r="L430" t="str">
        <f>IF(NOT(ISNUMBER(Raw_Data[[#This Row],[Sell_through%]])),"Check",IF(Raw_Data[[#This Row],[Sell_through%]]=0,"Non-moving",IF(Raw_Data[[#This Row],[Sell_through%]]&gt;=0.6,"Fast","Slow")))</f>
        <v>Slow</v>
      </c>
      <c r="M430">
        <f>IF(AND(ISNUMBER(Raw_Data[[#This Row],[Closing_Stock]]),ISNUMBER(Raw_Data[[#This Row],[Unit_Cost]])),Raw_Data[[#This Row],[Closing_Stock]]*Raw_Data[[#This Row],[Unit_Cost]],"")</f>
        <v>265221</v>
      </c>
      <c r="N43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31" spans="1:14" x14ac:dyDescent="0.3">
      <c r="A431" t="s">
        <v>692</v>
      </c>
      <c r="B431" t="s">
        <v>48</v>
      </c>
      <c r="C431" t="s">
        <v>49</v>
      </c>
      <c r="D431" t="s">
        <v>32</v>
      </c>
      <c r="E431" s="3">
        <v>46017</v>
      </c>
      <c r="G431">
        <v>80</v>
      </c>
      <c r="H431">
        <v>26</v>
      </c>
      <c r="I431">
        <v>2216</v>
      </c>
      <c r="J431" t="s">
        <v>17</v>
      </c>
      <c r="K431" s="4" t="str">
        <f>IF(AND(ISNUMBER(Raw_Data[[#This Row],[Opening_Stock]]),ISNUMBER(Raw_Data[[#This Row],[Units_Sold]]),Raw_Data[[#This Row],[Opening_Stock]]&gt;0),Raw_Data[[#This Row],[Units_Sold]]/Raw_Data[[#This Row],[Opening_Stock]],"")</f>
        <v/>
      </c>
      <c r="L431" t="str">
        <f>IF(NOT(ISNUMBER(Raw_Data[[#This Row],[Sell_through%]])),"Check",IF(Raw_Data[[#This Row],[Sell_through%]]=0,"Non-moving",IF(Raw_Data[[#This Row],[Sell_through%]]&gt;=0.6,"Fast","Slow")))</f>
        <v>Check</v>
      </c>
      <c r="M431">
        <f>IF(AND(ISNUMBER(Raw_Data[[#This Row],[Closing_Stock]]),ISNUMBER(Raw_Data[[#This Row],[Unit_Cost]])),Raw_Data[[#This Row],[Closing_Stock]]*Raw_Data[[#This Row],[Unit_Cost]],"")</f>
        <v>57616</v>
      </c>
      <c r="N43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32" spans="1:14" x14ac:dyDescent="0.3">
      <c r="A432" t="s">
        <v>693</v>
      </c>
      <c r="B432" t="s">
        <v>189</v>
      </c>
      <c r="C432" t="s">
        <v>49</v>
      </c>
      <c r="D432" t="s">
        <v>36</v>
      </c>
      <c r="E432" s="3">
        <v>46148</v>
      </c>
      <c r="F432">
        <v>355</v>
      </c>
      <c r="G432">
        <v>74</v>
      </c>
      <c r="H432">
        <v>281</v>
      </c>
      <c r="I432">
        <v>766</v>
      </c>
      <c r="J432" t="s">
        <v>14</v>
      </c>
      <c r="K432" s="4">
        <f>IF(AND(ISNUMBER(Raw_Data[[#This Row],[Opening_Stock]]),ISNUMBER(Raw_Data[[#This Row],[Units_Sold]]),Raw_Data[[#This Row],[Opening_Stock]]&gt;0),Raw_Data[[#This Row],[Units_Sold]]/Raw_Data[[#This Row],[Opening_Stock]],"")</f>
        <v>0.20845070422535211</v>
      </c>
      <c r="L432" t="str">
        <f>IF(NOT(ISNUMBER(Raw_Data[[#This Row],[Sell_through%]])),"Check",IF(Raw_Data[[#This Row],[Sell_through%]]=0,"Non-moving",IF(Raw_Data[[#This Row],[Sell_through%]]&gt;=0.6,"Fast","Slow")))</f>
        <v>Slow</v>
      </c>
      <c r="M432">
        <f>IF(AND(ISNUMBER(Raw_Data[[#This Row],[Closing_Stock]]),ISNUMBER(Raw_Data[[#This Row],[Unit_Cost]])),Raw_Data[[#This Row],[Closing_Stock]]*Raw_Data[[#This Row],[Unit_Cost]],"")</f>
        <v>215246</v>
      </c>
      <c r="N43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33" spans="1:14" x14ac:dyDescent="0.3">
      <c r="A433" t="s">
        <v>694</v>
      </c>
      <c r="B433" t="s">
        <v>57</v>
      </c>
      <c r="C433" t="s">
        <v>28</v>
      </c>
      <c r="D433" t="s">
        <v>13</v>
      </c>
      <c r="E433" s="3">
        <v>46129</v>
      </c>
      <c r="F433">
        <v>164</v>
      </c>
      <c r="G433">
        <v>140</v>
      </c>
      <c r="H433">
        <v>24</v>
      </c>
      <c r="I433">
        <v>1771</v>
      </c>
      <c r="J433" t="s">
        <v>17</v>
      </c>
      <c r="K433" s="4">
        <f>IF(AND(ISNUMBER(Raw_Data[[#This Row],[Opening_Stock]]),ISNUMBER(Raw_Data[[#This Row],[Units_Sold]]),Raw_Data[[#This Row],[Opening_Stock]]&gt;0),Raw_Data[[#This Row],[Units_Sold]]/Raw_Data[[#This Row],[Opening_Stock]],"")</f>
        <v>0.85365853658536583</v>
      </c>
      <c r="L433" t="str">
        <f>IF(NOT(ISNUMBER(Raw_Data[[#This Row],[Sell_through%]])),"Check",IF(Raw_Data[[#This Row],[Sell_through%]]=0,"Non-moving",IF(Raw_Data[[#This Row],[Sell_through%]]&gt;=0.6,"Fast","Slow")))</f>
        <v>Fast</v>
      </c>
      <c r="M433">
        <f>IF(AND(ISNUMBER(Raw_Data[[#This Row],[Closing_Stock]]),ISNUMBER(Raw_Data[[#This Row],[Unit_Cost]])),Raw_Data[[#This Row],[Closing_Stock]]*Raw_Data[[#This Row],[Unit_Cost]],"")</f>
        <v>42504</v>
      </c>
      <c r="N433"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34" spans="1:14" x14ac:dyDescent="0.3">
      <c r="A434" t="s">
        <v>696</v>
      </c>
      <c r="B434" t="s">
        <v>65</v>
      </c>
      <c r="C434" t="s">
        <v>49</v>
      </c>
      <c r="D434" t="s">
        <v>21</v>
      </c>
      <c r="E434" s="3">
        <v>45999</v>
      </c>
      <c r="F434">
        <v>235</v>
      </c>
      <c r="G434">
        <v>44</v>
      </c>
      <c r="H434">
        <v>191</v>
      </c>
      <c r="I434">
        <v>1940</v>
      </c>
      <c r="J434" t="s">
        <v>14</v>
      </c>
      <c r="K434" s="4">
        <f>IF(AND(ISNUMBER(Raw_Data[[#This Row],[Opening_Stock]]),ISNUMBER(Raw_Data[[#This Row],[Units_Sold]]),Raw_Data[[#This Row],[Opening_Stock]]&gt;0),Raw_Data[[#This Row],[Units_Sold]]/Raw_Data[[#This Row],[Opening_Stock]],"")</f>
        <v>0.18723404255319148</v>
      </c>
      <c r="L434" t="str">
        <f>IF(NOT(ISNUMBER(Raw_Data[[#This Row],[Sell_through%]])),"Check",IF(Raw_Data[[#This Row],[Sell_through%]]=0,"Non-moving",IF(Raw_Data[[#This Row],[Sell_through%]]&gt;=0.6,"Fast","Slow")))</f>
        <v>Slow</v>
      </c>
      <c r="M434">
        <f>IF(AND(ISNUMBER(Raw_Data[[#This Row],[Closing_Stock]]),ISNUMBER(Raw_Data[[#This Row],[Unit_Cost]])),Raw_Data[[#This Row],[Closing_Stock]]*Raw_Data[[#This Row],[Unit_Cost]],"")</f>
        <v>370540</v>
      </c>
      <c r="N43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35" spans="1:14" x14ac:dyDescent="0.3">
      <c r="A435" t="s">
        <v>697</v>
      </c>
      <c r="B435" t="s">
        <v>71</v>
      </c>
      <c r="C435" t="s">
        <v>35</v>
      </c>
      <c r="D435" t="s">
        <v>13</v>
      </c>
      <c r="E435" s="3">
        <v>46109</v>
      </c>
      <c r="F435">
        <v>78</v>
      </c>
      <c r="G435">
        <v>9</v>
      </c>
      <c r="H435">
        <v>69</v>
      </c>
      <c r="I435">
        <v>196</v>
      </c>
      <c r="J435" t="s">
        <v>14</v>
      </c>
      <c r="K435" s="4">
        <f>IF(AND(ISNUMBER(Raw_Data[[#This Row],[Opening_Stock]]),ISNUMBER(Raw_Data[[#This Row],[Units_Sold]]),Raw_Data[[#This Row],[Opening_Stock]]&gt;0),Raw_Data[[#This Row],[Units_Sold]]/Raw_Data[[#This Row],[Opening_Stock]],"")</f>
        <v>0.11538461538461539</v>
      </c>
      <c r="L435" t="str">
        <f>IF(NOT(ISNUMBER(Raw_Data[[#This Row],[Sell_through%]])),"Check",IF(Raw_Data[[#This Row],[Sell_through%]]=0,"Non-moving",IF(Raw_Data[[#This Row],[Sell_through%]]&gt;=0.6,"Fast","Slow")))</f>
        <v>Slow</v>
      </c>
      <c r="M435">
        <f>IF(AND(ISNUMBER(Raw_Data[[#This Row],[Closing_Stock]]),ISNUMBER(Raw_Data[[#This Row],[Unit_Cost]])),Raw_Data[[#This Row],[Closing_Stock]]*Raw_Data[[#This Row],[Unit_Cost]],"")</f>
        <v>13524</v>
      </c>
      <c r="N43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36" spans="1:14" x14ac:dyDescent="0.3">
      <c r="A436" t="s">
        <v>699</v>
      </c>
      <c r="B436" t="s">
        <v>151</v>
      </c>
      <c r="C436" t="s">
        <v>35</v>
      </c>
      <c r="D436" t="s">
        <v>36</v>
      </c>
      <c r="E436" s="3">
        <v>46021</v>
      </c>
      <c r="F436">
        <v>56</v>
      </c>
      <c r="G436">
        <v>42</v>
      </c>
      <c r="H436">
        <v>14</v>
      </c>
      <c r="I436">
        <v>304</v>
      </c>
      <c r="J436" t="s">
        <v>17</v>
      </c>
      <c r="K436" s="4">
        <f>IF(AND(ISNUMBER(Raw_Data[[#This Row],[Opening_Stock]]),ISNUMBER(Raw_Data[[#This Row],[Units_Sold]]),Raw_Data[[#This Row],[Opening_Stock]]&gt;0),Raw_Data[[#This Row],[Units_Sold]]/Raw_Data[[#This Row],[Opening_Stock]],"")</f>
        <v>0.75</v>
      </c>
      <c r="L436" t="str">
        <f>IF(NOT(ISNUMBER(Raw_Data[[#This Row],[Sell_through%]])),"Check",IF(Raw_Data[[#This Row],[Sell_through%]]=0,"Non-moving",IF(Raw_Data[[#This Row],[Sell_through%]]&gt;=0.6,"Fast","Slow")))</f>
        <v>Fast</v>
      </c>
      <c r="M436">
        <f>IF(AND(ISNUMBER(Raw_Data[[#This Row],[Closing_Stock]]),ISNUMBER(Raw_Data[[#This Row],[Unit_Cost]])),Raw_Data[[#This Row],[Closing_Stock]]*Raw_Data[[#This Row],[Unit_Cost]],"")</f>
        <v>4256</v>
      </c>
      <c r="N436"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37" spans="1:14" x14ac:dyDescent="0.3">
      <c r="A437" t="s">
        <v>701</v>
      </c>
      <c r="B437" t="s">
        <v>479</v>
      </c>
      <c r="C437" t="s">
        <v>31</v>
      </c>
      <c r="D437" t="s">
        <v>21</v>
      </c>
      <c r="E437" s="3">
        <v>46141</v>
      </c>
      <c r="F437">
        <v>160</v>
      </c>
      <c r="G437">
        <v>20</v>
      </c>
      <c r="H437">
        <v>140</v>
      </c>
      <c r="I437">
        <v>418</v>
      </c>
      <c r="J437" t="s">
        <v>14</v>
      </c>
      <c r="K437" s="4">
        <f>IF(AND(ISNUMBER(Raw_Data[[#This Row],[Opening_Stock]]),ISNUMBER(Raw_Data[[#This Row],[Units_Sold]]),Raw_Data[[#This Row],[Opening_Stock]]&gt;0),Raw_Data[[#This Row],[Units_Sold]]/Raw_Data[[#This Row],[Opening_Stock]],"")</f>
        <v>0.125</v>
      </c>
      <c r="L437" t="str">
        <f>IF(NOT(ISNUMBER(Raw_Data[[#This Row],[Sell_through%]])),"Check",IF(Raw_Data[[#This Row],[Sell_through%]]=0,"Non-moving",IF(Raw_Data[[#This Row],[Sell_through%]]&gt;=0.6,"Fast","Slow")))</f>
        <v>Slow</v>
      </c>
      <c r="M437">
        <f>IF(AND(ISNUMBER(Raw_Data[[#This Row],[Closing_Stock]]),ISNUMBER(Raw_Data[[#This Row],[Unit_Cost]])),Raw_Data[[#This Row],[Closing_Stock]]*Raw_Data[[#This Row],[Unit_Cost]],"")</f>
        <v>58520</v>
      </c>
      <c r="N43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38" spans="1:14" x14ac:dyDescent="0.3">
      <c r="A438" t="s">
        <v>702</v>
      </c>
      <c r="B438" t="s">
        <v>73</v>
      </c>
      <c r="C438" t="s">
        <v>49</v>
      </c>
      <c r="D438" t="s">
        <v>36</v>
      </c>
      <c r="E438" s="3"/>
      <c r="F438">
        <v>466</v>
      </c>
      <c r="G438">
        <v>0</v>
      </c>
      <c r="H438">
        <v>466</v>
      </c>
      <c r="I438">
        <v>2001</v>
      </c>
      <c r="J438" t="s">
        <v>14</v>
      </c>
      <c r="K438" s="4">
        <f>IF(AND(ISNUMBER(Raw_Data[[#This Row],[Opening_Stock]]),ISNUMBER(Raw_Data[[#This Row],[Units_Sold]]),Raw_Data[[#This Row],[Opening_Stock]]&gt;0),Raw_Data[[#This Row],[Units_Sold]]/Raw_Data[[#This Row],[Opening_Stock]],"")</f>
        <v>0</v>
      </c>
      <c r="L438" t="str">
        <f>IF(NOT(ISNUMBER(Raw_Data[[#This Row],[Sell_through%]])),"Check",IF(Raw_Data[[#This Row],[Sell_through%]]=0,"Non-moving",IF(Raw_Data[[#This Row],[Sell_through%]]&gt;=0.6,"Fast","Slow")))</f>
        <v>Non-moving</v>
      </c>
      <c r="M438">
        <f>IF(AND(ISNUMBER(Raw_Data[[#This Row],[Closing_Stock]]),ISNUMBER(Raw_Data[[#This Row],[Unit_Cost]])),Raw_Data[[#This Row],[Closing_Stock]]*Raw_Data[[#This Row],[Unit_Cost]],"")</f>
        <v>932466</v>
      </c>
      <c r="N43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39" spans="1:14" x14ac:dyDescent="0.3">
      <c r="A439" t="s">
        <v>704</v>
      </c>
      <c r="B439" t="s">
        <v>57</v>
      </c>
      <c r="C439" t="s">
        <v>28</v>
      </c>
      <c r="D439" t="s">
        <v>32</v>
      </c>
      <c r="E439" s="3">
        <v>46099</v>
      </c>
      <c r="F439">
        <v>387</v>
      </c>
      <c r="G439">
        <v>361</v>
      </c>
      <c r="H439">
        <v>26</v>
      </c>
      <c r="I439">
        <v>2424</v>
      </c>
      <c r="J439" t="s">
        <v>17</v>
      </c>
      <c r="K439" s="4">
        <f>IF(AND(ISNUMBER(Raw_Data[[#This Row],[Opening_Stock]]),ISNUMBER(Raw_Data[[#This Row],[Units_Sold]]),Raw_Data[[#This Row],[Opening_Stock]]&gt;0),Raw_Data[[#This Row],[Units_Sold]]/Raw_Data[[#This Row],[Opening_Stock]],"")</f>
        <v>0.93281653746770021</v>
      </c>
      <c r="L439" t="str">
        <f>IF(NOT(ISNUMBER(Raw_Data[[#This Row],[Sell_through%]])),"Check",IF(Raw_Data[[#This Row],[Sell_through%]]=0,"Non-moving",IF(Raw_Data[[#This Row],[Sell_through%]]&gt;=0.6,"Fast","Slow")))</f>
        <v>Fast</v>
      </c>
      <c r="M439">
        <f>IF(AND(ISNUMBER(Raw_Data[[#This Row],[Closing_Stock]]),ISNUMBER(Raw_Data[[#This Row],[Unit_Cost]])),Raw_Data[[#This Row],[Closing_Stock]]*Raw_Data[[#This Row],[Unit_Cost]],"")</f>
        <v>63024</v>
      </c>
      <c r="N43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40" spans="1:14" x14ac:dyDescent="0.3">
      <c r="A440" t="s">
        <v>706</v>
      </c>
      <c r="B440" t="s">
        <v>236</v>
      </c>
      <c r="C440" t="s">
        <v>12</v>
      </c>
      <c r="D440" t="s">
        <v>36</v>
      </c>
      <c r="E440" s="3">
        <v>46290</v>
      </c>
      <c r="F440">
        <v>236</v>
      </c>
      <c r="G440">
        <v>27</v>
      </c>
      <c r="H440">
        <v>209</v>
      </c>
      <c r="I440">
        <v>964</v>
      </c>
      <c r="J440" t="s">
        <v>14</v>
      </c>
      <c r="K440" s="4">
        <f>IF(AND(ISNUMBER(Raw_Data[[#This Row],[Opening_Stock]]),ISNUMBER(Raw_Data[[#This Row],[Units_Sold]]),Raw_Data[[#This Row],[Opening_Stock]]&gt;0),Raw_Data[[#This Row],[Units_Sold]]/Raw_Data[[#This Row],[Opening_Stock]],"")</f>
        <v>0.11440677966101695</v>
      </c>
      <c r="L440" t="str">
        <f>IF(NOT(ISNUMBER(Raw_Data[[#This Row],[Sell_through%]])),"Check",IF(Raw_Data[[#This Row],[Sell_through%]]=0,"Non-moving",IF(Raw_Data[[#This Row],[Sell_through%]]&gt;=0.6,"Fast","Slow")))</f>
        <v>Slow</v>
      </c>
      <c r="M440">
        <f>IF(AND(ISNUMBER(Raw_Data[[#This Row],[Closing_Stock]]),ISNUMBER(Raw_Data[[#This Row],[Unit_Cost]])),Raw_Data[[#This Row],[Closing_Stock]]*Raw_Data[[#This Row],[Unit_Cost]],"")</f>
        <v>201476</v>
      </c>
      <c r="N44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41" spans="1:14" x14ac:dyDescent="0.3">
      <c r="A441" t="s">
        <v>707</v>
      </c>
      <c r="B441" t="s">
        <v>415</v>
      </c>
      <c r="C441" t="s">
        <v>31</v>
      </c>
      <c r="D441" t="s">
        <v>21</v>
      </c>
      <c r="E441" s="3">
        <v>46263</v>
      </c>
      <c r="F441">
        <v>250</v>
      </c>
      <c r="G441">
        <v>201</v>
      </c>
      <c r="H441">
        <v>49</v>
      </c>
      <c r="I441">
        <v>2982</v>
      </c>
      <c r="J441" t="s">
        <v>17</v>
      </c>
      <c r="K441" s="4">
        <f>IF(AND(ISNUMBER(Raw_Data[[#This Row],[Opening_Stock]]),ISNUMBER(Raw_Data[[#This Row],[Units_Sold]]),Raw_Data[[#This Row],[Opening_Stock]]&gt;0),Raw_Data[[#This Row],[Units_Sold]]/Raw_Data[[#This Row],[Opening_Stock]],"")</f>
        <v>0.80400000000000005</v>
      </c>
      <c r="L441" t="str">
        <f>IF(NOT(ISNUMBER(Raw_Data[[#This Row],[Sell_through%]])),"Check",IF(Raw_Data[[#This Row],[Sell_through%]]=0,"Non-moving",IF(Raw_Data[[#This Row],[Sell_through%]]&gt;=0.6,"Fast","Slow")))</f>
        <v>Fast</v>
      </c>
      <c r="M441">
        <f>IF(AND(ISNUMBER(Raw_Data[[#This Row],[Closing_Stock]]),ISNUMBER(Raw_Data[[#This Row],[Unit_Cost]])),Raw_Data[[#This Row],[Closing_Stock]]*Raw_Data[[#This Row],[Unit_Cost]],"")</f>
        <v>146118</v>
      </c>
      <c r="N44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42" spans="1:14" x14ac:dyDescent="0.3">
      <c r="A442" t="s">
        <v>708</v>
      </c>
      <c r="B442" t="s">
        <v>198</v>
      </c>
      <c r="C442" t="s">
        <v>31</v>
      </c>
      <c r="D442" t="s">
        <v>36</v>
      </c>
      <c r="E442" s="3"/>
      <c r="F442">
        <v>233</v>
      </c>
      <c r="G442">
        <v>0</v>
      </c>
      <c r="I442">
        <v>1677</v>
      </c>
      <c r="J442" t="s">
        <v>14</v>
      </c>
      <c r="K442" s="4">
        <f>IF(AND(ISNUMBER(Raw_Data[[#This Row],[Opening_Stock]]),ISNUMBER(Raw_Data[[#This Row],[Units_Sold]]),Raw_Data[[#This Row],[Opening_Stock]]&gt;0),Raw_Data[[#This Row],[Units_Sold]]/Raw_Data[[#This Row],[Opening_Stock]],"")</f>
        <v>0</v>
      </c>
      <c r="L442" t="str">
        <f>IF(NOT(ISNUMBER(Raw_Data[[#This Row],[Sell_through%]])),"Check",IF(Raw_Data[[#This Row],[Sell_through%]]=0,"Non-moving",IF(Raw_Data[[#This Row],[Sell_through%]]&gt;=0.6,"Fast","Slow")))</f>
        <v>Non-moving</v>
      </c>
      <c r="M442" t="str">
        <f>IF(AND(ISNUMBER(Raw_Data[[#This Row],[Closing_Stock]]),ISNUMBER(Raw_Data[[#This Row],[Unit_Cost]])),Raw_Data[[#This Row],[Closing_Stock]]*Raw_Data[[#This Row],[Unit_Cost]],"")</f>
        <v/>
      </c>
      <c r="N44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43" spans="1:14" x14ac:dyDescent="0.3">
      <c r="A443" t="s">
        <v>709</v>
      </c>
      <c r="B443" t="s">
        <v>51</v>
      </c>
      <c r="C443" t="s">
        <v>49</v>
      </c>
      <c r="D443" t="s">
        <v>13</v>
      </c>
      <c r="E443" s="3"/>
      <c r="F443">
        <v>52</v>
      </c>
      <c r="G443">
        <v>0</v>
      </c>
      <c r="I443">
        <v>218</v>
      </c>
      <c r="J443" t="s">
        <v>17</v>
      </c>
      <c r="K443" s="4">
        <f>IF(AND(ISNUMBER(Raw_Data[[#This Row],[Opening_Stock]]),ISNUMBER(Raw_Data[[#This Row],[Units_Sold]]),Raw_Data[[#This Row],[Opening_Stock]]&gt;0),Raw_Data[[#This Row],[Units_Sold]]/Raw_Data[[#This Row],[Opening_Stock]],"")</f>
        <v>0</v>
      </c>
      <c r="L443" t="str">
        <f>IF(NOT(ISNUMBER(Raw_Data[[#This Row],[Sell_through%]])),"Check",IF(Raw_Data[[#This Row],[Sell_through%]]=0,"Non-moving",IF(Raw_Data[[#This Row],[Sell_through%]]&gt;=0.6,"Fast","Slow")))</f>
        <v>Non-moving</v>
      </c>
      <c r="M443" t="str">
        <f>IF(AND(ISNUMBER(Raw_Data[[#This Row],[Closing_Stock]]),ISNUMBER(Raw_Data[[#This Row],[Unit_Cost]])),Raw_Data[[#This Row],[Closing_Stock]]*Raw_Data[[#This Row],[Unit_Cost]],"")</f>
        <v/>
      </c>
      <c r="N44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44" spans="1:14" x14ac:dyDescent="0.3">
      <c r="A444" t="s">
        <v>710</v>
      </c>
      <c r="B444" t="s">
        <v>479</v>
      </c>
      <c r="C444" t="s">
        <v>31</v>
      </c>
      <c r="D444" t="s">
        <v>13</v>
      </c>
      <c r="E444" s="3"/>
      <c r="F444">
        <v>64</v>
      </c>
      <c r="G444">
        <v>0</v>
      </c>
      <c r="H444">
        <v>64</v>
      </c>
      <c r="I444">
        <v>2056</v>
      </c>
      <c r="J444" t="s">
        <v>14</v>
      </c>
      <c r="K444" s="4">
        <f>IF(AND(ISNUMBER(Raw_Data[[#This Row],[Opening_Stock]]),ISNUMBER(Raw_Data[[#This Row],[Units_Sold]]),Raw_Data[[#This Row],[Opening_Stock]]&gt;0),Raw_Data[[#This Row],[Units_Sold]]/Raw_Data[[#This Row],[Opening_Stock]],"")</f>
        <v>0</v>
      </c>
      <c r="L444" t="str">
        <f>IF(NOT(ISNUMBER(Raw_Data[[#This Row],[Sell_through%]])),"Check",IF(Raw_Data[[#This Row],[Sell_through%]]=0,"Non-moving",IF(Raw_Data[[#This Row],[Sell_through%]]&gt;=0.6,"Fast","Slow")))</f>
        <v>Non-moving</v>
      </c>
      <c r="M444">
        <f>IF(AND(ISNUMBER(Raw_Data[[#This Row],[Closing_Stock]]),ISNUMBER(Raw_Data[[#This Row],[Unit_Cost]])),Raw_Data[[#This Row],[Closing_Stock]]*Raw_Data[[#This Row],[Unit_Cost]],"")</f>
        <v>131584</v>
      </c>
      <c r="N44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45" spans="1:14" x14ac:dyDescent="0.3">
      <c r="A445" t="s">
        <v>712</v>
      </c>
      <c r="B445" t="s">
        <v>284</v>
      </c>
      <c r="C445" t="s">
        <v>49</v>
      </c>
      <c r="D445" t="s">
        <v>13</v>
      </c>
      <c r="E445" s="3">
        <v>46237</v>
      </c>
      <c r="F445">
        <v>154</v>
      </c>
      <c r="G445">
        <v>21</v>
      </c>
      <c r="I445">
        <v>2105</v>
      </c>
      <c r="J445" t="s">
        <v>14</v>
      </c>
      <c r="K445" s="4">
        <f>IF(AND(ISNUMBER(Raw_Data[[#This Row],[Opening_Stock]]),ISNUMBER(Raw_Data[[#This Row],[Units_Sold]]),Raw_Data[[#This Row],[Opening_Stock]]&gt;0),Raw_Data[[#This Row],[Units_Sold]]/Raw_Data[[#This Row],[Opening_Stock]],"")</f>
        <v>0.13636363636363635</v>
      </c>
      <c r="L445" t="str">
        <f>IF(NOT(ISNUMBER(Raw_Data[[#This Row],[Sell_through%]])),"Check",IF(Raw_Data[[#This Row],[Sell_through%]]=0,"Non-moving",IF(Raw_Data[[#This Row],[Sell_through%]]&gt;=0.6,"Fast","Slow")))</f>
        <v>Slow</v>
      </c>
      <c r="M445" t="str">
        <f>IF(AND(ISNUMBER(Raw_Data[[#This Row],[Closing_Stock]]),ISNUMBER(Raw_Data[[#This Row],[Unit_Cost]])),Raw_Data[[#This Row],[Closing_Stock]]*Raw_Data[[#This Row],[Unit_Cost]],"")</f>
        <v/>
      </c>
      <c r="N44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46" spans="1:14" x14ac:dyDescent="0.3">
      <c r="A446" t="s">
        <v>713</v>
      </c>
      <c r="B446" t="s">
        <v>1344</v>
      </c>
      <c r="C446" t="s">
        <v>28</v>
      </c>
      <c r="D446" t="s">
        <v>13</v>
      </c>
      <c r="E446" s="3">
        <v>46166</v>
      </c>
      <c r="F446">
        <v>105</v>
      </c>
      <c r="G446">
        <v>7</v>
      </c>
      <c r="H446">
        <v>98</v>
      </c>
      <c r="I446">
        <v>378</v>
      </c>
      <c r="J446" t="s">
        <v>14</v>
      </c>
      <c r="K446" s="4">
        <f>IF(AND(ISNUMBER(Raw_Data[[#This Row],[Opening_Stock]]),ISNUMBER(Raw_Data[[#This Row],[Units_Sold]]),Raw_Data[[#This Row],[Opening_Stock]]&gt;0),Raw_Data[[#This Row],[Units_Sold]]/Raw_Data[[#This Row],[Opening_Stock]],"")</f>
        <v>6.6666666666666666E-2</v>
      </c>
      <c r="L446" t="str">
        <f>IF(NOT(ISNUMBER(Raw_Data[[#This Row],[Sell_through%]])),"Check",IF(Raw_Data[[#This Row],[Sell_through%]]=0,"Non-moving",IF(Raw_Data[[#This Row],[Sell_through%]]&gt;=0.6,"Fast","Slow")))</f>
        <v>Slow</v>
      </c>
      <c r="M446">
        <f>IF(AND(ISNUMBER(Raw_Data[[#This Row],[Closing_Stock]]),ISNUMBER(Raw_Data[[#This Row],[Unit_Cost]])),Raw_Data[[#This Row],[Closing_Stock]]*Raw_Data[[#This Row],[Unit_Cost]],"")</f>
        <v>37044</v>
      </c>
      <c r="N44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47" spans="1:14" x14ac:dyDescent="0.3">
      <c r="A447" t="s">
        <v>715</v>
      </c>
      <c r="B447" t="s">
        <v>124</v>
      </c>
      <c r="C447" t="s">
        <v>28</v>
      </c>
      <c r="D447" t="s">
        <v>13</v>
      </c>
      <c r="E447" s="3">
        <v>46059</v>
      </c>
      <c r="F447">
        <v>163</v>
      </c>
      <c r="G447">
        <v>9</v>
      </c>
      <c r="H447">
        <v>154</v>
      </c>
      <c r="I447">
        <v>426</v>
      </c>
      <c r="J447" t="s">
        <v>14</v>
      </c>
      <c r="K447" s="4">
        <f>IF(AND(ISNUMBER(Raw_Data[[#This Row],[Opening_Stock]]),ISNUMBER(Raw_Data[[#This Row],[Units_Sold]]),Raw_Data[[#This Row],[Opening_Stock]]&gt;0),Raw_Data[[#This Row],[Units_Sold]]/Raw_Data[[#This Row],[Opening_Stock]],"")</f>
        <v>5.5214723926380369E-2</v>
      </c>
      <c r="L447" t="str">
        <f>IF(NOT(ISNUMBER(Raw_Data[[#This Row],[Sell_through%]])),"Check",IF(Raw_Data[[#This Row],[Sell_through%]]=0,"Non-moving",IF(Raw_Data[[#This Row],[Sell_through%]]&gt;=0.6,"Fast","Slow")))</f>
        <v>Slow</v>
      </c>
      <c r="M447">
        <f>IF(AND(ISNUMBER(Raw_Data[[#This Row],[Closing_Stock]]),ISNUMBER(Raw_Data[[#This Row],[Unit_Cost]])),Raw_Data[[#This Row],[Closing_Stock]]*Raw_Data[[#This Row],[Unit_Cost]],"")</f>
        <v>65604</v>
      </c>
      <c r="N44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48" spans="1:14" x14ac:dyDescent="0.3">
      <c r="A448" t="s">
        <v>716</v>
      </c>
      <c r="B448" t="s">
        <v>89</v>
      </c>
      <c r="C448" t="s">
        <v>49</v>
      </c>
      <c r="D448" t="s">
        <v>32</v>
      </c>
      <c r="E448" s="3"/>
      <c r="F448">
        <v>263</v>
      </c>
      <c r="G448">
        <v>0</v>
      </c>
      <c r="H448">
        <v>263</v>
      </c>
      <c r="I448">
        <v>1077</v>
      </c>
      <c r="J448" t="s">
        <v>14</v>
      </c>
      <c r="K448" s="4">
        <f>IF(AND(ISNUMBER(Raw_Data[[#This Row],[Opening_Stock]]),ISNUMBER(Raw_Data[[#This Row],[Units_Sold]]),Raw_Data[[#This Row],[Opening_Stock]]&gt;0),Raw_Data[[#This Row],[Units_Sold]]/Raw_Data[[#This Row],[Opening_Stock]],"")</f>
        <v>0</v>
      </c>
      <c r="L448" t="str">
        <f>IF(NOT(ISNUMBER(Raw_Data[[#This Row],[Sell_through%]])),"Check",IF(Raw_Data[[#This Row],[Sell_through%]]=0,"Non-moving",IF(Raw_Data[[#This Row],[Sell_through%]]&gt;=0.6,"Fast","Slow")))</f>
        <v>Non-moving</v>
      </c>
      <c r="M448">
        <f>IF(AND(ISNUMBER(Raw_Data[[#This Row],[Closing_Stock]]),ISNUMBER(Raw_Data[[#This Row],[Unit_Cost]])),Raw_Data[[#This Row],[Closing_Stock]]*Raw_Data[[#This Row],[Unit_Cost]],"")</f>
        <v>283251</v>
      </c>
      <c r="N44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49" spans="1:14" x14ac:dyDescent="0.3">
      <c r="A449" t="s">
        <v>717</v>
      </c>
      <c r="B449" t="s">
        <v>142</v>
      </c>
      <c r="C449" t="s">
        <v>49</v>
      </c>
      <c r="D449" t="s">
        <v>21</v>
      </c>
      <c r="E449" s="3">
        <v>46142</v>
      </c>
      <c r="F449">
        <v>350</v>
      </c>
      <c r="G449">
        <v>302</v>
      </c>
      <c r="H449">
        <v>48</v>
      </c>
      <c r="I449">
        <v>1374</v>
      </c>
      <c r="J449" t="s">
        <v>17</v>
      </c>
      <c r="K449" s="4">
        <f>IF(AND(ISNUMBER(Raw_Data[[#This Row],[Opening_Stock]]),ISNUMBER(Raw_Data[[#This Row],[Units_Sold]]),Raw_Data[[#This Row],[Opening_Stock]]&gt;0),Raw_Data[[#This Row],[Units_Sold]]/Raw_Data[[#This Row],[Opening_Stock]],"")</f>
        <v>0.86285714285714288</v>
      </c>
      <c r="L449" t="str">
        <f>IF(NOT(ISNUMBER(Raw_Data[[#This Row],[Sell_through%]])),"Check",IF(Raw_Data[[#This Row],[Sell_through%]]=0,"Non-moving",IF(Raw_Data[[#This Row],[Sell_through%]]&gt;=0.6,"Fast","Slow")))</f>
        <v>Fast</v>
      </c>
      <c r="M449">
        <f>IF(AND(ISNUMBER(Raw_Data[[#This Row],[Closing_Stock]]),ISNUMBER(Raw_Data[[#This Row],[Unit_Cost]])),Raw_Data[[#This Row],[Closing_Stock]]*Raw_Data[[#This Row],[Unit_Cost]],"")</f>
        <v>65952</v>
      </c>
      <c r="N44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50" spans="1:14" x14ac:dyDescent="0.3">
      <c r="A450" t="s">
        <v>718</v>
      </c>
      <c r="B450" t="s">
        <v>136</v>
      </c>
      <c r="C450" t="s">
        <v>35</v>
      </c>
      <c r="D450" t="s">
        <v>32</v>
      </c>
      <c r="E450" s="3">
        <v>46195</v>
      </c>
      <c r="F450">
        <v>184</v>
      </c>
      <c r="G450">
        <v>22</v>
      </c>
      <c r="H450">
        <v>162</v>
      </c>
      <c r="I450">
        <v>548</v>
      </c>
      <c r="J450" t="s">
        <v>14</v>
      </c>
      <c r="K450" s="4">
        <f>IF(AND(ISNUMBER(Raw_Data[[#This Row],[Opening_Stock]]),ISNUMBER(Raw_Data[[#This Row],[Units_Sold]]),Raw_Data[[#This Row],[Opening_Stock]]&gt;0),Raw_Data[[#This Row],[Units_Sold]]/Raw_Data[[#This Row],[Opening_Stock]],"")</f>
        <v>0.11956521739130435</v>
      </c>
      <c r="L450" t="str">
        <f>IF(NOT(ISNUMBER(Raw_Data[[#This Row],[Sell_through%]])),"Check",IF(Raw_Data[[#This Row],[Sell_through%]]=0,"Non-moving",IF(Raw_Data[[#This Row],[Sell_through%]]&gt;=0.6,"Fast","Slow")))</f>
        <v>Slow</v>
      </c>
      <c r="M450">
        <f>IF(AND(ISNUMBER(Raw_Data[[#This Row],[Closing_Stock]]),ISNUMBER(Raw_Data[[#This Row],[Unit_Cost]])),Raw_Data[[#This Row],[Closing_Stock]]*Raw_Data[[#This Row],[Unit_Cost]],"")</f>
        <v>88776</v>
      </c>
      <c r="N45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51" spans="1:14" x14ac:dyDescent="0.3">
      <c r="A451" t="s">
        <v>720</v>
      </c>
      <c r="B451" t="s">
        <v>78</v>
      </c>
      <c r="C451" t="s">
        <v>35</v>
      </c>
      <c r="D451" t="s">
        <v>36</v>
      </c>
      <c r="E451" s="3">
        <v>46274</v>
      </c>
      <c r="F451">
        <v>474</v>
      </c>
      <c r="G451">
        <v>401</v>
      </c>
      <c r="H451">
        <v>73</v>
      </c>
      <c r="I451">
        <v>2928</v>
      </c>
      <c r="J451" t="s">
        <v>14</v>
      </c>
      <c r="K451" s="4">
        <f>IF(AND(ISNUMBER(Raw_Data[[#This Row],[Opening_Stock]]),ISNUMBER(Raw_Data[[#This Row],[Units_Sold]]),Raw_Data[[#This Row],[Opening_Stock]]&gt;0),Raw_Data[[#This Row],[Units_Sold]]/Raw_Data[[#This Row],[Opening_Stock]],"")</f>
        <v>0.84599156118143459</v>
      </c>
      <c r="L451" t="str">
        <f>IF(NOT(ISNUMBER(Raw_Data[[#This Row],[Sell_through%]])),"Check",IF(Raw_Data[[#This Row],[Sell_through%]]=0,"Non-moving",IF(Raw_Data[[#This Row],[Sell_through%]]&gt;=0.6,"Fast","Slow")))</f>
        <v>Fast</v>
      </c>
      <c r="M451">
        <f>IF(AND(ISNUMBER(Raw_Data[[#This Row],[Closing_Stock]]),ISNUMBER(Raw_Data[[#This Row],[Unit_Cost]])),Raw_Data[[#This Row],[Closing_Stock]]*Raw_Data[[#This Row],[Unit_Cost]],"")</f>
        <v>213744</v>
      </c>
      <c r="N45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52" spans="1:14" x14ac:dyDescent="0.3">
      <c r="A452" t="s">
        <v>722</v>
      </c>
      <c r="B452" t="s">
        <v>112</v>
      </c>
      <c r="C452" t="s">
        <v>35</v>
      </c>
      <c r="D452" t="s">
        <v>13</v>
      </c>
      <c r="E452" s="3">
        <v>46200</v>
      </c>
      <c r="F452">
        <v>411</v>
      </c>
      <c r="G452">
        <v>124</v>
      </c>
      <c r="H452">
        <v>287</v>
      </c>
      <c r="I452">
        <v>2608</v>
      </c>
      <c r="J452" t="s">
        <v>14</v>
      </c>
      <c r="K452" s="4">
        <f>IF(AND(ISNUMBER(Raw_Data[[#This Row],[Opening_Stock]]),ISNUMBER(Raw_Data[[#This Row],[Units_Sold]]),Raw_Data[[#This Row],[Opening_Stock]]&gt;0),Raw_Data[[#This Row],[Units_Sold]]/Raw_Data[[#This Row],[Opening_Stock]],"")</f>
        <v>0.30170316301703165</v>
      </c>
      <c r="L452" t="str">
        <f>IF(NOT(ISNUMBER(Raw_Data[[#This Row],[Sell_through%]])),"Check",IF(Raw_Data[[#This Row],[Sell_through%]]=0,"Non-moving",IF(Raw_Data[[#This Row],[Sell_through%]]&gt;=0.6,"Fast","Slow")))</f>
        <v>Slow</v>
      </c>
      <c r="M452">
        <f>IF(AND(ISNUMBER(Raw_Data[[#This Row],[Closing_Stock]]),ISNUMBER(Raw_Data[[#This Row],[Unit_Cost]])),Raw_Data[[#This Row],[Closing_Stock]]*Raw_Data[[#This Row],[Unit_Cost]],"")</f>
        <v>748496</v>
      </c>
      <c r="N45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53" spans="1:14" x14ac:dyDescent="0.3">
      <c r="A453" t="s">
        <v>723</v>
      </c>
      <c r="B453" t="s">
        <v>112</v>
      </c>
      <c r="C453" t="s">
        <v>35</v>
      </c>
      <c r="D453" t="s">
        <v>32</v>
      </c>
      <c r="E453" s="3">
        <v>46208</v>
      </c>
      <c r="F453">
        <v>221</v>
      </c>
      <c r="G453">
        <v>17</v>
      </c>
      <c r="H453">
        <v>204</v>
      </c>
      <c r="I453">
        <v>2508</v>
      </c>
      <c r="J453" t="s">
        <v>14</v>
      </c>
      <c r="K453" s="4">
        <f>IF(AND(ISNUMBER(Raw_Data[[#This Row],[Opening_Stock]]),ISNUMBER(Raw_Data[[#This Row],[Units_Sold]]),Raw_Data[[#This Row],[Opening_Stock]]&gt;0),Raw_Data[[#This Row],[Units_Sold]]/Raw_Data[[#This Row],[Opening_Stock]],"")</f>
        <v>7.6923076923076927E-2</v>
      </c>
      <c r="L453" t="str">
        <f>IF(NOT(ISNUMBER(Raw_Data[[#This Row],[Sell_through%]])),"Check",IF(Raw_Data[[#This Row],[Sell_through%]]=0,"Non-moving",IF(Raw_Data[[#This Row],[Sell_through%]]&gt;=0.6,"Fast","Slow")))</f>
        <v>Slow</v>
      </c>
      <c r="M453">
        <f>IF(AND(ISNUMBER(Raw_Data[[#This Row],[Closing_Stock]]),ISNUMBER(Raw_Data[[#This Row],[Unit_Cost]])),Raw_Data[[#This Row],[Closing_Stock]]*Raw_Data[[#This Row],[Unit_Cost]],"")</f>
        <v>511632</v>
      </c>
      <c r="N45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54" spans="1:14" x14ac:dyDescent="0.3">
      <c r="A454" t="s">
        <v>724</v>
      </c>
      <c r="B454" t="s">
        <v>23</v>
      </c>
      <c r="C454" t="s">
        <v>35</v>
      </c>
      <c r="D454" t="s">
        <v>21</v>
      </c>
      <c r="E454" s="3">
        <v>46129</v>
      </c>
      <c r="F454">
        <v>465</v>
      </c>
      <c r="G454">
        <v>405</v>
      </c>
      <c r="H454">
        <v>60</v>
      </c>
      <c r="I454">
        <v>1544</v>
      </c>
      <c r="J454" t="s">
        <v>14</v>
      </c>
      <c r="K454" s="4">
        <f>IF(AND(ISNUMBER(Raw_Data[[#This Row],[Opening_Stock]]),ISNUMBER(Raw_Data[[#This Row],[Units_Sold]]),Raw_Data[[#This Row],[Opening_Stock]]&gt;0),Raw_Data[[#This Row],[Units_Sold]]/Raw_Data[[#This Row],[Opening_Stock]],"")</f>
        <v>0.87096774193548387</v>
      </c>
      <c r="L454" t="str">
        <f>IF(NOT(ISNUMBER(Raw_Data[[#This Row],[Sell_through%]])),"Check",IF(Raw_Data[[#This Row],[Sell_through%]]=0,"Non-moving",IF(Raw_Data[[#This Row],[Sell_through%]]&gt;=0.6,"Fast","Slow")))</f>
        <v>Fast</v>
      </c>
      <c r="M454">
        <f>IF(AND(ISNUMBER(Raw_Data[[#This Row],[Closing_Stock]]),ISNUMBER(Raw_Data[[#This Row],[Unit_Cost]])),Raw_Data[[#This Row],[Closing_Stock]]*Raw_Data[[#This Row],[Unit_Cost]],"")</f>
        <v>92640</v>
      </c>
      <c r="N45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55" spans="1:14" x14ac:dyDescent="0.3">
      <c r="A455" t="s">
        <v>726</v>
      </c>
      <c r="B455" t="s">
        <v>95</v>
      </c>
      <c r="C455" t="s">
        <v>31</v>
      </c>
      <c r="D455" t="s">
        <v>32</v>
      </c>
      <c r="E455" s="3">
        <v>45996</v>
      </c>
      <c r="F455">
        <v>293</v>
      </c>
      <c r="G455">
        <v>66</v>
      </c>
      <c r="H455">
        <v>227</v>
      </c>
      <c r="I455">
        <v>922</v>
      </c>
      <c r="J455" t="s">
        <v>14</v>
      </c>
      <c r="K455" s="4">
        <f>IF(AND(ISNUMBER(Raw_Data[[#This Row],[Opening_Stock]]),ISNUMBER(Raw_Data[[#This Row],[Units_Sold]]),Raw_Data[[#This Row],[Opening_Stock]]&gt;0),Raw_Data[[#This Row],[Units_Sold]]/Raw_Data[[#This Row],[Opening_Stock]],"")</f>
        <v>0.22525597269624573</v>
      </c>
      <c r="L455" t="str">
        <f>IF(NOT(ISNUMBER(Raw_Data[[#This Row],[Sell_through%]])),"Check",IF(Raw_Data[[#This Row],[Sell_through%]]=0,"Non-moving",IF(Raw_Data[[#This Row],[Sell_through%]]&gt;=0.6,"Fast","Slow")))</f>
        <v>Slow</v>
      </c>
      <c r="M455">
        <f>IF(AND(ISNUMBER(Raw_Data[[#This Row],[Closing_Stock]]),ISNUMBER(Raw_Data[[#This Row],[Unit_Cost]])),Raw_Data[[#This Row],[Closing_Stock]]*Raw_Data[[#This Row],[Unit_Cost]],"")</f>
        <v>209294</v>
      </c>
      <c r="N45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56" spans="1:14" x14ac:dyDescent="0.3">
      <c r="A456" t="s">
        <v>727</v>
      </c>
      <c r="B456" t="s">
        <v>34</v>
      </c>
      <c r="C456" t="s">
        <v>35</v>
      </c>
      <c r="D456" t="s">
        <v>21</v>
      </c>
      <c r="E456" s="3">
        <v>46257</v>
      </c>
      <c r="F456">
        <v>258</v>
      </c>
      <c r="G456">
        <v>56</v>
      </c>
      <c r="H456">
        <v>202</v>
      </c>
      <c r="I456">
        <v>1391</v>
      </c>
      <c r="J456" t="s">
        <v>14</v>
      </c>
      <c r="K456" s="4">
        <f>IF(AND(ISNUMBER(Raw_Data[[#This Row],[Opening_Stock]]),ISNUMBER(Raw_Data[[#This Row],[Units_Sold]]),Raw_Data[[#This Row],[Opening_Stock]]&gt;0),Raw_Data[[#This Row],[Units_Sold]]/Raw_Data[[#This Row],[Opening_Stock]],"")</f>
        <v>0.21705426356589147</v>
      </c>
      <c r="L456" t="str">
        <f>IF(NOT(ISNUMBER(Raw_Data[[#This Row],[Sell_through%]])),"Check",IF(Raw_Data[[#This Row],[Sell_through%]]=0,"Non-moving",IF(Raw_Data[[#This Row],[Sell_through%]]&gt;=0.6,"Fast","Slow")))</f>
        <v>Slow</v>
      </c>
      <c r="M456">
        <f>IF(AND(ISNUMBER(Raw_Data[[#This Row],[Closing_Stock]]),ISNUMBER(Raw_Data[[#This Row],[Unit_Cost]])),Raw_Data[[#This Row],[Closing_Stock]]*Raw_Data[[#This Row],[Unit_Cost]],"")</f>
        <v>280982</v>
      </c>
      <c r="N45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57" spans="1:14" x14ac:dyDescent="0.3">
      <c r="A457" t="s">
        <v>728</v>
      </c>
      <c r="B457" t="s">
        <v>1344</v>
      </c>
      <c r="C457" t="s">
        <v>28</v>
      </c>
      <c r="D457" t="s">
        <v>32</v>
      </c>
      <c r="E457" s="3">
        <v>46116</v>
      </c>
      <c r="G457">
        <v>106</v>
      </c>
      <c r="H457">
        <v>199</v>
      </c>
      <c r="I457">
        <v>1246</v>
      </c>
      <c r="J457" t="s">
        <v>14</v>
      </c>
      <c r="K457" s="4" t="str">
        <f>IF(AND(ISNUMBER(Raw_Data[[#This Row],[Opening_Stock]]),ISNUMBER(Raw_Data[[#This Row],[Units_Sold]]),Raw_Data[[#This Row],[Opening_Stock]]&gt;0),Raw_Data[[#This Row],[Units_Sold]]/Raw_Data[[#This Row],[Opening_Stock]],"")</f>
        <v/>
      </c>
      <c r="L457" t="str">
        <f>IF(NOT(ISNUMBER(Raw_Data[[#This Row],[Sell_through%]])),"Check",IF(Raw_Data[[#This Row],[Sell_through%]]=0,"Non-moving",IF(Raw_Data[[#This Row],[Sell_through%]]&gt;=0.6,"Fast","Slow")))</f>
        <v>Check</v>
      </c>
      <c r="M457">
        <f>IF(AND(ISNUMBER(Raw_Data[[#This Row],[Closing_Stock]]),ISNUMBER(Raw_Data[[#This Row],[Unit_Cost]])),Raw_Data[[#This Row],[Closing_Stock]]*Raw_Data[[#This Row],[Unit_Cost]],"")</f>
        <v>247954</v>
      </c>
      <c r="N457"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58" spans="1:14" x14ac:dyDescent="0.3">
      <c r="A458" t="s">
        <v>729</v>
      </c>
      <c r="B458" t="s">
        <v>146</v>
      </c>
      <c r="C458" t="s">
        <v>35</v>
      </c>
      <c r="D458" t="s">
        <v>32</v>
      </c>
      <c r="E458" s="3">
        <v>46203</v>
      </c>
      <c r="F458">
        <v>344</v>
      </c>
      <c r="G458">
        <v>116</v>
      </c>
      <c r="H458">
        <v>228</v>
      </c>
      <c r="I458">
        <v>1951</v>
      </c>
      <c r="J458" t="s">
        <v>14</v>
      </c>
      <c r="K458" s="4">
        <f>IF(AND(ISNUMBER(Raw_Data[[#This Row],[Opening_Stock]]),ISNUMBER(Raw_Data[[#This Row],[Units_Sold]]),Raw_Data[[#This Row],[Opening_Stock]]&gt;0),Raw_Data[[#This Row],[Units_Sold]]/Raw_Data[[#This Row],[Opening_Stock]],"")</f>
        <v>0.33720930232558138</v>
      </c>
      <c r="L458" t="str">
        <f>IF(NOT(ISNUMBER(Raw_Data[[#This Row],[Sell_through%]])),"Check",IF(Raw_Data[[#This Row],[Sell_through%]]=0,"Non-moving",IF(Raw_Data[[#This Row],[Sell_through%]]&gt;=0.6,"Fast","Slow")))</f>
        <v>Slow</v>
      </c>
      <c r="M458">
        <f>IF(AND(ISNUMBER(Raw_Data[[#This Row],[Closing_Stock]]),ISNUMBER(Raw_Data[[#This Row],[Unit_Cost]])),Raw_Data[[#This Row],[Closing_Stock]]*Raw_Data[[#This Row],[Unit_Cost]],"")</f>
        <v>444828</v>
      </c>
      <c r="N45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59" spans="1:14" x14ac:dyDescent="0.3">
      <c r="A459" t="s">
        <v>730</v>
      </c>
      <c r="B459" t="s">
        <v>158</v>
      </c>
      <c r="C459" t="s">
        <v>31</v>
      </c>
      <c r="D459" t="s">
        <v>32</v>
      </c>
      <c r="E459" s="3">
        <v>46098</v>
      </c>
      <c r="F459">
        <v>482</v>
      </c>
      <c r="G459">
        <v>102</v>
      </c>
      <c r="H459">
        <v>380</v>
      </c>
      <c r="I459">
        <v>2585</v>
      </c>
      <c r="J459" t="s">
        <v>14</v>
      </c>
      <c r="K459" s="4">
        <f>IF(AND(ISNUMBER(Raw_Data[[#This Row],[Opening_Stock]]),ISNUMBER(Raw_Data[[#This Row],[Units_Sold]]),Raw_Data[[#This Row],[Opening_Stock]]&gt;0),Raw_Data[[#This Row],[Units_Sold]]/Raw_Data[[#This Row],[Opening_Stock]],"")</f>
        <v>0.21161825726141079</v>
      </c>
      <c r="L459" t="str">
        <f>IF(NOT(ISNUMBER(Raw_Data[[#This Row],[Sell_through%]])),"Check",IF(Raw_Data[[#This Row],[Sell_through%]]=0,"Non-moving",IF(Raw_Data[[#This Row],[Sell_through%]]&gt;=0.6,"Fast","Slow")))</f>
        <v>Slow</v>
      </c>
      <c r="M459">
        <f>IF(AND(ISNUMBER(Raw_Data[[#This Row],[Closing_Stock]]),ISNUMBER(Raw_Data[[#This Row],[Unit_Cost]])),Raw_Data[[#This Row],[Closing_Stock]]*Raw_Data[[#This Row],[Unit_Cost]],"")</f>
        <v>982300</v>
      </c>
      <c r="N45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60" spans="1:14" x14ac:dyDescent="0.3">
      <c r="A460" t="s">
        <v>731</v>
      </c>
      <c r="B460" t="s">
        <v>238</v>
      </c>
      <c r="C460" t="s">
        <v>28</v>
      </c>
      <c r="D460" t="s">
        <v>21</v>
      </c>
      <c r="E460" s="3"/>
      <c r="F460">
        <v>408</v>
      </c>
      <c r="G460">
        <v>0</v>
      </c>
      <c r="H460">
        <v>408</v>
      </c>
      <c r="I460">
        <v>2854</v>
      </c>
      <c r="J460" t="s">
        <v>14</v>
      </c>
      <c r="K460" s="4">
        <f>IF(AND(ISNUMBER(Raw_Data[[#This Row],[Opening_Stock]]),ISNUMBER(Raw_Data[[#This Row],[Units_Sold]]),Raw_Data[[#This Row],[Opening_Stock]]&gt;0),Raw_Data[[#This Row],[Units_Sold]]/Raw_Data[[#This Row],[Opening_Stock]],"")</f>
        <v>0</v>
      </c>
      <c r="L460" t="str">
        <f>IF(NOT(ISNUMBER(Raw_Data[[#This Row],[Sell_through%]])),"Check",IF(Raw_Data[[#This Row],[Sell_through%]]=0,"Non-moving",IF(Raw_Data[[#This Row],[Sell_through%]]&gt;=0.6,"Fast","Slow")))</f>
        <v>Non-moving</v>
      </c>
      <c r="M460">
        <f>IF(AND(ISNUMBER(Raw_Data[[#This Row],[Closing_Stock]]),ISNUMBER(Raw_Data[[#This Row],[Unit_Cost]])),Raw_Data[[#This Row],[Closing_Stock]]*Raw_Data[[#This Row],[Unit_Cost]],"")</f>
        <v>1164432</v>
      </c>
      <c r="N46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61" spans="1:14" x14ac:dyDescent="0.3">
      <c r="A461" t="s">
        <v>732</v>
      </c>
      <c r="B461" t="s">
        <v>308</v>
      </c>
      <c r="C461" t="s">
        <v>12</v>
      </c>
      <c r="D461" t="s">
        <v>36</v>
      </c>
      <c r="E461" s="3"/>
      <c r="F461">
        <v>65</v>
      </c>
      <c r="G461">
        <v>0</v>
      </c>
      <c r="H461">
        <v>65</v>
      </c>
      <c r="I461">
        <v>1406</v>
      </c>
      <c r="J461" t="s">
        <v>14</v>
      </c>
      <c r="K461" s="4">
        <f>IF(AND(ISNUMBER(Raw_Data[[#This Row],[Opening_Stock]]),ISNUMBER(Raw_Data[[#This Row],[Units_Sold]]),Raw_Data[[#This Row],[Opening_Stock]]&gt;0),Raw_Data[[#This Row],[Units_Sold]]/Raw_Data[[#This Row],[Opening_Stock]],"")</f>
        <v>0</v>
      </c>
      <c r="L461" t="str">
        <f>IF(NOT(ISNUMBER(Raw_Data[[#This Row],[Sell_through%]])),"Check",IF(Raw_Data[[#This Row],[Sell_through%]]=0,"Non-moving",IF(Raw_Data[[#This Row],[Sell_through%]]&gt;=0.6,"Fast","Slow")))</f>
        <v>Non-moving</v>
      </c>
      <c r="M461">
        <f>IF(AND(ISNUMBER(Raw_Data[[#This Row],[Closing_Stock]]),ISNUMBER(Raw_Data[[#This Row],[Unit_Cost]])),Raw_Data[[#This Row],[Closing_Stock]]*Raw_Data[[#This Row],[Unit_Cost]],"")</f>
        <v>91390</v>
      </c>
      <c r="N46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62" spans="1:14" x14ac:dyDescent="0.3">
      <c r="A462" t="s">
        <v>734</v>
      </c>
      <c r="B462" t="s">
        <v>23</v>
      </c>
      <c r="C462" t="s">
        <v>35</v>
      </c>
      <c r="D462" t="s">
        <v>21</v>
      </c>
      <c r="E462" s="3"/>
      <c r="F462">
        <v>389</v>
      </c>
      <c r="G462">
        <v>0</v>
      </c>
      <c r="H462">
        <v>389</v>
      </c>
      <c r="I462">
        <v>2147</v>
      </c>
      <c r="J462" t="s">
        <v>14</v>
      </c>
      <c r="K462" s="4">
        <f>IF(AND(ISNUMBER(Raw_Data[[#This Row],[Opening_Stock]]),ISNUMBER(Raw_Data[[#This Row],[Units_Sold]]),Raw_Data[[#This Row],[Opening_Stock]]&gt;0),Raw_Data[[#This Row],[Units_Sold]]/Raw_Data[[#This Row],[Opening_Stock]],"")</f>
        <v>0</v>
      </c>
      <c r="L462" t="str">
        <f>IF(NOT(ISNUMBER(Raw_Data[[#This Row],[Sell_through%]])),"Check",IF(Raw_Data[[#This Row],[Sell_through%]]=0,"Non-moving",IF(Raw_Data[[#This Row],[Sell_through%]]&gt;=0.6,"Fast","Slow")))</f>
        <v>Non-moving</v>
      </c>
      <c r="M462">
        <f>IF(AND(ISNUMBER(Raw_Data[[#This Row],[Closing_Stock]]),ISNUMBER(Raw_Data[[#This Row],[Unit_Cost]])),Raw_Data[[#This Row],[Closing_Stock]]*Raw_Data[[#This Row],[Unit_Cost]],"")</f>
        <v>835183</v>
      </c>
      <c r="N46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63" spans="1:14" x14ac:dyDescent="0.3">
      <c r="A463" t="s">
        <v>735</v>
      </c>
      <c r="B463" t="s">
        <v>78</v>
      </c>
      <c r="C463" t="s">
        <v>35</v>
      </c>
      <c r="D463" t="s">
        <v>36</v>
      </c>
      <c r="E463" s="3">
        <v>46051</v>
      </c>
      <c r="F463">
        <v>179</v>
      </c>
      <c r="G463">
        <v>37</v>
      </c>
      <c r="H463">
        <v>142</v>
      </c>
      <c r="I463">
        <v>1712</v>
      </c>
      <c r="J463" t="s">
        <v>14</v>
      </c>
      <c r="K463" s="4">
        <f>IF(AND(ISNUMBER(Raw_Data[[#This Row],[Opening_Stock]]),ISNUMBER(Raw_Data[[#This Row],[Units_Sold]]),Raw_Data[[#This Row],[Opening_Stock]]&gt;0),Raw_Data[[#This Row],[Units_Sold]]/Raw_Data[[#This Row],[Opening_Stock]],"")</f>
        <v>0.20670391061452514</v>
      </c>
      <c r="L463" t="str">
        <f>IF(NOT(ISNUMBER(Raw_Data[[#This Row],[Sell_through%]])),"Check",IF(Raw_Data[[#This Row],[Sell_through%]]=0,"Non-moving",IF(Raw_Data[[#This Row],[Sell_through%]]&gt;=0.6,"Fast","Slow")))</f>
        <v>Slow</v>
      </c>
      <c r="M463">
        <f>IF(AND(ISNUMBER(Raw_Data[[#This Row],[Closing_Stock]]),ISNUMBER(Raw_Data[[#This Row],[Unit_Cost]])),Raw_Data[[#This Row],[Closing_Stock]]*Raw_Data[[#This Row],[Unit_Cost]],"")</f>
        <v>243104</v>
      </c>
      <c r="N46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64" spans="1:14" x14ac:dyDescent="0.3">
      <c r="A464" t="s">
        <v>736</v>
      </c>
      <c r="B464" t="s">
        <v>60</v>
      </c>
      <c r="C464" t="s">
        <v>28</v>
      </c>
      <c r="D464" t="s">
        <v>21</v>
      </c>
      <c r="E464" s="3">
        <v>46120</v>
      </c>
      <c r="F464">
        <v>164</v>
      </c>
      <c r="G464">
        <v>37</v>
      </c>
      <c r="H464">
        <v>127</v>
      </c>
      <c r="I464">
        <v>1682</v>
      </c>
      <c r="J464" t="s">
        <v>14</v>
      </c>
      <c r="K464" s="4">
        <f>IF(AND(ISNUMBER(Raw_Data[[#This Row],[Opening_Stock]]),ISNUMBER(Raw_Data[[#This Row],[Units_Sold]]),Raw_Data[[#This Row],[Opening_Stock]]&gt;0),Raw_Data[[#This Row],[Units_Sold]]/Raw_Data[[#This Row],[Opening_Stock]],"")</f>
        <v>0.22560975609756098</v>
      </c>
      <c r="L464" t="str">
        <f>IF(NOT(ISNUMBER(Raw_Data[[#This Row],[Sell_through%]])),"Check",IF(Raw_Data[[#This Row],[Sell_through%]]=0,"Non-moving",IF(Raw_Data[[#This Row],[Sell_through%]]&gt;=0.6,"Fast","Slow")))</f>
        <v>Slow</v>
      </c>
      <c r="M464">
        <f>IF(AND(ISNUMBER(Raw_Data[[#This Row],[Closing_Stock]]),ISNUMBER(Raw_Data[[#This Row],[Unit_Cost]])),Raw_Data[[#This Row],[Closing_Stock]]*Raw_Data[[#This Row],[Unit_Cost]],"")</f>
        <v>213614</v>
      </c>
      <c r="N46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65" spans="1:14" x14ac:dyDescent="0.3">
      <c r="A465" t="s">
        <v>737</v>
      </c>
      <c r="B465" t="s">
        <v>240</v>
      </c>
      <c r="C465" t="s">
        <v>49</v>
      </c>
      <c r="D465" t="s">
        <v>13</v>
      </c>
      <c r="E465" s="3">
        <v>46209</v>
      </c>
      <c r="F465">
        <v>319</v>
      </c>
      <c r="G465">
        <v>126</v>
      </c>
      <c r="H465">
        <v>193</v>
      </c>
      <c r="I465">
        <v>1462</v>
      </c>
      <c r="J465" t="s">
        <v>14</v>
      </c>
      <c r="K465" s="4">
        <f>IF(AND(ISNUMBER(Raw_Data[[#This Row],[Opening_Stock]]),ISNUMBER(Raw_Data[[#This Row],[Units_Sold]]),Raw_Data[[#This Row],[Opening_Stock]]&gt;0),Raw_Data[[#This Row],[Units_Sold]]/Raw_Data[[#This Row],[Opening_Stock]],"")</f>
        <v>0.39498432601880878</v>
      </c>
      <c r="L465" t="str">
        <f>IF(NOT(ISNUMBER(Raw_Data[[#This Row],[Sell_through%]])),"Check",IF(Raw_Data[[#This Row],[Sell_through%]]=0,"Non-moving",IF(Raw_Data[[#This Row],[Sell_through%]]&gt;=0.6,"Fast","Slow")))</f>
        <v>Slow</v>
      </c>
      <c r="M465">
        <f>IF(AND(ISNUMBER(Raw_Data[[#This Row],[Closing_Stock]]),ISNUMBER(Raw_Data[[#This Row],[Unit_Cost]])),Raw_Data[[#This Row],[Closing_Stock]]*Raw_Data[[#This Row],[Unit_Cost]],"")</f>
        <v>282166</v>
      </c>
      <c r="N46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66" spans="1:14" x14ac:dyDescent="0.3">
      <c r="A466" t="s">
        <v>739</v>
      </c>
      <c r="B466" t="s">
        <v>184</v>
      </c>
      <c r="C466" t="s">
        <v>31</v>
      </c>
      <c r="D466" t="s">
        <v>21</v>
      </c>
      <c r="E466" s="3"/>
      <c r="F466">
        <v>365</v>
      </c>
      <c r="G466">
        <v>0</v>
      </c>
      <c r="H466">
        <v>365</v>
      </c>
      <c r="I466">
        <v>1885</v>
      </c>
      <c r="J466" t="s">
        <v>14</v>
      </c>
      <c r="K466" s="4">
        <f>IF(AND(ISNUMBER(Raw_Data[[#This Row],[Opening_Stock]]),ISNUMBER(Raw_Data[[#This Row],[Units_Sold]]),Raw_Data[[#This Row],[Opening_Stock]]&gt;0),Raw_Data[[#This Row],[Units_Sold]]/Raw_Data[[#This Row],[Opening_Stock]],"")</f>
        <v>0</v>
      </c>
      <c r="L466" t="str">
        <f>IF(NOT(ISNUMBER(Raw_Data[[#This Row],[Sell_through%]])),"Check",IF(Raw_Data[[#This Row],[Sell_through%]]=0,"Non-moving",IF(Raw_Data[[#This Row],[Sell_through%]]&gt;=0.6,"Fast","Slow")))</f>
        <v>Non-moving</v>
      </c>
      <c r="M466">
        <f>IF(AND(ISNUMBER(Raw_Data[[#This Row],[Closing_Stock]]),ISNUMBER(Raw_Data[[#This Row],[Unit_Cost]])),Raw_Data[[#This Row],[Closing_Stock]]*Raw_Data[[#This Row],[Unit_Cost]],"")</f>
        <v>688025</v>
      </c>
      <c r="N46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67" spans="1:14" x14ac:dyDescent="0.3">
      <c r="A467" t="s">
        <v>740</v>
      </c>
      <c r="B467" t="s">
        <v>164</v>
      </c>
      <c r="C467" t="s">
        <v>49</v>
      </c>
      <c r="D467" t="s">
        <v>32</v>
      </c>
      <c r="E467" s="3"/>
      <c r="G467">
        <v>0</v>
      </c>
      <c r="H467">
        <v>478</v>
      </c>
      <c r="I467">
        <v>550</v>
      </c>
      <c r="J467" t="s">
        <v>14</v>
      </c>
      <c r="K467" s="4" t="str">
        <f>IF(AND(ISNUMBER(Raw_Data[[#This Row],[Opening_Stock]]),ISNUMBER(Raw_Data[[#This Row],[Units_Sold]]),Raw_Data[[#This Row],[Opening_Stock]]&gt;0),Raw_Data[[#This Row],[Units_Sold]]/Raw_Data[[#This Row],[Opening_Stock]],"")</f>
        <v/>
      </c>
      <c r="L467" t="str">
        <f>IF(NOT(ISNUMBER(Raw_Data[[#This Row],[Sell_through%]])),"Check",IF(Raw_Data[[#This Row],[Sell_through%]]=0,"Non-moving",IF(Raw_Data[[#This Row],[Sell_through%]]&gt;=0.6,"Fast","Slow")))</f>
        <v>Check</v>
      </c>
      <c r="M467">
        <f>IF(AND(ISNUMBER(Raw_Data[[#This Row],[Closing_Stock]]),ISNUMBER(Raw_Data[[#This Row],[Unit_Cost]])),Raw_Data[[#This Row],[Closing_Stock]]*Raw_Data[[#This Row],[Unit_Cost]],"")</f>
        <v>262900</v>
      </c>
      <c r="N467"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68" spans="1:14" x14ac:dyDescent="0.3">
      <c r="A468" t="s">
        <v>741</v>
      </c>
      <c r="B468" t="s">
        <v>27</v>
      </c>
      <c r="C468" t="s">
        <v>28</v>
      </c>
      <c r="D468" t="s">
        <v>32</v>
      </c>
      <c r="E468" s="3"/>
      <c r="F468">
        <v>392</v>
      </c>
      <c r="G468">
        <v>0</v>
      </c>
      <c r="H468">
        <v>392</v>
      </c>
      <c r="I468">
        <v>921</v>
      </c>
      <c r="J468" t="s">
        <v>14</v>
      </c>
      <c r="K468" s="4">
        <f>IF(AND(ISNUMBER(Raw_Data[[#This Row],[Opening_Stock]]),ISNUMBER(Raw_Data[[#This Row],[Units_Sold]]),Raw_Data[[#This Row],[Opening_Stock]]&gt;0),Raw_Data[[#This Row],[Units_Sold]]/Raw_Data[[#This Row],[Opening_Stock]],"")</f>
        <v>0</v>
      </c>
      <c r="L468" t="str">
        <f>IF(NOT(ISNUMBER(Raw_Data[[#This Row],[Sell_through%]])),"Check",IF(Raw_Data[[#This Row],[Sell_through%]]=0,"Non-moving",IF(Raw_Data[[#This Row],[Sell_through%]]&gt;=0.6,"Fast","Slow")))</f>
        <v>Non-moving</v>
      </c>
      <c r="M468">
        <f>IF(AND(ISNUMBER(Raw_Data[[#This Row],[Closing_Stock]]),ISNUMBER(Raw_Data[[#This Row],[Unit_Cost]])),Raw_Data[[#This Row],[Closing_Stock]]*Raw_Data[[#This Row],[Unit_Cost]],"")</f>
        <v>361032</v>
      </c>
      <c r="N46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69" spans="1:14" x14ac:dyDescent="0.3">
      <c r="A469" t="s">
        <v>743</v>
      </c>
      <c r="B469" t="s">
        <v>1342</v>
      </c>
      <c r="C469" t="s">
        <v>28</v>
      </c>
      <c r="D469" t="s">
        <v>32</v>
      </c>
      <c r="E469" s="3">
        <v>46221</v>
      </c>
      <c r="F469">
        <v>123</v>
      </c>
      <c r="G469">
        <v>34</v>
      </c>
      <c r="I469">
        <v>1548</v>
      </c>
      <c r="J469" t="s">
        <v>14</v>
      </c>
      <c r="K469" s="4">
        <f>IF(AND(ISNUMBER(Raw_Data[[#This Row],[Opening_Stock]]),ISNUMBER(Raw_Data[[#This Row],[Units_Sold]]),Raw_Data[[#This Row],[Opening_Stock]]&gt;0),Raw_Data[[#This Row],[Units_Sold]]/Raw_Data[[#This Row],[Opening_Stock]],"")</f>
        <v>0.27642276422764228</v>
      </c>
      <c r="L469" t="str">
        <f>IF(NOT(ISNUMBER(Raw_Data[[#This Row],[Sell_through%]])),"Check",IF(Raw_Data[[#This Row],[Sell_through%]]=0,"Non-moving",IF(Raw_Data[[#This Row],[Sell_through%]]&gt;=0.6,"Fast","Slow")))</f>
        <v>Slow</v>
      </c>
      <c r="M469" t="str">
        <f>IF(AND(ISNUMBER(Raw_Data[[#This Row],[Closing_Stock]]),ISNUMBER(Raw_Data[[#This Row],[Unit_Cost]])),Raw_Data[[#This Row],[Closing_Stock]]*Raw_Data[[#This Row],[Unit_Cost]],"")</f>
        <v/>
      </c>
      <c r="N46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70" spans="1:14" x14ac:dyDescent="0.3">
      <c r="A470" t="s">
        <v>744</v>
      </c>
      <c r="B470" t="s">
        <v>62</v>
      </c>
      <c r="C470" t="s">
        <v>49</v>
      </c>
      <c r="D470" t="s">
        <v>21</v>
      </c>
      <c r="E470" s="3"/>
      <c r="F470">
        <v>320</v>
      </c>
      <c r="G470">
        <v>0</v>
      </c>
      <c r="H470">
        <v>320</v>
      </c>
      <c r="I470">
        <v>2613</v>
      </c>
      <c r="J470" t="s">
        <v>14</v>
      </c>
      <c r="K470" s="4">
        <f>IF(AND(ISNUMBER(Raw_Data[[#This Row],[Opening_Stock]]),ISNUMBER(Raw_Data[[#This Row],[Units_Sold]]),Raw_Data[[#This Row],[Opening_Stock]]&gt;0),Raw_Data[[#This Row],[Units_Sold]]/Raw_Data[[#This Row],[Opening_Stock]],"")</f>
        <v>0</v>
      </c>
      <c r="L470" t="str">
        <f>IF(NOT(ISNUMBER(Raw_Data[[#This Row],[Sell_through%]])),"Check",IF(Raw_Data[[#This Row],[Sell_through%]]=0,"Non-moving",IF(Raw_Data[[#This Row],[Sell_through%]]&gt;=0.6,"Fast","Slow")))</f>
        <v>Non-moving</v>
      </c>
      <c r="M470">
        <f>IF(AND(ISNUMBER(Raw_Data[[#This Row],[Closing_Stock]]),ISNUMBER(Raw_Data[[#This Row],[Unit_Cost]])),Raw_Data[[#This Row],[Closing_Stock]]*Raw_Data[[#This Row],[Unit_Cost]],"")</f>
        <v>836160</v>
      </c>
      <c r="N47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71" spans="1:14" x14ac:dyDescent="0.3">
      <c r="A471" t="s">
        <v>745</v>
      </c>
      <c r="B471" t="s">
        <v>158</v>
      </c>
      <c r="D471" t="s">
        <v>36</v>
      </c>
      <c r="E471" s="3">
        <v>46207</v>
      </c>
      <c r="F471">
        <v>329</v>
      </c>
      <c r="G471">
        <v>318</v>
      </c>
      <c r="H471">
        <v>11</v>
      </c>
      <c r="I471">
        <v>411</v>
      </c>
      <c r="J471" t="s">
        <v>17</v>
      </c>
      <c r="K471" s="4">
        <f>IF(AND(ISNUMBER(Raw_Data[[#This Row],[Opening_Stock]]),ISNUMBER(Raw_Data[[#This Row],[Units_Sold]]),Raw_Data[[#This Row],[Opening_Stock]]&gt;0),Raw_Data[[#This Row],[Units_Sold]]/Raw_Data[[#This Row],[Opening_Stock]],"")</f>
        <v>0.96656534954407292</v>
      </c>
      <c r="L471" t="str">
        <f>IF(NOT(ISNUMBER(Raw_Data[[#This Row],[Sell_through%]])),"Check",IF(Raw_Data[[#This Row],[Sell_through%]]=0,"Non-moving",IF(Raw_Data[[#This Row],[Sell_through%]]&gt;=0.6,"Fast","Slow")))</f>
        <v>Fast</v>
      </c>
      <c r="M471">
        <f>IF(AND(ISNUMBER(Raw_Data[[#This Row],[Closing_Stock]]),ISNUMBER(Raw_Data[[#This Row],[Unit_Cost]])),Raw_Data[[#This Row],[Closing_Stock]]*Raw_Data[[#This Row],[Unit_Cost]],"")</f>
        <v>4521</v>
      </c>
      <c r="N47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72" spans="1:14" x14ac:dyDescent="0.3">
      <c r="A472" t="s">
        <v>746</v>
      </c>
      <c r="B472" t="s">
        <v>562</v>
      </c>
      <c r="C472" t="s">
        <v>35</v>
      </c>
      <c r="D472" t="s">
        <v>32</v>
      </c>
      <c r="E472" s="3">
        <v>46111</v>
      </c>
      <c r="F472">
        <v>91</v>
      </c>
      <c r="G472">
        <v>20</v>
      </c>
      <c r="H472">
        <v>71</v>
      </c>
      <c r="I472">
        <v>2620</v>
      </c>
      <c r="J472" t="s">
        <v>14</v>
      </c>
      <c r="K472" s="4">
        <f>IF(AND(ISNUMBER(Raw_Data[[#This Row],[Opening_Stock]]),ISNUMBER(Raw_Data[[#This Row],[Units_Sold]]),Raw_Data[[#This Row],[Opening_Stock]]&gt;0),Raw_Data[[#This Row],[Units_Sold]]/Raw_Data[[#This Row],[Opening_Stock]],"")</f>
        <v>0.21978021978021978</v>
      </c>
      <c r="L472" t="str">
        <f>IF(NOT(ISNUMBER(Raw_Data[[#This Row],[Sell_through%]])),"Check",IF(Raw_Data[[#This Row],[Sell_through%]]=0,"Non-moving",IF(Raw_Data[[#This Row],[Sell_through%]]&gt;=0.6,"Fast","Slow")))</f>
        <v>Slow</v>
      </c>
      <c r="M472">
        <f>IF(AND(ISNUMBER(Raw_Data[[#This Row],[Closing_Stock]]),ISNUMBER(Raw_Data[[#This Row],[Unit_Cost]])),Raw_Data[[#This Row],[Closing_Stock]]*Raw_Data[[#This Row],[Unit_Cost]],"")</f>
        <v>186020</v>
      </c>
      <c r="N47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73" spans="1:14" x14ac:dyDescent="0.3">
      <c r="A473" t="s">
        <v>747</v>
      </c>
      <c r="B473" t="s">
        <v>71</v>
      </c>
      <c r="C473" t="s">
        <v>35</v>
      </c>
      <c r="D473" t="s">
        <v>21</v>
      </c>
      <c r="E473" s="3">
        <v>45998</v>
      </c>
      <c r="F473">
        <v>338</v>
      </c>
      <c r="G473">
        <v>273</v>
      </c>
      <c r="H473">
        <v>65</v>
      </c>
      <c r="I473">
        <v>446</v>
      </c>
      <c r="J473" t="s">
        <v>14</v>
      </c>
      <c r="K473" s="4">
        <f>IF(AND(ISNUMBER(Raw_Data[[#This Row],[Opening_Stock]]),ISNUMBER(Raw_Data[[#This Row],[Units_Sold]]),Raw_Data[[#This Row],[Opening_Stock]]&gt;0),Raw_Data[[#This Row],[Units_Sold]]/Raw_Data[[#This Row],[Opening_Stock]],"")</f>
        <v>0.80769230769230771</v>
      </c>
      <c r="L473" t="str">
        <f>IF(NOT(ISNUMBER(Raw_Data[[#This Row],[Sell_through%]])),"Check",IF(Raw_Data[[#This Row],[Sell_through%]]=0,"Non-moving",IF(Raw_Data[[#This Row],[Sell_through%]]&gt;=0.6,"Fast","Slow")))</f>
        <v>Fast</v>
      </c>
      <c r="M473">
        <f>IF(AND(ISNUMBER(Raw_Data[[#This Row],[Closing_Stock]]),ISNUMBER(Raw_Data[[#This Row],[Unit_Cost]])),Raw_Data[[#This Row],[Closing_Stock]]*Raw_Data[[#This Row],[Unit_Cost]],"")</f>
        <v>28990</v>
      </c>
      <c r="N47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74" spans="1:14" x14ac:dyDescent="0.3">
      <c r="A474" t="s">
        <v>748</v>
      </c>
      <c r="B474" t="s">
        <v>146</v>
      </c>
      <c r="D474" t="s">
        <v>32</v>
      </c>
      <c r="E474" s="3">
        <v>46257</v>
      </c>
      <c r="F474">
        <v>99</v>
      </c>
      <c r="G474">
        <v>8</v>
      </c>
      <c r="H474">
        <v>91</v>
      </c>
      <c r="I474">
        <v>823</v>
      </c>
      <c r="J474" t="s">
        <v>14</v>
      </c>
      <c r="K474" s="4">
        <f>IF(AND(ISNUMBER(Raw_Data[[#This Row],[Opening_Stock]]),ISNUMBER(Raw_Data[[#This Row],[Units_Sold]]),Raw_Data[[#This Row],[Opening_Stock]]&gt;0),Raw_Data[[#This Row],[Units_Sold]]/Raw_Data[[#This Row],[Opening_Stock]],"")</f>
        <v>8.0808080808080815E-2</v>
      </c>
      <c r="L474" t="str">
        <f>IF(NOT(ISNUMBER(Raw_Data[[#This Row],[Sell_through%]])),"Check",IF(Raw_Data[[#This Row],[Sell_through%]]=0,"Non-moving",IF(Raw_Data[[#This Row],[Sell_through%]]&gt;=0.6,"Fast","Slow")))</f>
        <v>Slow</v>
      </c>
      <c r="M474">
        <f>IF(AND(ISNUMBER(Raw_Data[[#This Row],[Closing_Stock]]),ISNUMBER(Raw_Data[[#This Row],[Unit_Cost]])),Raw_Data[[#This Row],[Closing_Stock]]*Raw_Data[[#This Row],[Unit_Cost]],"")</f>
        <v>74893</v>
      </c>
      <c r="N47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75" spans="1:14" x14ac:dyDescent="0.3">
      <c r="A475" t="s">
        <v>749</v>
      </c>
      <c r="B475" t="s">
        <v>240</v>
      </c>
      <c r="C475" t="s">
        <v>49</v>
      </c>
      <c r="D475" t="s">
        <v>21</v>
      </c>
      <c r="E475" s="3"/>
      <c r="F475">
        <v>165</v>
      </c>
      <c r="G475">
        <v>0</v>
      </c>
      <c r="H475">
        <v>165</v>
      </c>
      <c r="I475">
        <v>1998</v>
      </c>
      <c r="J475" t="s">
        <v>14</v>
      </c>
      <c r="K475" s="4">
        <f>IF(AND(ISNUMBER(Raw_Data[[#This Row],[Opening_Stock]]),ISNUMBER(Raw_Data[[#This Row],[Units_Sold]]),Raw_Data[[#This Row],[Opening_Stock]]&gt;0),Raw_Data[[#This Row],[Units_Sold]]/Raw_Data[[#This Row],[Opening_Stock]],"")</f>
        <v>0</v>
      </c>
      <c r="L475" t="str">
        <f>IF(NOT(ISNUMBER(Raw_Data[[#This Row],[Sell_through%]])),"Check",IF(Raw_Data[[#This Row],[Sell_through%]]=0,"Non-moving",IF(Raw_Data[[#This Row],[Sell_through%]]&gt;=0.6,"Fast","Slow")))</f>
        <v>Non-moving</v>
      </c>
      <c r="M475">
        <f>IF(AND(ISNUMBER(Raw_Data[[#This Row],[Closing_Stock]]),ISNUMBER(Raw_Data[[#This Row],[Unit_Cost]])),Raw_Data[[#This Row],[Closing_Stock]]*Raw_Data[[#This Row],[Unit_Cost]],"")</f>
        <v>329670</v>
      </c>
      <c r="N47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76" spans="1:14" x14ac:dyDescent="0.3">
      <c r="A476" t="s">
        <v>750</v>
      </c>
      <c r="B476" t="s">
        <v>142</v>
      </c>
      <c r="C476" t="s">
        <v>49</v>
      </c>
      <c r="D476" t="s">
        <v>32</v>
      </c>
      <c r="E476" s="3">
        <v>46110</v>
      </c>
      <c r="F476">
        <v>143</v>
      </c>
      <c r="G476">
        <v>46</v>
      </c>
      <c r="H476">
        <v>97</v>
      </c>
      <c r="I476">
        <v>165</v>
      </c>
      <c r="J476" t="s">
        <v>14</v>
      </c>
      <c r="K476" s="4">
        <f>IF(AND(ISNUMBER(Raw_Data[[#This Row],[Opening_Stock]]),ISNUMBER(Raw_Data[[#This Row],[Units_Sold]]),Raw_Data[[#This Row],[Opening_Stock]]&gt;0),Raw_Data[[#This Row],[Units_Sold]]/Raw_Data[[#This Row],[Opening_Stock]],"")</f>
        <v>0.32167832167832167</v>
      </c>
      <c r="L476" t="str">
        <f>IF(NOT(ISNUMBER(Raw_Data[[#This Row],[Sell_through%]])),"Check",IF(Raw_Data[[#This Row],[Sell_through%]]=0,"Non-moving",IF(Raw_Data[[#This Row],[Sell_through%]]&gt;=0.6,"Fast","Slow")))</f>
        <v>Slow</v>
      </c>
      <c r="M476">
        <f>IF(AND(ISNUMBER(Raw_Data[[#This Row],[Closing_Stock]]),ISNUMBER(Raw_Data[[#This Row],[Unit_Cost]])),Raw_Data[[#This Row],[Closing_Stock]]*Raw_Data[[#This Row],[Unit_Cost]],"")</f>
        <v>16005</v>
      </c>
      <c r="N47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77" spans="1:14" x14ac:dyDescent="0.3">
      <c r="A477" t="s">
        <v>751</v>
      </c>
      <c r="B477" t="s">
        <v>499</v>
      </c>
      <c r="C477" t="s">
        <v>28</v>
      </c>
      <c r="D477" t="s">
        <v>13</v>
      </c>
      <c r="E477" s="3"/>
      <c r="F477">
        <v>283</v>
      </c>
      <c r="G477">
        <v>5</v>
      </c>
      <c r="H477">
        <v>283</v>
      </c>
      <c r="I477">
        <v>2455</v>
      </c>
      <c r="J477" t="s">
        <v>14</v>
      </c>
      <c r="K477" s="4">
        <f>IF(AND(ISNUMBER(Raw_Data[[#This Row],[Opening_Stock]]),ISNUMBER(Raw_Data[[#This Row],[Units_Sold]]),Raw_Data[[#This Row],[Opening_Stock]]&gt;0),Raw_Data[[#This Row],[Units_Sold]]/Raw_Data[[#This Row],[Opening_Stock]],"")</f>
        <v>1.7667844522968199E-2</v>
      </c>
      <c r="L477" t="str">
        <f>IF(NOT(ISNUMBER(Raw_Data[[#This Row],[Sell_through%]])),"Check",IF(Raw_Data[[#This Row],[Sell_through%]]=0,"Non-moving",IF(Raw_Data[[#This Row],[Sell_through%]]&gt;=0.6,"Fast","Slow")))</f>
        <v>Slow</v>
      </c>
      <c r="M477">
        <f>IF(AND(ISNUMBER(Raw_Data[[#This Row],[Closing_Stock]]),ISNUMBER(Raw_Data[[#This Row],[Unit_Cost]])),Raw_Data[[#This Row],[Closing_Stock]]*Raw_Data[[#This Row],[Unit_Cost]],"")</f>
        <v>694765</v>
      </c>
      <c r="N47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78" spans="1:14" x14ac:dyDescent="0.3">
      <c r="A478" t="s">
        <v>753</v>
      </c>
      <c r="B478" t="s">
        <v>294</v>
      </c>
      <c r="C478" t="s">
        <v>35</v>
      </c>
      <c r="D478" t="s">
        <v>32</v>
      </c>
      <c r="E478" s="3">
        <v>46098</v>
      </c>
      <c r="F478">
        <v>435</v>
      </c>
      <c r="G478">
        <v>422</v>
      </c>
      <c r="H478">
        <v>13</v>
      </c>
      <c r="I478">
        <v>771</v>
      </c>
      <c r="J478" t="s">
        <v>17</v>
      </c>
      <c r="K478" s="4">
        <f>IF(AND(ISNUMBER(Raw_Data[[#This Row],[Opening_Stock]]),ISNUMBER(Raw_Data[[#This Row],[Units_Sold]]),Raw_Data[[#This Row],[Opening_Stock]]&gt;0),Raw_Data[[#This Row],[Units_Sold]]/Raw_Data[[#This Row],[Opening_Stock]],"")</f>
        <v>0.97011494252873565</v>
      </c>
      <c r="L478" t="str">
        <f>IF(NOT(ISNUMBER(Raw_Data[[#This Row],[Sell_through%]])),"Check",IF(Raw_Data[[#This Row],[Sell_through%]]=0,"Non-moving",IF(Raw_Data[[#This Row],[Sell_through%]]&gt;=0.6,"Fast","Slow")))</f>
        <v>Fast</v>
      </c>
      <c r="M478">
        <f>IF(AND(ISNUMBER(Raw_Data[[#This Row],[Closing_Stock]]),ISNUMBER(Raw_Data[[#This Row],[Unit_Cost]])),Raw_Data[[#This Row],[Closing_Stock]]*Raw_Data[[#This Row],[Unit_Cost]],"")</f>
        <v>10023</v>
      </c>
      <c r="N47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79" spans="1:14" x14ac:dyDescent="0.3">
      <c r="A479" t="s">
        <v>754</v>
      </c>
      <c r="B479" t="s">
        <v>158</v>
      </c>
      <c r="C479" t="s">
        <v>31</v>
      </c>
      <c r="D479" t="s">
        <v>21</v>
      </c>
      <c r="E479" s="3">
        <v>46201</v>
      </c>
      <c r="F479">
        <v>458</v>
      </c>
      <c r="G479">
        <v>24</v>
      </c>
      <c r="H479">
        <v>434</v>
      </c>
      <c r="I479">
        <v>2168</v>
      </c>
      <c r="J479" t="s">
        <v>14</v>
      </c>
      <c r="K479" s="4">
        <f>IF(AND(ISNUMBER(Raw_Data[[#This Row],[Opening_Stock]]),ISNUMBER(Raw_Data[[#This Row],[Units_Sold]]),Raw_Data[[#This Row],[Opening_Stock]]&gt;0),Raw_Data[[#This Row],[Units_Sold]]/Raw_Data[[#This Row],[Opening_Stock]],"")</f>
        <v>5.2401746724890827E-2</v>
      </c>
      <c r="L479" t="str">
        <f>IF(NOT(ISNUMBER(Raw_Data[[#This Row],[Sell_through%]])),"Check",IF(Raw_Data[[#This Row],[Sell_through%]]=0,"Non-moving",IF(Raw_Data[[#This Row],[Sell_through%]]&gt;=0.6,"Fast","Slow")))</f>
        <v>Slow</v>
      </c>
      <c r="M479">
        <f>IF(AND(ISNUMBER(Raw_Data[[#This Row],[Closing_Stock]]),ISNUMBER(Raw_Data[[#This Row],[Unit_Cost]])),Raw_Data[[#This Row],[Closing_Stock]]*Raw_Data[[#This Row],[Unit_Cost]],"")</f>
        <v>940912</v>
      </c>
      <c r="N47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80" spans="1:14" x14ac:dyDescent="0.3">
      <c r="A480" t="s">
        <v>755</v>
      </c>
      <c r="B480" t="s">
        <v>499</v>
      </c>
      <c r="C480" t="s">
        <v>28</v>
      </c>
      <c r="D480" t="s">
        <v>36</v>
      </c>
      <c r="E480" s="3"/>
      <c r="F480">
        <v>193</v>
      </c>
      <c r="G480">
        <v>0</v>
      </c>
      <c r="H480">
        <v>193</v>
      </c>
      <c r="I480">
        <v>1417</v>
      </c>
      <c r="J480" t="s">
        <v>14</v>
      </c>
      <c r="K480" s="4">
        <f>IF(AND(ISNUMBER(Raw_Data[[#This Row],[Opening_Stock]]),ISNUMBER(Raw_Data[[#This Row],[Units_Sold]]),Raw_Data[[#This Row],[Opening_Stock]]&gt;0),Raw_Data[[#This Row],[Units_Sold]]/Raw_Data[[#This Row],[Opening_Stock]],"")</f>
        <v>0</v>
      </c>
      <c r="L480" t="str">
        <f>IF(NOT(ISNUMBER(Raw_Data[[#This Row],[Sell_through%]])),"Check",IF(Raw_Data[[#This Row],[Sell_through%]]=0,"Non-moving",IF(Raw_Data[[#This Row],[Sell_through%]]&gt;=0.6,"Fast","Slow")))</f>
        <v>Non-moving</v>
      </c>
      <c r="M480">
        <f>IF(AND(ISNUMBER(Raw_Data[[#This Row],[Closing_Stock]]),ISNUMBER(Raw_Data[[#This Row],[Unit_Cost]])),Raw_Data[[#This Row],[Closing_Stock]]*Raw_Data[[#This Row],[Unit_Cost]],"")</f>
        <v>273481</v>
      </c>
      <c r="N48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81" spans="1:14" x14ac:dyDescent="0.3">
      <c r="A481" t="s">
        <v>756</v>
      </c>
      <c r="B481" t="s">
        <v>1343</v>
      </c>
      <c r="C481" t="s">
        <v>28</v>
      </c>
      <c r="D481" t="s">
        <v>32</v>
      </c>
      <c r="E481" s="3"/>
      <c r="F481">
        <v>210</v>
      </c>
      <c r="G481">
        <v>0</v>
      </c>
      <c r="H481">
        <v>210</v>
      </c>
      <c r="I481">
        <v>1347</v>
      </c>
      <c r="J481" t="s">
        <v>14</v>
      </c>
      <c r="K481" s="4">
        <f>IF(AND(ISNUMBER(Raw_Data[[#This Row],[Opening_Stock]]),ISNUMBER(Raw_Data[[#This Row],[Units_Sold]]),Raw_Data[[#This Row],[Opening_Stock]]&gt;0),Raw_Data[[#This Row],[Units_Sold]]/Raw_Data[[#This Row],[Opening_Stock]],"")</f>
        <v>0</v>
      </c>
      <c r="L481" t="str">
        <f>IF(NOT(ISNUMBER(Raw_Data[[#This Row],[Sell_through%]])),"Check",IF(Raw_Data[[#This Row],[Sell_through%]]=0,"Non-moving",IF(Raw_Data[[#This Row],[Sell_through%]]&gt;=0.6,"Fast","Slow")))</f>
        <v>Non-moving</v>
      </c>
      <c r="M481">
        <f>IF(AND(ISNUMBER(Raw_Data[[#This Row],[Closing_Stock]]),ISNUMBER(Raw_Data[[#This Row],[Unit_Cost]])),Raw_Data[[#This Row],[Closing_Stock]]*Raw_Data[[#This Row],[Unit_Cost]],"")</f>
        <v>282870</v>
      </c>
      <c r="N48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82" spans="1:14" x14ac:dyDescent="0.3">
      <c r="A482" t="s">
        <v>759</v>
      </c>
      <c r="B482" t="s">
        <v>16</v>
      </c>
      <c r="C482" t="s">
        <v>12</v>
      </c>
      <c r="D482" t="s">
        <v>32</v>
      </c>
      <c r="E482" s="3">
        <v>46294</v>
      </c>
      <c r="F482">
        <v>132</v>
      </c>
      <c r="G482">
        <v>108</v>
      </c>
      <c r="H482">
        <v>24</v>
      </c>
      <c r="I482">
        <v>2303</v>
      </c>
      <c r="J482" t="s">
        <v>17</v>
      </c>
      <c r="K482" s="4">
        <f>IF(AND(ISNUMBER(Raw_Data[[#This Row],[Opening_Stock]]),ISNUMBER(Raw_Data[[#This Row],[Units_Sold]]),Raw_Data[[#This Row],[Opening_Stock]]&gt;0),Raw_Data[[#This Row],[Units_Sold]]/Raw_Data[[#This Row],[Opening_Stock]],"")</f>
        <v>0.81818181818181823</v>
      </c>
      <c r="L482" t="str">
        <f>IF(NOT(ISNUMBER(Raw_Data[[#This Row],[Sell_through%]])),"Check",IF(Raw_Data[[#This Row],[Sell_through%]]=0,"Non-moving",IF(Raw_Data[[#This Row],[Sell_through%]]&gt;=0.6,"Fast","Slow")))</f>
        <v>Fast</v>
      </c>
      <c r="M482">
        <f>IF(AND(ISNUMBER(Raw_Data[[#This Row],[Closing_Stock]]),ISNUMBER(Raw_Data[[#This Row],[Unit_Cost]])),Raw_Data[[#This Row],[Closing_Stock]]*Raw_Data[[#This Row],[Unit_Cost]],"")</f>
        <v>55272</v>
      </c>
      <c r="N482"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83" spans="1:14" x14ac:dyDescent="0.3">
      <c r="A483" t="s">
        <v>761</v>
      </c>
      <c r="B483" t="s">
        <v>324</v>
      </c>
      <c r="C483" t="s">
        <v>31</v>
      </c>
      <c r="D483" t="s">
        <v>36</v>
      </c>
      <c r="E483" s="3"/>
      <c r="F483">
        <v>389</v>
      </c>
      <c r="G483">
        <v>0</v>
      </c>
      <c r="H483">
        <v>389</v>
      </c>
      <c r="J483" t="s">
        <v>14</v>
      </c>
      <c r="K483" s="4">
        <f>IF(AND(ISNUMBER(Raw_Data[[#This Row],[Opening_Stock]]),ISNUMBER(Raw_Data[[#This Row],[Units_Sold]]),Raw_Data[[#This Row],[Opening_Stock]]&gt;0),Raw_Data[[#This Row],[Units_Sold]]/Raw_Data[[#This Row],[Opening_Stock]],"")</f>
        <v>0</v>
      </c>
      <c r="L483" t="str">
        <f>IF(NOT(ISNUMBER(Raw_Data[[#This Row],[Sell_through%]])),"Check",IF(Raw_Data[[#This Row],[Sell_through%]]=0,"Non-moving",IF(Raw_Data[[#This Row],[Sell_through%]]&gt;=0.6,"Fast","Slow")))</f>
        <v>Non-moving</v>
      </c>
      <c r="M483" t="str">
        <f>IF(AND(ISNUMBER(Raw_Data[[#This Row],[Closing_Stock]]),ISNUMBER(Raw_Data[[#This Row],[Unit_Cost]])),Raw_Data[[#This Row],[Closing_Stock]]*Raw_Data[[#This Row],[Unit_Cost]],"")</f>
        <v/>
      </c>
      <c r="N48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84" spans="1:14" x14ac:dyDescent="0.3">
      <c r="A484" t="s">
        <v>762</v>
      </c>
      <c r="B484" t="s">
        <v>551</v>
      </c>
      <c r="C484" t="s">
        <v>12</v>
      </c>
      <c r="D484" t="s">
        <v>36</v>
      </c>
      <c r="E484" s="3">
        <v>46240</v>
      </c>
      <c r="F484">
        <v>488</v>
      </c>
      <c r="G484">
        <v>349</v>
      </c>
      <c r="H484">
        <v>139</v>
      </c>
      <c r="I484">
        <v>61</v>
      </c>
      <c r="J484" t="s">
        <v>14</v>
      </c>
      <c r="K484" s="4">
        <f>IF(AND(ISNUMBER(Raw_Data[[#This Row],[Opening_Stock]]),ISNUMBER(Raw_Data[[#This Row],[Units_Sold]]),Raw_Data[[#This Row],[Opening_Stock]]&gt;0),Raw_Data[[#This Row],[Units_Sold]]/Raw_Data[[#This Row],[Opening_Stock]],"")</f>
        <v>0.7151639344262295</v>
      </c>
      <c r="L484" t="str">
        <f>IF(NOT(ISNUMBER(Raw_Data[[#This Row],[Sell_through%]])),"Check",IF(Raw_Data[[#This Row],[Sell_through%]]=0,"Non-moving",IF(Raw_Data[[#This Row],[Sell_through%]]&gt;=0.6,"Fast","Slow")))</f>
        <v>Fast</v>
      </c>
      <c r="M484">
        <f>IF(AND(ISNUMBER(Raw_Data[[#This Row],[Closing_Stock]]),ISNUMBER(Raw_Data[[#This Row],[Unit_Cost]])),Raw_Data[[#This Row],[Closing_Stock]]*Raw_Data[[#This Row],[Unit_Cost]],"")</f>
        <v>8479</v>
      </c>
      <c r="N48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85" spans="1:14" x14ac:dyDescent="0.3">
      <c r="A485" t="s">
        <v>763</v>
      </c>
      <c r="B485" t="s">
        <v>95</v>
      </c>
      <c r="C485" t="s">
        <v>31</v>
      </c>
      <c r="D485" t="s">
        <v>32</v>
      </c>
      <c r="E485" s="3">
        <v>46114</v>
      </c>
      <c r="F485">
        <v>237</v>
      </c>
      <c r="G485">
        <v>201</v>
      </c>
      <c r="H485">
        <v>36</v>
      </c>
      <c r="I485">
        <v>949</v>
      </c>
      <c r="J485" t="s">
        <v>17</v>
      </c>
      <c r="K485" s="4">
        <f>IF(AND(ISNUMBER(Raw_Data[[#This Row],[Opening_Stock]]),ISNUMBER(Raw_Data[[#This Row],[Units_Sold]]),Raw_Data[[#This Row],[Opening_Stock]]&gt;0),Raw_Data[[#This Row],[Units_Sold]]/Raw_Data[[#This Row],[Opening_Stock]],"")</f>
        <v>0.84810126582278478</v>
      </c>
      <c r="L485" t="str">
        <f>IF(NOT(ISNUMBER(Raw_Data[[#This Row],[Sell_through%]])),"Check",IF(Raw_Data[[#This Row],[Sell_through%]]=0,"Non-moving",IF(Raw_Data[[#This Row],[Sell_through%]]&gt;=0.6,"Fast","Slow")))</f>
        <v>Fast</v>
      </c>
      <c r="M485">
        <f>IF(AND(ISNUMBER(Raw_Data[[#This Row],[Closing_Stock]]),ISNUMBER(Raw_Data[[#This Row],[Unit_Cost]])),Raw_Data[[#This Row],[Closing_Stock]]*Raw_Data[[#This Row],[Unit_Cost]],"")</f>
        <v>34164</v>
      </c>
      <c r="N485"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86" spans="1:14" x14ac:dyDescent="0.3">
      <c r="A486" t="s">
        <v>764</v>
      </c>
      <c r="B486" t="s">
        <v>41</v>
      </c>
      <c r="C486" t="s">
        <v>49</v>
      </c>
      <c r="D486" t="s">
        <v>36</v>
      </c>
      <c r="E486" s="3">
        <v>46070</v>
      </c>
      <c r="F486">
        <v>170</v>
      </c>
      <c r="G486">
        <v>33</v>
      </c>
      <c r="H486">
        <v>142</v>
      </c>
      <c r="I486">
        <v>221</v>
      </c>
      <c r="J486" t="s">
        <v>14</v>
      </c>
      <c r="K486" s="4">
        <f>IF(AND(ISNUMBER(Raw_Data[[#This Row],[Opening_Stock]]),ISNUMBER(Raw_Data[[#This Row],[Units_Sold]]),Raw_Data[[#This Row],[Opening_Stock]]&gt;0),Raw_Data[[#This Row],[Units_Sold]]/Raw_Data[[#This Row],[Opening_Stock]],"")</f>
        <v>0.19411764705882353</v>
      </c>
      <c r="L486" t="str">
        <f>IF(NOT(ISNUMBER(Raw_Data[[#This Row],[Sell_through%]])),"Check",IF(Raw_Data[[#This Row],[Sell_through%]]=0,"Non-moving",IF(Raw_Data[[#This Row],[Sell_through%]]&gt;=0.6,"Fast","Slow")))</f>
        <v>Slow</v>
      </c>
      <c r="M486">
        <f>IF(AND(ISNUMBER(Raw_Data[[#This Row],[Closing_Stock]]),ISNUMBER(Raw_Data[[#This Row],[Unit_Cost]])),Raw_Data[[#This Row],[Closing_Stock]]*Raw_Data[[#This Row],[Unit_Cost]],"")</f>
        <v>31382</v>
      </c>
      <c r="N48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87" spans="1:14" x14ac:dyDescent="0.3">
      <c r="A487" t="s">
        <v>765</v>
      </c>
      <c r="B487" t="s">
        <v>93</v>
      </c>
      <c r="C487" t="s">
        <v>12</v>
      </c>
      <c r="D487" t="s">
        <v>32</v>
      </c>
      <c r="E487" s="3">
        <v>46059</v>
      </c>
      <c r="F487">
        <v>209</v>
      </c>
      <c r="G487">
        <v>66</v>
      </c>
      <c r="I487">
        <v>2732</v>
      </c>
      <c r="J487" t="s">
        <v>14</v>
      </c>
      <c r="K487" s="4">
        <f>IF(AND(ISNUMBER(Raw_Data[[#This Row],[Opening_Stock]]),ISNUMBER(Raw_Data[[#This Row],[Units_Sold]]),Raw_Data[[#This Row],[Opening_Stock]]&gt;0),Raw_Data[[#This Row],[Units_Sold]]/Raw_Data[[#This Row],[Opening_Stock]],"")</f>
        <v>0.31578947368421051</v>
      </c>
      <c r="L487" t="str">
        <f>IF(NOT(ISNUMBER(Raw_Data[[#This Row],[Sell_through%]])),"Check",IF(Raw_Data[[#This Row],[Sell_through%]]=0,"Non-moving",IF(Raw_Data[[#This Row],[Sell_through%]]&gt;=0.6,"Fast","Slow")))</f>
        <v>Slow</v>
      </c>
      <c r="M487" t="str">
        <f>IF(AND(ISNUMBER(Raw_Data[[#This Row],[Closing_Stock]]),ISNUMBER(Raw_Data[[#This Row],[Unit_Cost]])),Raw_Data[[#This Row],[Closing_Stock]]*Raw_Data[[#This Row],[Unit_Cost]],"")</f>
        <v/>
      </c>
      <c r="N48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88" spans="1:14" x14ac:dyDescent="0.3">
      <c r="A488" t="s">
        <v>767</v>
      </c>
      <c r="B488" t="s">
        <v>48</v>
      </c>
      <c r="C488" t="s">
        <v>49</v>
      </c>
      <c r="D488" t="s">
        <v>32</v>
      </c>
      <c r="E488" s="3">
        <v>46108</v>
      </c>
      <c r="F488">
        <v>140</v>
      </c>
      <c r="G488">
        <v>139</v>
      </c>
      <c r="H488">
        <v>1</v>
      </c>
      <c r="I488">
        <v>916</v>
      </c>
      <c r="J488" t="s">
        <v>17</v>
      </c>
      <c r="K488" s="4">
        <f>IF(AND(ISNUMBER(Raw_Data[[#This Row],[Opening_Stock]]),ISNUMBER(Raw_Data[[#This Row],[Units_Sold]]),Raw_Data[[#This Row],[Opening_Stock]]&gt;0),Raw_Data[[#This Row],[Units_Sold]]/Raw_Data[[#This Row],[Opening_Stock]],"")</f>
        <v>0.99285714285714288</v>
      </c>
      <c r="L488" t="str">
        <f>IF(NOT(ISNUMBER(Raw_Data[[#This Row],[Sell_through%]])),"Check",IF(Raw_Data[[#This Row],[Sell_through%]]=0,"Non-moving",IF(Raw_Data[[#This Row],[Sell_through%]]&gt;=0.6,"Fast","Slow")))</f>
        <v>Fast</v>
      </c>
      <c r="M488">
        <f>IF(AND(ISNUMBER(Raw_Data[[#This Row],[Closing_Stock]]),ISNUMBER(Raw_Data[[#This Row],[Unit_Cost]])),Raw_Data[[#This Row],[Closing_Stock]]*Raw_Data[[#This Row],[Unit_Cost]],"")</f>
        <v>916</v>
      </c>
      <c r="N48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89" spans="1:14" x14ac:dyDescent="0.3">
      <c r="A489" t="s">
        <v>768</v>
      </c>
      <c r="B489" t="s">
        <v>62</v>
      </c>
      <c r="C489" t="s">
        <v>49</v>
      </c>
      <c r="D489" t="s">
        <v>13</v>
      </c>
      <c r="E489" s="3">
        <v>46064</v>
      </c>
      <c r="F489">
        <v>410</v>
      </c>
      <c r="G489">
        <v>377</v>
      </c>
      <c r="H489">
        <v>33</v>
      </c>
      <c r="I489">
        <v>1805</v>
      </c>
      <c r="J489" t="s">
        <v>17</v>
      </c>
      <c r="K489" s="4">
        <f>IF(AND(ISNUMBER(Raw_Data[[#This Row],[Opening_Stock]]),ISNUMBER(Raw_Data[[#This Row],[Units_Sold]]),Raw_Data[[#This Row],[Opening_Stock]]&gt;0),Raw_Data[[#This Row],[Units_Sold]]/Raw_Data[[#This Row],[Opening_Stock]],"")</f>
        <v>0.91951219512195126</v>
      </c>
      <c r="L489" t="str">
        <f>IF(NOT(ISNUMBER(Raw_Data[[#This Row],[Sell_through%]])),"Check",IF(Raw_Data[[#This Row],[Sell_through%]]=0,"Non-moving",IF(Raw_Data[[#This Row],[Sell_through%]]&gt;=0.6,"Fast","Slow")))</f>
        <v>Fast</v>
      </c>
      <c r="M489">
        <f>IF(AND(ISNUMBER(Raw_Data[[#This Row],[Closing_Stock]]),ISNUMBER(Raw_Data[[#This Row],[Unit_Cost]])),Raw_Data[[#This Row],[Closing_Stock]]*Raw_Data[[#This Row],[Unit_Cost]],"")</f>
        <v>59565</v>
      </c>
      <c r="N48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90" spans="1:14" x14ac:dyDescent="0.3">
      <c r="A490" t="s">
        <v>769</v>
      </c>
      <c r="B490" t="s">
        <v>284</v>
      </c>
      <c r="C490" t="s">
        <v>49</v>
      </c>
      <c r="D490" t="s">
        <v>32</v>
      </c>
      <c r="E490" s="3"/>
      <c r="F490">
        <v>423</v>
      </c>
      <c r="G490">
        <v>0</v>
      </c>
      <c r="H490">
        <v>423</v>
      </c>
      <c r="I490">
        <v>2197</v>
      </c>
      <c r="J490" t="s">
        <v>14</v>
      </c>
      <c r="K490" s="4">
        <f>IF(AND(ISNUMBER(Raw_Data[[#This Row],[Opening_Stock]]),ISNUMBER(Raw_Data[[#This Row],[Units_Sold]]),Raw_Data[[#This Row],[Opening_Stock]]&gt;0),Raw_Data[[#This Row],[Units_Sold]]/Raw_Data[[#This Row],[Opening_Stock]],"")</f>
        <v>0</v>
      </c>
      <c r="L490" t="str">
        <f>IF(NOT(ISNUMBER(Raw_Data[[#This Row],[Sell_through%]])),"Check",IF(Raw_Data[[#This Row],[Sell_through%]]=0,"Non-moving",IF(Raw_Data[[#This Row],[Sell_through%]]&gt;=0.6,"Fast","Slow")))</f>
        <v>Non-moving</v>
      </c>
      <c r="M490">
        <f>IF(AND(ISNUMBER(Raw_Data[[#This Row],[Closing_Stock]]),ISNUMBER(Raw_Data[[#This Row],[Unit_Cost]])),Raw_Data[[#This Row],[Closing_Stock]]*Raw_Data[[#This Row],[Unit_Cost]],"")</f>
        <v>929331</v>
      </c>
      <c r="N49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91" spans="1:14" x14ac:dyDescent="0.3">
      <c r="A491" t="s">
        <v>771</v>
      </c>
      <c r="B491" t="s">
        <v>479</v>
      </c>
      <c r="C491" t="s">
        <v>31</v>
      </c>
      <c r="D491" t="s">
        <v>32</v>
      </c>
      <c r="E491" s="3">
        <v>46108</v>
      </c>
      <c r="F491">
        <v>309</v>
      </c>
      <c r="G491">
        <v>286</v>
      </c>
      <c r="H491">
        <v>23</v>
      </c>
      <c r="I491">
        <v>1156</v>
      </c>
      <c r="J491" t="s">
        <v>17</v>
      </c>
      <c r="K491" s="4">
        <f>IF(AND(ISNUMBER(Raw_Data[[#This Row],[Opening_Stock]]),ISNUMBER(Raw_Data[[#This Row],[Units_Sold]]),Raw_Data[[#This Row],[Opening_Stock]]&gt;0),Raw_Data[[#This Row],[Units_Sold]]/Raw_Data[[#This Row],[Opening_Stock]],"")</f>
        <v>0.92556634304207119</v>
      </c>
      <c r="L491" t="str">
        <f>IF(NOT(ISNUMBER(Raw_Data[[#This Row],[Sell_through%]])),"Check",IF(Raw_Data[[#This Row],[Sell_through%]]=0,"Non-moving",IF(Raw_Data[[#This Row],[Sell_through%]]&gt;=0.6,"Fast","Slow")))</f>
        <v>Fast</v>
      </c>
      <c r="M491">
        <f>IF(AND(ISNUMBER(Raw_Data[[#This Row],[Closing_Stock]]),ISNUMBER(Raw_Data[[#This Row],[Unit_Cost]])),Raw_Data[[#This Row],[Closing_Stock]]*Raw_Data[[#This Row],[Unit_Cost]],"")</f>
        <v>26588</v>
      </c>
      <c r="N49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492" spans="1:14" x14ac:dyDescent="0.3">
      <c r="A492" t="s">
        <v>772</v>
      </c>
      <c r="B492" t="s">
        <v>93</v>
      </c>
      <c r="C492" t="s">
        <v>12</v>
      </c>
      <c r="D492" t="s">
        <v>36</v>
      </c>
      <c r="E492" s="3">
        <v>46127</v>
      </c>
      <c r="F492">
        <v>283</v>
      </c>
      <c r="G492">
        <v>101</v>
      </c>
      <c r="H492">
        <v>182</v>
      </c>
      <c r="I492">
        <v>199</v>
      </c>
      <c r="J492" t="s">
        <v>14</v>
      </c>
      <c r="K492" s="4">
        <f>IF(AND(ISNUMBER(Raw_Data[[#This Row],[Opening_Stock]]),ISNUMBER(Raw_Data[[#This Row],[Units_Sold]]),Raw_Data[[#This Row],[Opening_Stock]]&gt;0),Raw_Data[[#This Row],[Units_Sold]]/Raw_Data[[#This Row],[Opening_Stock]],"")</f>
        <v>0.35689045936395758</v>
      </c>
      <c r="L492" t="str">
        <f>IF(NOT(ISNUMBER(Raw_Data[[#This Row],[Sell_through%]])),"Check",IF(Raw_Data[[#This Row],[Sell_through%]]=0,"Non-moving",IF(Raw_Data[[#This Row],[Sell_through%]]&gt;=0.6,"Fast","Slow")))</f>
        <v>Slow</v>
      </c>
      <c r="M492">
        <f>IF(AND(ISNUMBER(Raw_Data[[#This Row],[Closing_Stock]]),ISNUMBER(Raw_Data[[#This Row],[Unit_Cost]])),Raw_Data[[#This Row],[Closing_Stock]]*Raw_Data[[#This Row],[Unit_Cost]],"")</f>
        <v>36218</v>
      </c>
      <c r="N49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93" spans="1:14" x14ac:dyDescent="0.3">
      <c r="A493" t="s">
        <v>773</v>
      </c>
      <c r="B493" t="s">
        <v>67</v>
      </c>
      <c r="C493" t="s">
        <v>31</v>
      </c>
      <c r="D493" t="s">
        <v>32</v>
      </c>
      <c r="E493" s="3">
        <v>46290</v>
      </c>
      <c r="F493">
        <v>431</v>
      </c>
      <c r="G493">
        <v>46</v>
      </c>
      <c r="H493">
        <v>385</v>
      </c>
      <c r="I493">
        <v>121</v>
      </c>
      <c r="J493" t="s">
        <v>14</v>
      </c>
      <c r="K493" s="4">
        <f>IF(AND(ISNUMBER(Raw_Data[[#This Row],[Opening_Stock]]),ISNUMBER(Raw_Data[[#This Row],[Units_Sold]]),Raw_Data[[#This Row],[Opening_Stock]]&gt;0),Raw_Data[[#This Row],[Units_Sold]]/Raw_Data[[#This Row],[Opening_Stock]],"")</f>
        <v>0.10672853828306264</v>
      </c>
      <c r="L493" t="str">
        <f>IF(NOT(ISNUMBER(Raw_Data[[#This Row],[Sell_through%]])),"Check",IF(Raw_Data[[#This Row],[Sell_through%]]=0,"Non-moving",IF(Raw_Data[[#This Row],[Sell_through%]]&gt;=0.6,"Fast","Slow")))</f>
        <v>Slow</v>
      </c>
      <c r="M493">
        <f>IF(AND(ISNUMBER(Raw_Data[[#This Row],[Closing_Stock]]),ISNUMBER(Raw_Data[[#This Row],[Unit_Cost]])),Raw_Data[[#This Row],[Closing_Stock]]*Raw_Data[[#This Row],[Unit_Cost]],"")</f>
        <v>46585</v>
      </c>
      <c r="N49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94" spans="1:14" x14ac:dyDescent="0.3">
      <c r="A494" t="s">
        <v>774</v>
      </c>
      <c r="B494" t="s">
        <v>234</v>
      </c>
      <c r="C494" t="s">
        <v>28</v>
      </c>
      <c r="D494" t="s">
        <v>32</v>
      </c>
      <c r="E494" s="3">
        <v>46265</v>
      </c>
      <c r="F494">
        <v>273</v>
      </c>
      <c r="G494">
        <v>192</v>
      </c>
      <c r="H494">
        <v>81</v>
      </c>
      <c r="I494">
        <v>617</v>
      </c>
      <c r="J494" t="s">
        <v>14</v>
      </c>
      <c r="K494" s="4">
        <f>IF(AND(ISNUMBER(Raw_Data[[#This Row],[Opening_Stock]]),ISNUMBER(Raw_Data[[#This Row],[Units_Sold]]),Raw_Data[[#This Row],[Opening_Stock]]&gt;0),Raw_Data[[#This Row],[Units_Sold]]/Raw_Data[[#This Row],[Opening_Stock]],"")</f>
        <v>0.70329670329670335</v>
      </c>
      <c r="L494" t="str">
        <f>IF(NOT(ISNUMBER(Raw_Data[[#This Row],[Sell_through%]])),"Check",IF(Raw_Data[[#This Row],[Sell_through%]]=0,"Non-moving",IF(Raw_Data[[#This Row],[Sell_through%]]&gt;=0.6,"Fast","Slow")))</f>
        <v>Fast</v>
      </c>
      <c r="M494">
        <f>IF(AND(ISNUMBER(Raw_Data[[#This Row],[Closing_Stock]]),ISNUMBER(Raw_Data[[#This Row],[Unit_Cost]])),Raw_Data[[#This Row],[Closing_Stock]]*Raw_Data[[#This Row],[Unit_Cost]],"")</f>
        <v>49977</v>
      </c>
      <c r="N49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95" spans="1:14" x14ac:dyDescent="0.3">
      <c r="A495" t="s">
        <v>775</v>
      </c>
      <c r="B495" t="s">
        <v>30</v>
      </c>
      <c r="C495" t="s">
        <v>31</v>
      </c>
      <c r="D495" t="s">
        <v>36</v>
      </c>
      <c r="E495" s="3">
        <v>46042</v>
      </c>
      <c r="F495">
        <v>393</v>
      </c>
      <c r="G495">
        <v>290</v>
      </c>
      <c r="I495">
        <v>435</v>
      </c>
      <c r="J495" t="s">
        <v>14</v>
      </c>
      <c r="K495" s="4">
        <f>IF(AND(ISNUMBER(Raw_Data[[#This Row],[Opening_Stock]]),ISNUMBER(Raw_Data[[#This Row],[Units_Sold]]),Raw_Data[[#This Row],[Opening_Stock]]&gt;0),Raw_Data[[#This Row],[Units_Sold]]/Raw_Data[[#This Row],[Opening_Stock]],"")</f>
        <v>0.7379134860050891</v>
      </c>
      <c r="L495" t="str">
        <f>IF(NOT(ISNUMBER(Raw_Data[[#This Row],[Sell_through%]])),"Check",IF(Raw_Data[[#This Row],[Sell_through%]]=0,"Non-moving",IF(Raw_Data[[#This Row],[Sell_through%]]&gt;=0.6,"Fast","Slow")))</f>
        <v>Fast</v>
      </c>
      <c r="M495" t="str">
        <f>IF(AND(ISNUMBER(Raw_Data[[#This Row],[Closing_Stock]]),ISNUMBER(Raw_Data[[#This Row],[Unit_Cost]])),Raw_Data[[#This Row],[Closing_Stock]]*Raw_Data[[#This Row],[Unit_Cost]],"")</f>
        <v/>
      </c>
      <c r="N49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496" spans="1:14" x14ac:dyDescent="0.3">
      <c r="A496" t="s">
        <v>776</v>
      </c>
      <c r="B496" t="s">
        <v>415</v>
      </c>
      <c r="C496" t="s">
        <v>31</v>
      </c>
      <c r="D496" t="s">
        <v>21</v>
      </c>
      <c r="E496" s="3">
        <v>46027</v>
      </c>
      <c r="F496">
        <v>178</v>
      </c>
      <c r="G496">
        <v>69</v>
      </c>
      <c r="H496">
        <v>109</v>
      </c>
      <c r="J496" t="s">
        <v>14</v>
      </c>
      <c r="K496" s="4">
        <f>IF(AND(ISNUMBER(Raw_Data[[#This Row],[Opening_Stock]]),ISNUMBER(Raw_Data[[#This Row],[Units_Sold]]),Raw_Data[[#This Row],[Opening_Stock]]&gt;0),Raw_Data[[#This Row],[Units_Sold]]/Raw_Data[[#This Row],[Opening_Stock]],"")</f>
        <v>0.38764044943820225</v>
      </c>
      <c r="L496" t="str">
        <f>IF(NOT(ISNUMBER(Raw_Data[[#This Row],[Sell_through%]])),"Check",IF(Raw_Data[[#This Row],[Sell_through%]]=0,"Non-moving",IF(Raw_Data[[#This Row],[Sell_through%]]&gt;=0.6,"Fast","Slow")))</f>
        <v>Slow</v>
      </c>
      <c r="M496" t="str">
        <f>IF(AND(ISNUMBER(Raw_Data[[#This Row],[Closing_Stock]]),ISNUMBER(Raw_Data[[#This Row],[Unit_Cost]])),Raw_Data[[#This Row],[Closing_Stock]]*Raw_Data[[#This Row],[Unit_Cost]],"")</f>
        <v/>
      </c>
      <c r="N49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97" spans="1:14" x14ac:dyDescent="0.3">
      <c r="A497" t="s">
        <v>777</v>
      </c>
      <c r="B497" t="s">
        <v>315</v>
      </c>
      <c r="C497" t="s">
        <v>49</v>
      </c>
      <c r="D497" t="s">
        <v>13</v>
      </c>
      <c r="E497" s="3"/>
      <c r="F497">
        <v>212</v>
      </c>
      <c r="G497">
        <v>0</v>
      </c>
      <c r="H497">
        <v>212</v>
      </c>
      <c r="I497">
        <v>1752</v>
      </c>
      <c r="J497" t="s">
        <v>14</v>
      </c>
      <c r="K497" s="4">
        <f>IF(AND(ISNUMBER(Raw_Data[[#This Row],[Opening_Stock]]),ISNUMBER(Raw_Data[[#This Row],[Units_Sold]]),Raw_Data[[#This Row],[Opening_Stock]]&gt;0),Raw_Data[[#This Row],[Units_Sold]]/Raw_Data[[#This Row],[Opening_Stock]],"")</f>
        <v>0</v>
      </c>
      <c r="L497" t="str">
        <f>IF(NOT(ISNUMBER(Raw_Data[[#This Row],[Sell_through%]])),"Check",IF(Raw_Data[[#This Row],[Sell_through%]]=0,"Non-moving",IF(Raw_Data[[#This Row],[Sell_through%]]&gt;=0.6,"Fast","Slow")))</f>
        <v>Non-moving</v>
      </c>
      <c r="M497">
        <f>IF(AND(ISNUMBER(Raw_Data[[#This Row],[Closing_Stock]]),ISNUMBER(Raw_Data[[#This Row],[Unit_Cost]])),Raw_Data[[#This Row],[Closing_Stock]]*Raw_Data[[#This Row],[Unit_Cost]],"")</f>
        <v>371424</v>
      </c>
      <c r="N49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98" spans="1:14" x14ac:dyDescent="0.3">
      <c r="A498" t="s">
        <v>778</v>
      </c>
      <c r="B498" t="s">
        <v>71</v>
      </c>
      <c r="C498" t="s">
        <v>35</v>
      </c>
      <c r="D498" t="s">
        <v>21</v>
      </c>
      <c r="E498" s="3">
        <v>46217</v>
      </c>
      <c r="F498">
        <v>290</v>
      </c>
      <c r="G498">
        <v>24</v>
      </c>
      <c r="H498">
        <v>266</v>
      </c>
      <c r="I498">
        <v>1760</v>
      </c>
      <c r="J498" t="s">
        <v>14</v>
      </c>
      <c r="K498" s="4">
        <f>IF(AND(ISNUMBER(Raw_Data[[#This Row],[Opening_Stock]]),ISNUMBER(Raw_Data[[#This Row],[Units_Sold]]),Raw_Data[[#This Row],[Opening_Stock]]&gt;0),Raw_Data[[#This Row],[Units_Sold]]/Raw_Data[[#This Row],[Opening_Stock]],"")</f>
        <v>8.2758620689655171E-2</v>
      </c>
      <c r="L498" t="str">
        <f>IF(NOT(ISNUMBER(Raw_Data[[#This Row],[Sell_through%]])),"Check",IF(Raw_Data[[#This Row],[Sell_through%]]=0,"Non-moving",IF(Raw_Data[[#This Row],[Sell_through%]]&gt;=0.6,"Fast","Slow")))</f>
        <v>Slow</v>
      </c>
      <c r="M498">
        <f>IF(AND(ISNUMBER(Raw_Data[[#This Row],[Closing_Stock]]),ISNUMBER(Raw_Data[[#This Row],[Unit_Cost]])),Raw_Data[[#This Row],[Closing_Stock]]*Raw_Data[[#This Row],[Unit_Cost]],"")</f>
        <v>468160</v>
      </c>
      <c r="N49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499" spans="1:14" x14ac:dyDescent="0.3">
      <c r="A499" t="s">
        <v>779</v>
      </c>
      <c r="B499" t="s">
        <v>422</v>
      </c>
      <c r="C499" t="s">
        <v>12</v>
      </c>
      <c r="D499" t="s">
        <v>36</v>
      </c>
      <c r="E499" s="3"/>
      <c r="F499">
        <v>251</v>
      </c>
      <c r="G499">
        <v>0</v>
      </c>
      <c r="H499">
        <v>251</v>
      </c>
      <c r="I499">
        <v>586</v>
      </c>
      <c r="J499" t="s">
        <v>14</v>
      </c>
      <c r="K499" s="4">
        <f>IF(AND(ISNUMBER(Raw_Data[[#This Row],[Opening_Stock]]),ISNUMBER(Raw_Data[[#This Row],[Units_Sold]]),Raw_Data[[#This Row],[Opening_Stock]]&gt;0),Raw_Data[[#This Row],[Units_Sold]]/Raw_Data[[#This Row],[Opening_Stock]],"")</f>
        <v>0</v>
      </c>
      <c r="L499" t="str">
        <f>IF(NOT(ISNUMBER(Raw_Data[[#This Row],[Sell_through%]])),"Check",IF(Raw_Data[[#This Row],[Sell_through%]]=0,"Non-moving",IF(Raw_Data[[#This Row],[Sell_through%]]&gt;=0.6,"Fast","Slow")))</f>
        <v>Non-moving</v>
      </c>
      <c r="M499">
        <f>IF(AND(ISNUMBER(Raw_Data[[#This Row],[Closing_Stock]]),ISNUMBER(Raw_Data[[#This Row],[Unit_Cost]])),Raw_Data[[#This Row],[Closing_Stock]]*Raw_Data[[#This Row],[Unit_Cost]],"")</f>
        <v>147086</v>
      </c>
      <c r="N49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00" spans="1:14" x14ac:dyDescent="0.3">
      <c r="A500" t="s">
        <v>781</v>
      </c>
      <c r="B500" t="s">
        <v>315</v>
      </c>
      <c r="C500" t="s">
        <v>49</v>
      </c>
      <c r="D500" t="s">
        <v>13</v>
      </c>
      <c r="E500" s="3">
        <v>46079</v>
      </c>
      <c r="F500">
        <v>168</v>
      </c>
      <c r="G500">
        <v>141</v>
      </c>
      <c r="H500">
        <v>27</v>
      </c>
      <c r="I500">
        <v>551</v>
      </c>
      <c r="J500" t="s">
        <v>17</v>
      </c>
      <c r="K500" s="4">
        <f>IF(AND(ISNUMBER(Raw_Data[[#This Row],[Opening_Stock]]),ISNUMBER(Raw_Data[[#This Row],[Units_Sold]]),Raw_Data[[#This Row],[Opening_Stock]]&gt;0),Raw_Data[[#This Row],[Units_Sold]]/Raw_Data[[#This Row],[Opening_Stock]],"")</f>
        <v>0.8392857142857143</v>
      </c>
      <c r="L500" t="str">
        <f>IF(NOT(ISNUMBER(Raw_Data[[#This Row],[Sell_through%]])),"Check",IF(Raw_Data[[#This Row],[Sell_through%]]=0,"Non-moving",IF(Raw_Data[[#This Row],[Sell_through%]]&gt;=0.6,"Fast","Slow")))</f>
        <v>Fast</v>
      </c>
      <c r="M500">
        <f>IF(AND(ISNUMBER(Raw_Data[[#This Row],[Closing_Stock]]),ISNUMBER(Raw_Data[[#This Row],[Unit_Cost]])),Raw_Data[[#This Row],[Closing_Stock]]*Raw_Data[[#This Row],[Unit_Cost]],"")</f>
        <v>14877</v>
      </c>
      <c r="N50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01" spans="1:14" x14ac:dyDescent="0.3">
      <c r="A501" t="s">
        <v>782</v>
      </c>
      <c r="B501" t="s">
        <v>65</v>
      </c>
      <c r="C501" t="s">
        <v>49</v>
      </c>
      <c r="D501" t="s">
        <v>32</v>
      </c>
      <c r="E501" s="3">
        <v>46050</v>
      </c>
      <c r="F501">
        <v>261</v>
      </c>
      <c r="G501">
        <v>255</v>
      </c>
      <c r="H501">
        <v>6</v>
      </c>
      <c r="I501">
        <v>675</v>
      </c>
      <c r="J501" t="s">
        <v>17</v>
      </c>
      <c r="K501" s="4">
        <f>IF(AND(ISNUMBER(Raw_Data[[#This Row],[Opening_Stock]]),ISNUMBER(Raw_Data[[#This Row],[Units_Sold]]),Raw_Data[[#This Row],[Opening_Stock]]&gt;0),Raw_Data[[#This Row],[Units_Sold]]/Raw_Data[[#This Row],[Opening_Stock]],"")</f>
        <v>0.97701149425287359</v>
      </c>
      <c r="L501" t="str">
        <f>IF(NOT(ISNUMBER(Raw_Data[[#This Row],[Sell_through%]])),"Check",IF(Raw_Data[[#This Row],[Sell_through%]]=0,"Non-moving",IF(Raw_Data[[#This Row],[Sell_through%]]&gt;=0.6,"Fast","Slow")))</f>
        <v>Fast</v>
      </c>
      <c r="M501">
        <f>IF(AND(ISNUMBER(Raw_Data[[#This Row],[Closing_Stock]]),ISNUMBER(Raw_Data[[#This Row],[Unit_Cost]])),Raw_Data[[#This Row],[Closing_Stock]]*Raw_Data[[#This Row],[Unit_Cost]],"")</f>
        <v>4050</v>
      </c>
      <c r="N50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02" spans="1:14" x14ac:dyDescent="0.3">
      <c r="A502" t="s">
        <v>783</v>
      </c>
      <c r="B502" t="s">
        <v>479</v>
      </c>
      <c r="C502" t="s">
        <v>31</v>
      </c>
      <c r="D502" t="s">
        <v>13</v>
      </c>
      <c r="E502" s="3">
        <v>46285</v>
      </c>
      <c r="F502">
        <v>241</v>
      </c>
      <c r="G502">
        <v>22</v>
      </c>
      <c r="H502">
        <v>219</v>
      </c>
      <c r="I502">
        <v>545</v>
      </c>
      <c r="J502" t="s">
        <v>14</v>
      </c>
      <c r="K502" s="4">
        <f>IF(AND(ISNUMBER(Raw_Data[[#This Row],[Opening_Stock]]),ISNUMBER(Raw_Data[[#This Row],[Units_Sold]]),Raw_Data[[#This Row],[Opening_Stock]]&gt;0),Raw_Data[[#This Row],[Units_Sold]]/Raw_Data[[#This Row],[Opening_Stock]],"")</f>
        <v>9.1286307053941904E-2</v>
      </c>
      <c r="L502" t="str">
        <f>IF(NOT(ISNUMBER(Raw_Data[[#This Row],[Sell_through%]])),"Check",IF(Raw_Data[[#This Row],[Sell_through%]]=0,"Non-moving",IF(Raw_Data[[#This Row],[Sell_through%]]&gt;=0.6,"Fast","Slow")))</f>
        <v>Slow</v>
      </c>
      <c r="M502">
        <f>IF(AND(ISNUMBER(Raw_Data[[#This Row],[Closing_Stock]]),ISNUMBER(Raw_Data[[#This Row],[Unit_Cost]])),Raw_Data[[#This Row],[Closing_Stock]]*Raw_Data[[#This Row],[Unit_Cost]],"")</f>
        <v>119355</v>
      </c>
      <c r="N50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03" spans="1:14" x14ac:dyDescent="0.3">
      <c r="A503" t="s">
        <v>784</v>
      </c>
      <c r="B503" t="s">
        <v>1342</v>
      </c>
      <c r="C503" t="s">
        <v>28</v>
      </c>
      <c r="D503" t="s">
        <v>21</v>
      </c>
      <c r="E503" s="3">
        <v>46079</v>
      </c>
      <c r="F503">
        <v>271</v>
      </c>
      <c r="G503">
        <v>189</v>
      </c>
      <c r="H503">
        <v>82</v>
      </c>
      <c r="I503">
        <v>691</v>
      </c>
      <c r="J503" t="s">
        <v>14</v>
      </c>
      <c r="K503" s="4">
        <f>IF(AND(ISNUMBER(Raw_Data[[#This Row],[Opening_Stock]]),ISNUMBER(Raw_Data[[#This Row],[Units_Sold]]),Raw_Data[[#This Row],[Opening_Stock]]&gt;0),Raw_Data[[#This Row],[Units_Sold]]/Raw_Data[[#This Row],[Opening_Stock]],"")</f>
        <v>0.69741697416974169</v>
      </c>
      <c r="L503" t="str">
        <f>IF(NOT(ISNUMBER(Raw_Data[[#This Row],[Sell_through%]])),"Check",IF(Raw_Data[[#This Row],[Sell_through%]]=0,"Non-moving",IF(Raw_Data[[#This Row],[Sell_through%]]&gt;=0.6,"Fast","Slow")))</f>
        <v>Fast</v>
      </c>
      <c r="M503">
        <f>IF(AND(ISNUMBER(Raw_Data[[#This Row],[Closing_Stock]]),ISNUMBER(Raw_Data[[#This Row],[Unit_Cost]])),Raw_Data[[#This Row],[Closing_Stock]]*Raw_Data[[#This Row],[Unit_Cost]],"")</f>
        <v>56662</v>
      </c>
      <c r="N50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04" spans="1:14" x14ac:dyDescent="0.3">
      <c r="A504" t="s">
        <v>785</v>
      </c>
      <c r="B504" t="s">
        <v>296</v>
      </c>
      <c r="C504" t="s">
        <v>31</v>
      </c>
      <c r="D504" t="s">
        <v>21</v>
      </c>
      <c r="E504" s="3">
        <v>46108</v>
      </c>
      <c r="F504">
        <v>221</v>
      </c>
      <c r="G504">
        <v>54</v>
      </c>
      <c r="H504">
        <v>167</v>
      </c>
      <c r="I504">
        <v>702</v>
      </c>
      <c r="J504" t="s">
        <v>14</v>
      </c>
      <c r="K504" s="4">
        <f>IF(AND(ISNUMBER(Raw_Data[[#This Row],[Opening_Stock]]),ISNUMBER(Raw_Data[[#This Row],[Units_Sold]]),Raw_Data[[#This Row],[Opening_Stock]]&gt;0),Raw_Data[[#This Row],[Units_Sold]]/Raw_Data[[#This Row],[Opening_Stock]],"")</f>
        <v>0.24434389140271492</v>
      </c>
      <c r="L504" t="str">
        <f>IF(NOT(ISNUMBER(Raw_Data[[#This Row],[Sell_through%]])),"Check",IF(Raw_Data[[#This Row],[Sell_through%]]=0,"Non-moving",IF(Raw_Data[[#This Row],[Sell_through%]]&gt;=0.6,"Fast","Slow")))</f>
        <v>Slow</v>
      </c>
      <c r="M504">
        <f>IF(AND(ISNUMBER(Raw_Data[[#This Row],[Closing_Stock]]),ISNUMBER(Raw_Data[[#This Row],[Unit_Cost]])),Raw_Data[[#This Row],[Closing_Stock]]*Raw_Data[[#This Row],[Unit_Cost]],"")</f>
        <v>117234</v>
      </c>
      <c r="N50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05" spans="1:14" x14ac:dyDescent="0.3">
      <c r="A505" t="s">
        <v>786</v>
      </c>
      <c r="B505" t="s">
        <v>62</v>
      </c>
      <c r="C505" t="s">
        <v>49</v>
      </c>
      <c r="D505" t="s">
        <v>13</v>
      </c>
      <c r="E505" s="3">
        <v>46141</v>
      </c>
      <c r="F505">
        <v>216</v>
      </c>
      <c r="G505">
        <v>26</v>
      </c>
      <c r="H505">
        <v>190</v>
      </c>
      <c r="I505">
        <v>1588</v>
      </c>
      <c r="J505" t="s">
        <v>14</v>
      </c>
      <c r="K505" s="4">
        <f>IF(AND(ISNUMBER(Raw_Data[[#This Row],[Opening_Stock]]),ISNUMBER(Raw_Data[[#This Row],[Units_Sold]]),Raw_Data[[#This Row],[Opening_Stock]]&gt;0),Raw_Data[[#This Row],[Units_Sold]]/Raw_Data[[#This Row],[Opening_Stock]],"")</f>
        <v>0.12037037037037036</v>
      </c>
      <c r="L505" t="str">
        <f>IF(NOT(ISNUMBER(Raw_Data[[#This Row],[Sell_through%]])),"Check",IF(Raw_Data[[#This Row],[Sell_through%]]=0,"Non-moving",IF(Raw_Data[[#This Row],[Sell_through%]]&gt;=0.6,"Fast","Slow")))</f>
        <v>Slow</v>
      </c>
      <c r="M505">
        <f>IF(AND(ISNUMBER(Raw_Data[[#This Row],[Closing_Stock]]),ISNUMBER(Raw_Data[[#This Row],[Unit_Cost]])),Raw_Data[[#This Row],[Closing_Stock]]*Raw_Data[[#This Row],[Unit_Cost]],"")</f>
        <v>301720</v>
      </c>
      <c r="N50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06" spans="1:14" x14ac:dyDescent="0.3">
      <c r="A506" t="s">
        <v>787</v>
      </c>
      <c r="B506" t="s">
        <v>224</v>
      </c>
      <c r="C506" t="s">
        <v>49</v>
      </c>
      <c r="D506" t="s">
        <v>21</v>
      </c>
      <c r="E506" s="3"/>
      <c r="F506">
        <v>385</v>
      </c>
      <c r="G506">
        <v>0</v>
      </c>
      <c r="H506">
        <v>385</v>
      </c>
      <c r="I506">
        <v>790</v>
      </c>
      <c r="K506" s="4">
        <f>IF(AND(ISNUMBER(Raw_Data[[#This Row],[Opening_Stock]]),ISNUMBER(Raw_Data[[#This Row],[Units_Sold]]),Raw_Data[[#This Row],[Opening_Stock]]&gt;0),Raw_Data[[#This Row],[Units_Sold]]/Raw_Data[[#This Row],[Opening_Stock]],"")</f>
        <v>0</v>
      </c>
      <c r="L506" t="str">
        <f>IF(NOT(ISNUMBER(Raw_Data[[#This Row],[Sell_through%]])),"Check",IF(Raw_Data[[#This Row],[Sell_through%]]=0,"Non-moving",IF(Raw_Data[[#This Row],[Sell_through%]]&gt;=0.6,"Fast","Slow")))</f>
        <v>Non-moving</v>
      </c>
      <c r="M506">
        <f>IF(AND(ISNUMBER(Raw_Data[[#This Row],[Closing_Stock]]),ISNUMBER(Raw_Data[[#This Row],[Unit_Cost]])),Raw_Data[[#This Row],[Closing_Stock]]*Raw_Data[[#This Row],[Unit_Cost]],"")</f>
        <v>304150</v>
      </c>
      <c r="N506"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07" spans="1:14" x14ac:dyDescent="0.3">
      <c r="A507" t="s">
        <v>788</v>
      </c>
      <c r="B507" t="s">
        <v>164</v>
      </c>
      <c r="D507" t="s">
        <v>32</v>
      </c>
      <c r="E507" s="3">
        <v>46022</v>
      </c>
      <c r="F507">
        <v>481</v>
      </c>
      <c r="G507">
        <v>122</v>
      </c>
      <c r="H507">
        <v>359</v>
      </c>
      <c r="I507">
        <v>2947</v>
      </c>
      <c r="J507" t="s">
        <v>14</v>
      </c>
      <c r="K507" s="4">
        <f>IF(AND(ISNUMBER(Raw_Data[[#This Row],[Opening_Stock]]),ISNUMBER(Raw_Data[[#This Row],[Units_Sold]]),Raw_Data[[#This Row],[Opening_Stock]]&gt;0),Raw_Data[[#This Row],[Units_Sold]]/Raw_Data[[#This Row],[Opening_Stock]],"")</f>
        <v>0.25363825363825365</v>
      </c>
      <c r="L507" t="str">
        <f>IF(NOT(ISNUMBER(Raw_Data[[#This Row],[Sell_through%]])),"Check",IF(Raw_Data[[#This Row],[Sell_through%]]=0,"Non-moving",IF(Raw_Data[[#This Row],[Sell_through%]]&gt;=0.6,"Fast","Slow")))</f>
        <v>Slow</v>
      </c>
      <c r="M507">
        <f>IF(AND(ISNUMBER(Raw_Data[[#This Row],[Closing_Stock]]),ISNUMBER(Raw_Data[[#This Row],[Unit_Cost]])),Raw_Data[[#This Row],[Closing_Stock]]*Raw_Data[[#This Row],[Unit_Cost]],"")</f>
        <v>1057973</v>
      </c>
      <c r="N50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08" spans="1:14" x14ac:dyDescent="0.3">
      <c r="A508" t="s">
        <v>789</v>
      </c>
      <c r="B508" t="s">
        <v>284</v>
      </c>
      <c r="C508" t="s">
        <v>49</v>
      </c>
      <c r="D508" t="s">
        <v>36</v>
      </c>
      <c r="E508" s="3">
        <v>46000</v>
      </c>
      <c r="G508">
        <v>17</v>
      </c>
      <c r="H508">
        <v>51</v>
      </c>
      <c r="I508">
        <v>245</v>
      </c>
      <c r="J508" t="s">
        <v>17</v>
      </c>
      <c r="K508" s="4" t="str">
        <f>IF(AND(ISNUMBER(Raw_Data[[#This Row],[Opening_Stock]]),ISNUMBER(Raw_Data[[#This Row],[Units_Sold]]),Raw_Data[[#This Row],[Opening_Stock]]&gt;0),Raw_Data[[#This Row],[Units_Sold]]/Raw_Data[[#This Row],[Opening_Stock]],"")</f>
        <v/>
      </c>
      <c r="L508" t="str">
        <f>IF(NOT(ISNUMBER(Raw_Data[[#This Row],[Sell_through%]])),"Check",IF(Raw_Data[[#This Row],[Sell_through%]]=0,"Non-moving",IF(Raw_Data[[#This Row],[Sell_through%]]&gt;=0.6,"Fast","Slow")))</f>
        <v>Check</v>
      </c>
      <c r="M508">
        <f>IF(AND(ISNUMBER(Raw_Data[[#This Row],[Closing_Stock]]),ISNUMBER(Raw_Data[[#This Row],[Unit_Cost]])),Raw_Data[[#This Row],[Closing_Stock]]*Raw_Data[[#This Row],[Unit_Cost]],"")</f>
        <v>12495</v>
      </c>
      <c r="N508"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09" spans="1:14" x14ac:dyDescent="0.3">
      <c r="A509" t="s">
        <v>790</v>
      </c>
      <c r="B509" t="s">
        <v>551</v>
      </c>
      <c r="C509" t="s">
        <v>12</v>
      </c>
      <c r="D509" t="s">
        <v>32</v>
      </c>
      <c r="E509" s="3"/>
      <c r="F509">
        <v>235</v>
      </c>
      <c r="G509">
        <v>0</v>
      </c>
      <c r="H509">
        <v>235</v>
      </c>
      <c r="I509">
        <v>334</v>
      </c>
      <c r="J509" t="s">
        <v>14</v>
      </c>
      <c r="K509" s="4">
        <f>IF(AND(ISNUMBER(Raw_Data[[#This Row],[Opening_Stock]]),ISNUMBER(Raw_Data[[#This Row],[Units_Sold]]),Raw_Data[[#This Row],[Opening_Stock]]&gt;0),Raw_Data[[#This Row],[Units_Sold]]/Raw_Data[[#This Row],[Opening_Stock]],"")</f>
        <v>0</v>
      </c>
      <c r="L509" t="str">
        <f>IF(NOT(ISNUMBER(Raw_Data[[#This Row],[Sell_through%]])),"Check",IF(Raw_Data[[#This Row],[Sell_through%]]=0,"Non-moving",IF(Raw_Data[[#This Row],[Sell_through%]]&gt;=0.6,"Fast","Slow")))</f>
        <v>Non-moving</v>
      </c>
      <c r="M509">
        <f>IF(AND(ISNUMBER(Raw_Data[[#This Row],[Closing_Stock]]),ISNUMBER(Raw_Data[[#This Row],[Unit_Cost]])),Raw_Data[[#This Row],[Closing_Stock]]*Raw_Data[[#This Row],[Unit_Cost]],"")</f>
        <v>78490</v>
      </c>
      <c r="N50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10" spans="1:14" x14ac:dyDescent="0.3">
      <c r="A510" t="s">
        <v>791</v>
      </c>
      <c r="B510" t="s">
        <v>19</v>
      </c>
      <c r="C510" t="s">
        <v>28</v>
      </c>
      <c r="D510" t="s">
        <v>21</v>
      </c>
      <c r="E510" s="3">
        <v>46205</v>
      </c>
      <c r="F510">
        <v>163</v>
      </c>
      <c r="G510">
        <v>135</v>
      </c>
      <c r="H510">
        <v>28</v>
      </c>
      <c r="J510" t="s">
        <v>17</v>
      </c>
      <c r="K510" s="4">
        <f>IF(AND(ISNUMBER(Raw_Data[[#This Row],[Opening_Stock]]),ISNUMBER(Raw_Data[[#This Row],[Units_Sold]]),Raw_Data[[#This Row],[Opening_Stock]]&gt;0),Raw_Data[[#This Row],[Units_Sold]]/Raw_Data[[#This Row],[Opening_Stock]],"")</f>
        <v>0.82822085889570551</v>
      </c>
      <c r="L510" t="str">
        <f>IF(NOT(ISNUMBER(Raw_Data[[#This Row],[Sell_through%]])),"Check",IF(Raw_Data[[#This Row],[Sell_through%]]=0,"Non-moving",IF(Raw_Data[[#This Row],[Sell_through%]]&gt;=0.6,"Fast","Slow")))</f>
        <v>Fast</v>
      </c>
      <c r="M510" t="str">
        <f>IF(AND(ISNUMBER(Raw_Data[[#This Row],[Closing_Stock]]),ISNUMBER(Raw_Data[[#This Row],[Unit_Cost]])),Raw_Data[[#This Row],[Closing_Stock]]*Raw_Data[[#This Row],[Unit_Cost]],"")</f>
        <v/>
      </c>
      <c r="N51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11" spans="1:14" x14ac:dyDescent="0.3">
      <c r="A511" t="s">
        <v>792</v>
      </c>
      <c r="B511" t="s">
        <v>324</v>
      </c>
      <c r="C511" t="s">
        <v>31</v>
      </c>
      <c r="D511" t="s">
        <v>13</v>
      </c>
      <c r="E511" s="3">
        <v>46173</v>
      </c>
      <c r="F511">
        <v>468</v>
      </c>
      <c r="G511">
        <v>81</v>
      </c>
      <c r="H511">
        <v>387</v>
      </c>
      <c r="I511">
        <v>2706</v>
      </c>
      <c r="J511" t="s">
        <v>14</v>
      </c>
      <c r="K511" s="4">
        <f>IF(AND(ISNUMBER(Raw_Data[[#This Row],[Opening_Stock]]),ISNUMBER(Raw_Data[[#This Row],[Units_Sold]]),Raw_Data[[#This Row],[Opening_Stock]]&gt;0),Raw_Data[[#This Row],[Units_Sold]]/Raw_Data[[#This Row],[Opening_Stock]],"")</f>
        <v>0.17307692307692307</v>
      </c>
      <c r="L511" t="str">
        <f>IF(NOT(ISNUMBER(Raw_Data[[#This Row],[Sell_through%]])),"Check",IF(Raw_Data[[#This Row],[Sell_through%]]=0,"Non-moving",IF(Raw_Data[[#This Row],[Sell_through%]]&gt;=0.6,"Fast","Slow")))</f>
        <v>Slow</v>
      </c>
      <c r="M511">
        <f>IF(AND(ISNUMBER(Raw_Data[[#This Row],[Closing_Stock]]),ISNUMBER(Raw_Data[[#This Row],[Unit_Cost]])),Raw_Data[[#This Row],[Closing_Stock]]*Raw_Data[[#This Row],[Unit_Cost]],"")</f>
        <v>1047222</v>
      </c>
      <c r="N51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12" spans="1:14" x14ac:dyDescent="0.3">
      <c r="A512" t="s">
        <v>793</v>
      </c>
      <c r="B512" t="s">
        <v>89</v>
      </c>
      <c r="C512" t="s">
        <v>49</v>
      </c>
      <c r="D512" t="s">
        <v>13</v>
      </c>
      <c r="E512" s="3"/>
      <c r="F512">
        <v>215</v>
      </c>
      <c r="G512">
        <v>0</v>
      </c>
      <c r="H512">
        <v>215</v>
      </c>
      <c r="I512">
        <v>1627</v>
      </c>
      <c r="J512" t="s">
        <v>14</v>
      </c>
      <c r="K512" s="4">
        <f>IF(AND(ISNUMBER(Raw_Data[[#This Row],[Opening_Stock]]),ISNUMBER(Raw_Data[[#This Row],[Units_Sold]]),Raw_Data[[#This Row],[Opening_Stock]]&gt;0),Raw_Data[[#This Row],[Units_Sold]]/Raw_Data[[#This Row],[Opening_Stock]],"")</f>
        <v>0</v>
      </c>
      <c r="L512" t="str">
        <f>IF(NOT(ISNUMBER(Raw_Data[[#This Row],[Sell_through%]])),"Check",IF(Raw_Data[[#This Row],[Sell_through%]]=0,"Non-moving",IF(Raw_Data[[#This Row],[Sell_through%]]&gt;=0.6,"Fast","Slow")))</f>
        <v>Non-moving</v>
      </c>
      <c r="M512">
        <f>IF(AND(ISNUMBER(Raw_Data[[#This Row],[Closing_Stock]]),ISNUMBER(Raw_Data[[#This Row],[Unit_Cost]])),Raw_Data[[#This Row],[Closing_Stock]]*Raw_Data[[#This Row],[Unit_Cost]],"")</f>
        <v>349805</v>
      </c>
      <c r="N51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13" spans="1:14" x14ac:dyDescent="0.3">
      <c r="A513" t="s">
        <v>795</v>
      </c>
      <c r="B513" t="s">
        <v>161</v>
      </c>
      <c r="C513" t="s">
        <v>12</v>
      </c>
      <c r="D513" t="s">
        <v>36</v>
      </c>
      <c r="E513" s="3"/>
      <c r="F513">
        <v>494</v>
      </c>
      <c r="G513">
        <v>0</v>
      </c>
      <c r="H513">
        <v>494</v>
      </c>
      <c r="I513">
        <v>2520</v>
      </c>
      <c r="J513" t="s">
        <v>14</v>
      </c>
      <c r="K513" s="4">
        <f>IF(AND(ISNUMBER(Raw_Data[[#This Row],[Opening_Stock]]),ISNUMBER(Raw_Data[[#This Row],[Units_Sold]]),Raw_Data[[#This Row],[Opening_Stock]]&gt;0),Raw_Data[[#This Row],[Units_Sold]]/Raw_Data[[#This Row],[Opening_Stock]],"")</f>
        <v>0</v>
      </c>
      <c r="L513" t="str">
        <f>IF(NOT(ISNUMBER(Raw_Data[[#This Row],[Sell_through%]])),"Check",IF(Raw_Data[[#This Row],[Sell_through%]]=0,"Non-moving",IF(Raw_Data[[#This Row],[Sell_through%]]&gt;=0.6,"Fast","Slow")))</f>
        <v>Non-moving</v>
      </c>
      <c r="M513">
        <f>IF(AND(ISNUMBER(Raw_Data[[#This Row],[Closing_Stock]]),ISNUMBER(Raw_Data[[#This Row],[Unit_Cost]])),Raw_Data[[#This Row],[Closing_Stock]]*Raw_Data[[#This Row],[Unit_Cost]],"")</f>
        <v>1244880</v>
      </c>
      <c r="N51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14" spans="1:14" x14ac:dyDescent="0.3">
      <c r="A514" t="s">
        <v>796</v>
      </c>
      <c r="B514" t="s">
        <v>117</v>
      </c>
      <c r="C514" t="s">
        <v>28</v>
      </c>
      <c r="D514" t="s">
        <v>21</v>
      </c>
      <c r="E514" s="3">
        <v>46186</v>
      </c>
      <c r="F514">
        <v>358</v>
      </c>
      <c r="G514">
        <v>25</v>
      </c>
      <c r="H514">
        <v>333</v>
      </c>
      <c r="I514">
        <v>1997</v>
      </c>
      <c r="J514" t="s">
        <v>14</v>
      </c>
      <c r="K514" s="4">
        <f>IF(AND(ISNUMBER(Raw_Data[[#This Row],[Opening_Stock]]),ISNUMBER(Raw_Data[[#This Row],[Units_Sold]]),Raw_Data[[#This Row],[Opening_Stock]]&gt;0),Raw_Data[[#This Row],[Units_Sold]]/Raw_Data[[#This Row],[Opening_Stock]],"")</f>
        <v>6.9832402234636867E-2</v>
      </c>
      <c r="L514" t="str">
        <f>IF(NOT(ISNUMBER(Raw_Data[[#This Row],[Sell_through%]])),"Check",IF(Raw_Data[[#This Row],[Sell_through%]]=0,"Non-moving",IF(Raw_Data[[#This Row],[Sell_through%]]&gt;=0.6,"Fast","Slow")))</f>
        <v>Slow</v>
      </c>
      <c r="M514">
        <f>IF(AND(ISNUMBER(Raw_Data[[#This Row],[Closing_Stock]]),ISNUMBER(Raw_Data[[#This Row],[Unit_Cost]])),Raw_Data[[#This Row],[Closing_Stock]]*Raw_Data[[#This Row],[Unit_Cost]],"")</f>
        <v>665001</v>
      </c>
      <c r="N51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15" spans="1:14" x14ac:dyDescent="0.3">
      <c r="A515" t="s">
        <v>797</v>
      </c>
      <c r="B515" t="s">
        <v>184</v>
      </c>
      <c r="C515" t="s">
        <v>31</v>
      </c>
      <c r="D515" t="s">
        <v>21</v>
      </c>
      <c r="E515" s="3"/>
      <c r="F515">
        <v>378</v>
      </c>
      <c r="G515">
        <v>0</v>
      </c>
      <c r="H515">
        <v>378</v>
      </c>
      <c r="I515">
        <v>846</v>
      </c>
      <c r="J515" t="s">
        <v>14</v>
      </c>
      <c r="K515" s="4">
        <f>IF(AND(ISNUMBER(Raw_Data[[#This Row],[Opening_Stock]]),ISNUMBER(Raw_Data[[#This Row],[Units_Sold]]),Raw_Data[[#This Row],[Opening_Stock]]&gt;0),Raw_Data[[#This Row],[Units_Sold]]/Raw_Data[[#This Row],[Opening_Stock]],"")</f>
        <v>0</v>
      </c>
      <c r="L515" t="str">
        <f>IF(NOT(ISNUMBER(Raw_Data[[#This Row],[Sell_through%]])),"Check",IF(Raw_Data[[#This Row],[Sell_through%]]=0,"Non-moving",IF(Raw_Data[[#This Row],[Sell_through%]]&gt;=0.6,"Fast","Slow")))</f>
        <v>Non-moving</v>
      </c>
      <c r="M515">
        <f>IF(AND(ISNUMBER(Raw_Data[[#This Row],[Closing_Stock]]),ISNUMBER(Raw_Data[[#This Row],[Unit_Cost]])),Raw_Data[[#This Row],[Closing_Stock]]*Raw_Data[[#This Row],[Unit_Cost]],"")</f>
        <v>319788</v>
      </c>
      <c r="N51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16" spans="1:14" x14ac:dyDescent="0.3">
      <c r="A516" t="s">
        <v>798</v>
      </c>
      <c r="B516" t="s">
        <v>177</v>
      </c>
      <c r="C516" t="s">
        <v>31</v>
      </c>
      <c r="D516" t="s">
        <v>32</v>
      </c>
      <c r="E516" s="3">
        <v>46254</v>
      </c>
      <c r="F516">
        <v>328</v>
      </c>
      <c r="G516">
        <v>130</v>
      </c>
      <c r="H516">
        <v>198</v>
      </c>
      <c r="J516" t="s">
        <v>14</v>
      </c>
      <c r="K516" s="4">
        <f>IF(AND(ISNUMBER(Raw_Data[[#This Row],[Opening_Stock]]),ISNUMBER(Raw_Data[[#This Row],[Units_Sold]]),Raw_Data[[#This Row],[Opening_Stock]]&gt;0),Raw_Data[[#This Row],[Units_Sold]]/Raw_Data[[#This Row],[Opening_Stock]],"")</f>
        <v>0.39634146341463417</v>
      </c>
      <c r="L516" t="str">
        <f>IF(NOT(ISNUMBER(Raw_Data[[#This Row],[Sell_through%]])),"Check",IF(Raw_Data[[#This Row],[Sell_through%]]=0,"Non-moving",IF(Raw_Data[[#This Row],[Sell_through%]]&gt;=0.6,"Fast","Slow")))</f>
        <v>Slow</v>
      </c>
      <c r="M516" t="str">
        <f>IF(AND(ISNUMBER(Raw_Data[[#This Row],[Closing_Stock]]),ISNUMBER(Raw_Data[[#This Row],[Unit_Cost]])),Raw_Data[[#This Row],[Closing_Stock]]*Raw_Data[[#This Row],[Unit_Cost]],"")</f>
        <v/>
      </c>
      <c r="N51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17" spans="1:14" x14ac:dyDescent="0.3">
      <c r="A517" t="s">
        <v>799</v>
      </c>
      <c r="B517" t="s">
        <v>89</v>
      </c>
      <c r="C517" t="s">
        <v>49</v>
      </c>
      <c r="D517" t="s">
        <v>32</v>
      </c>
      <c r="E517" s="3">
        <v>46113</v>
      </c>
      <c r="F517">
        <v>58</v>
      </c>
      <c r="G517">
        <v>52</v>
      </c>
      <c r="H517">
        <v>6</v>
      </c>
      <c r="I517">
        <v>2889</v>
      </c>
      <c r="J517" t="s">
        <v>17</v>
      </c>
      <c r="K517" s="4">
        <f>IF(AND(ISNUMBER(Raw_Data[[#This Row],[Opening_Stock]]),ISNUMBER(Raw_Data[[#This Row],[Units_Sold]]),Raw_Data[[#This Row],[Opening_Stock]]&gt;0),Raw_Data[[#This Row],[Units_Sold]]/Raw_Data[[#This Row],[Opening_Stock]],"")</f>
        <v>0.89655172413793105</v>
      </c>
      <c r="L517" t="str">
        <f>IF(NOT(ISNUMBER(Raw_Data[[#This Row],[Sell_through%]])),"Check",IF(Raw_Data[[#This Row],[Sell_through%]]=0,"Non-moving",IF(Raw_Data[[#This Row],[Sell_through%]]&gt;=0.6,"Fast","Slow")))</f>
        <v>Fast</v>
      </c>
      <c r="M517">
        <f>IF(AND(ISNUMBER(Raw_Data[[#This Row],[Closing_Stock]]),ISNUMBER(Raw_Data[[#This Row],[Unit_Cost]])),Raw_Data[[#This Row],[Closing_Stock]]*Raw_Data[[#This Row],[Unit_Cost]],"")</f>
        <v>17334</v>
      </c>
      <c r="N51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18" spans="1:14" x14ac:dyDescent="0.3">
      <c r="A518" t="s">
        <v>800</v>
      </c>
      <c r="B518" t="s">
        <v>78</v>
      </c>
      <c r="C518" t="s">
        <v>35</v>
      </c>
      <c r="D518" t="s">
        <v>13</v>
      </c>
      <c r="E518" s="3">
        <v>46133</v>
      </c>
      <c r="F518">
        <v>80</v>
      </c>
      <c r="G518">
        <v>18</v>
      </c>
      <c r="H518">
        <v>62</v>
      </c>
      <c r="I518">
        <v>2855</v>
      </c>
      <c r="J518" t="s">
        <v>14</v>
      </c>
      <c r="K518" s="4">
        <f>IF(AND(ISNUMBER(Raw_Data[[#This Row],[Opening_Stock]]),ISNUMBER(Raw_Data[[#This Row],[Units_Sold]]),Raw_Data[[#This Row],[Opening_Stock]]&gt;0),Raw_Data[[#This Row],[Units_Sold]]/Raw_Data[[#This Row],[Opening_Stock]],"")</f>
        <v>0.22500000000000001</v>
      </c>
      <c r="L518" t="str">
        <f>IF(NOT(ISNUMBER(Raw_Data[[#This Row],[Sell_through%]])),"Check",IF(Raw_Data[[#This Row],[Sell_through%]]=0,"Non-moving",IF(Raw_Data[[#This Row],[Sell_through%]]&gt;=0.6,"Fast","Slow")))</f>
        <v>Slow</v>
      </c>
      <c r="M518">
        <f>IF(AND(ISNUMBER(Raw_Data[[#This Row],[Closing_Stock]]),ISNUMBER(Raw_Data[[#This Row],[Unit_Cost]])),Raw_Data[[#This Row],[Closing_Stock]]*Raw_Data[[#This Row],[Unit_Cost]],"")</f>
        <v>177010</v>
      </c>
      <c r="N51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19" spans="1:14" x14ac:dyDescent="0.3">
      <c r="A519" t="s">
        <v>801</v>
      </c>
      <c r="B519" t="s">
        <v>23</v>
      </c>
      <c r="C519" t="s">
        <v>35</v>
      </c>
      <c r="D519" t="s">
        <v>32</v>
      </c>
      <c r="E519" s="3">
        <v>46284</v>
      </c>
      <c r="F519">
        <v>453</v>
      </c>
      <c r="G519">
        <v>159</v>
      </c>
      <c r="H519">
        <v>294</v>
      </c>
      <c r="I519">
        <v>894</v>
      </c>
      <c r="K519" s="4">
        <f>IF(AND(ISNUMBER(Raw_Data[[#This Row],[Opening_Stock]]),ISNUMBER(Raw_Data[[#This Row],[Units_Sold]]),Raw_Data[[#This Row],[Opening_Stock]]&gt;0),Raw_Data[[#This Row],[Units_Sold]]/Raw_Data[[#This Row],[Opening_Stock]],"")</f>
        <v>0.35099337748344372</v>
      </c>
      <c r="L519" t="str">
        <f>IF(NOT(ISNUMBER(Raw_Data[[#This Row],[Sell_through%]])),"Check",IF(Raw_Data[[#This Row],[Sell_through%]]=0,"Non-moving",IF(Raw_Data[[#This Row],[Sell_through%]]&gt;=0.6,"Fast","Slow")))</f>
        <v>Slow</v>
      </c>
      <c r="M519">
        <f>IF(AND(ISNUMBER(Raw_Data[[#This Row],[Closing_Stock]]),ISNUMBER(Raw_Data[[#This Row],[Unit_Cost]])),Raw_Data[[#This Row],[Closing_Stock]]*Raw_Data[[#This Row],[Unit_Cost]],"")</f>
        <v>262836</v>
      </c>
      <c r="N51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20" spans="1:14" x14ac:dyDescent="0.3">
      <c r="A520" t="s">
        <v>802</v>
      </c>
      <c r="B520" t="s">
        <v>224</v>
      </c>
      <c r="C520" t="s">
        <v>49</v>
      </c>
      <c r="D520" t="s">
        <v>13</v>
      </c>
      <c r="E520" s="3">
        <v>46025</v>
      </c>
      <c r="F520">
        <v>331</v>
      </c>
      <c r="G520">
        <v>34</v>
      </c>
      <c r="H520">
        <v>297</v>
      </c>
      <c r="I520">
        <v>1833</v>
      </c>
      <c r="J520" t="s">
        <v>14</v>
      </c>
      <c r="K520" s="4">
        <f>IF(AND(ISNUMBER(Raw_Data[[#This Row],[Opening_Stock]]),ISNUMBER(Raw_Data[[#This Row],[Units_Sold]]),Raw_Data[[#This Row],[Opening_Stock]]&gt;0),Raw_Data[[#This Row],[Units_Sold]]/Raw_Data[[#This Row],[Opening_Stock]],"")</f>
        <v>0.1027190332326284</v>
      </c>
      <c r="L520" t="str">
        <f>IF(NOT(ISNUMBER(Raw_Data[[#This Row],[Sell_through%]])),"Check",IF(Raw_Data[[#This Row],[Sell_through%]]=0,"Non-moving",IF(Raw_Data[[#This Row],[Sell_through%]]&gt;=0.6,"Fast","Slow")))</f>
        <v>Slow</v>
      </c>
      <c r="M520">
        <f>IF(AND(ISNUMBER(Raw_Data[[#This Row],[Closing_Stock]]),ISNUMBER(Raw_Data[[#This Row],[Unit_Cost]])),Raw_Data[[#This Row],[Closing_Stock]]*Raw_Data[[#This Row],[Unit_Cost]],"")</f>
        <v>544401</v>
      </c>
      <c r="N52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21" spans="1:14" x14ac:dyDescent="0.3">
      <c r="A521" t="s">
        <v>804</v>
      </c>
      <c r="B521" t="s">
        <v>234</v>
      </c>
      <c r="C521" t="s">
        <v>28</v>
      </c>
      <c r="D521" t="s">
        <v>32</v>
      </c>
      <c r="E521" s="3">
        <v>46223</v>
      </c>
      <c r="F521">
        <v>136</v>
      </c>
      <c r="G521">
        <v>117</v>
      </c>
      <c r="H521">
        <v>19</v>
      </c>
      <c r="I521">
        <v>284</v>
      </c>
      <c r="J521" t="s">
        <v>17</v>
      </c>
      <c r="K521" s="4">
        <f>IF(AND(ISNUMBER(Raw_Data[[#This Row],[Opening_Stock]]),ISNUMBER(Raw_Data[[#This Row],[Units_Sold]]),Raw_Data[[#This Row],[Opening_Stock]]&gt;0),Raw_Data[[#This Row],[Units_Sold]]/Raw_Data[[#This Row],[Opening_Stock]],"")</f>
        <v>0.86029411764705888</v>
      </c>
      <c r="L521" t="str">
        <f>IF(NOT(ISNUMBER(Raw_Data[[#This Row],[Sell_through%]])),"Check",IF(Raw_Data[[#This Row],[Sell_through%]]=0,"Non-moving",IF(Raw_Data[[#This Row],[Sell_through%]]&gt;=0.6,"Fast","Slow")))</f>
        <v>Fast</v>
      </c>
      <c r="M521">
        <f>IF(AND(ISNUMBER(Raw_Data[[#This Row],[Closing_Stock]]),ISNUMBER(Raw_Data[[#This Row],[Unit_Cost]])),Raw_Data[[#This Row],[Closing_Stock]]*Raw_Data[[#This Row],[Unit_Cost]],"")</f>
        <v>5396</v>
      </c>
      <c r="N52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22" spans="1:14" x14ac:dyDescent="0.3">
      <c r="A522" t="s">
        <v>805</v>
      </c>
      <c r="B522" t="s">
        <v>294</v>
      </c>
      <c r="C522" t="s">
        <v>35</v>
      </c>
      <c r="D522" t="s">
        <v>13</v>
      </c>
      <c r="E522" s="3"/>
      <c r="F522">
        <v>138</v>
      </c>
      <c r="G522">
        <v>0</v>
      </c>
      <c r="H522">
        <v>138</v>
      </c>
      <c r="I522">
        <v>2448</v>
      </c>
      <c r="J522" t="s">
        <v>14</v>
      </c>
      <c r="K522" s="4">
        <f>IF(AND(ISNUMBER(Raw_Data[[#This Row],[Opening_Stock]]),ISNUMBER(Raw_Data[[#This Row],[Units_Sold]]),Raw_Data[[#This Row],[Opening_Stock]]&gt;0),Raw_Data[[#This Row],[Units_Sold]]/Raw_Data[[#This Row],[Opening_Stock]],"")</f>
        <v>0</v>
      </c>
      <c r="L522" t="str">
        <f>IF(NOT(ISNUMBER(Raw_Data[[#This Row],[Sell_through%]])),"Check",IF(Raw_Data[[#This Row],[Sell_through%]]=0,"Non-moving",IF(Raw_Data[[#This Row],[Sell_through%]]&gt;=0.6,"Fast","Slow")))</f>
        <v>Non-moving</v>
      </c>
      <c r="M522">
        <f>IF(AND(ISNUMBER(Raw_Data[[#This Row],[Closing_Stock]]),ISNUMBER(Raw_Data[[#This Row],[Unit_Cost]])),Raw_Data[[#This Row],[Closing_Stock]]*Raw_Data[[#This Row],[Unit_Cost]],"")</f>
        <v>337824</v>
      </c>
      <c r="N52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23" spans="1:14" x14ac:dyDescent="0.3">
      <c r="A523" t="s">
        <v>806</v>
      </c>
      <c r="B523" t="s">
        <v>136</v>
      </c>
      <c r="C523" t="s">
        <v>35</v>
      </c>
      <c r="D523" t="s">
        <v>36</v>
      </c>
      <c r="E523" s="3"/>
      <c r="F523">
        <v>449</v>
      </c>
      <c r="G523">
        <v>0</v>
      </c>
      <c r="H523">
        <v>449</v>
      </c>
      <c r="I523">
        <v>2664</v>
      </c>
      <c r="J523" t="s">
        <v>14</v>
      </c>
      <c r="K523" s="4">
        <f>IF(AND(ISNUMBER(Raw_Data[[#This Row],[Opening_Stock]]),ISNUMBER(Raw_Data[[#This Row],[Units_Sold]]),Raw_Data[[#This Row],[Opening_Stock]]&gt;0),Raw_Data[[#This Row],[Units_Sold]]/Raw_Data[[#This Row],[Opening_Stock]],"")</f>
        <v>0</v>
      </c>
      <c r="L523" t="str">
        <f>IF(NOT(ISNUMBER(Raw_Data[[#This Row],[Sell_through%]])),"Check",IF(Raw_Data[[#This Row],[Sell_through%]]=0,"Non-moving",IF(Raw_Data[[#This Row],[Sell_through%]]&gt;=0.6,"Fast","Slow")))</f>
        <v>Non-moving</v>
      </c>
      <c r="M523">
        <f>IF(AND(ISNUMBER(Raw_Data[[#This Row],[Closing_Stock]]),ISNUMBER(Raw_Data[[#This Row],[Unit_Cost]])),Raw_Data[[#This Row],[Closing_Stock]]*Raw_Data[[#This Row],[Unit_Cost]],"")</f>
        <v>1196136</v>
      </c>
      <c r="N52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24" spans="1:14" x14ac:dyDescent="0.3">
      <c r="A524" t="s">
        <v>807</v>
      </c>
      <c r="B524" t="s">
        <v>367</v>
      </c>
      <c r="C524" t="s">
        <v>35</v>
      </c>
      <c r="D524" t="s">
        <v>36</v>
      </c>
      <c r="E524" s="3">
        <v>46170</v>
      </c>
      <c r="F524">
        <v>175</v>
      </c>
      <c r="G524">
        <v>61</v>
      </c>
      <c r="H524">
        <v>114</v>
      </c>
      <c r="I524">
        <v>1371</v>
      </c>
      <c r="J524" t="s">
        <v>14</v>
      </c>
      <c r="K524" s="4">
        <f>IF(AND(ISNUMBER(Raw_Data[[#This Row],[Opening_Stock]]),ISNUMBER(Raw_Data[[#This Row],[Units_Sold]]),Raw_Data[[#This Row],[Opening_Stock]]&gt;0),Raw_Data[[#This Row],[Units_Sold]]/Raw_Data[[#This Row],[Opening_Stock]],"")</f>
        <v>0.34857142857142859</v>
      </c>
      <c r="L524" t="str">
        <f>IF(NOT(ISNUMBER(Raw_Data[[#This Row],[Sell_through%]])),"Check",IF(Raw_Data[[#This Row],[Sell_through%]]=0,"Non-moving",IF(Raw_Data[[#This Row],[Sell_through%]]&gt;=0.6,"Fast","Slow")))</f>
        <v>Slow</v>
      </c>
      <c r="M524">
        <f>IF(AND(ISNUMBER(Raw_Data[[#This Row],[Closing_Stock]]),ISNUMBER(Raw_Data[[#This Row],[Unit_Cost]])),Raw_Data[[#This Row],[Closing_Stock]]*Raw_Data[[#This Row],[Unit_Cost]],"")</f>
        <v>156294</v>
      </c>
      <c r="N52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25" spans="1:14" x14ac:dyDescent="0.3">
      <c r="A525" t="s">
        <v>808</v>
      </c>
      <c r="B525" t="s">
        <v>189</v>
      </c>
      <c r="C525" t="s">
        <v>49</v>
      </c>
      <c r="D525" t="s">
        <v>36</v>
      </c>
      <c r="E525" s="3"/>
      <c r="F525">
        <v>76</v>
      </c>
      <c r="G525">
        <v>0</v>
      </c>
      <c r="H525">
        <v>76</v>
      </c>
      <c r="J525" t="s">
        <v>14</v>
      </c>
      <c r="K525" s="4">
        <f>IF(AND(ISNUMBER(Raw_Data[[#This Row],[Opening_Stock]]),ISNUMBER(Raw_Data[[#This Row],[Units_Sold]]),Raw_Data[[#This Row],[Opening_Stock]]&gt;0),Raw_Data[[#This Row],[Units_Sold]]/Raw_Data[[#This Row],[Opening_Stock]],"")</f>
        <v>0</v>
      </c>
      <c r="L525" t="str">
        <f>IF(NOT(ISNUMBER(Raw_Data[[#This Row],[Sell_through%]])),"Check",IF(Raw_Data[[#This Row],[Sell_through%]]=0,"Non-moving",IF(Raw_Data[[#This Row],[Sell_through%]]&gt;=0.6,"Fast","Slow")))</f>
        <v>Non-moving</v>
      </c>
      <c r="M525" t="str">
        <f>IF(AND(ISNUMBER(Raw_Data[[#This Row],[Closing_Stock]]),ISNUMBER(Raw_Data[[#This Row],[Unit_Cost]])),Raw_Data[[#This Row],[Closing_Stock]]*Raw_Data[[#This Row],[Unit_Cost]],"")</f>
        <v/>
      </c>
      <c r="N52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26" spans="1:14" x14ac:dyDescent="0.3">
      <c r="A526" t="s">
        <v>809</v>
      </c>
      <c r="B526" t="s">
        <v>158</v>
      </c>
      <c r="C526" t="s">
        <v>31</v>
      </c>
      <c r="D526" t="s">
        <v>21</v>
      </c>
      <c r="E526" s="3"/>
      <c r="F526">
        <v>497</v>
      </c>
      <c r="G526">
        <v>0</v>
      </c>
      <c r="H526">
        <v>497</v>
      </c>
      <c r="I526">
        <v>2944</v>
      </c>
      <c r="J526" t="s">
        <v>14</v>
      </c>
      <c r="K526" s="4">
        <f>IF(AND(ISNUMBER(Raw_Data[[#This Row],[Opening_Stock]]),ISNUMBER(Raw_Data[[#This Row],[Units_Sold]]),Raw_Data[[#This Row],[Opening_Stock]]&gt;0),Raw_Data[[#This Row],[Units_Sold]]/Raw_Data[[#This Row],[Opening_Stock]],"")</f>
        <v>0</v>
      </c>
      <c r="L526" t="str">
        <f>IF(NOT(ISNUMBER(Raw_Data[[#This Row],[Sell_through%]])),"Check",IF(Raw_Data[[#This Row],[Sell_through%]]=0,"Non-moving",IF(Raw_Data[[#This Row],[Sell_through%]]&gt;=0.6,"Fast","Slow")))</f>
        <v>Non-moving</v>
      </c>
      <c r="M526">
        <f>IF(AND(ISNUMBER(Raw_Data[[#This Row],[Closing_Stock]]),ISNUMBER(Raw_Data[[#This Row],[Unit_Cost]])),Raw_Data[[#This Row],[Closing_Stock]]*Raw_Data[[#This Row],[Unit_Cost]],"")</f>
        <v>1463168</v>
      </c>
      <c r="N52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27" spans="1:14" x14ac:dyDescent="0.3">
      <c r="A527" t="s">
        <v>810</v>
      </c>
      <c r="B527" t="s">
        <v>73</v>
      </c>
      <c r="C527" t="s">
        <v>49</v>
      </c>
      <c r="D527" t="s">
        <v>21</v>
      </c>
      <c r="E527" s="3"/>
      <c r="F527">
        <v>253</v>
      </c>
      <c r="G527">
        <v>0</v>
      </c>
      <c r="H527">
        <v>253</v>
      </c>
      <c r="I527">
        <v>335</v>
      </c>
      <c r="J527" t="s">
        <v>14</v>
      </c>
      <c r="K527" s="4">
        <f>IF(AND(ISNUMBER(Raw_Data[[#This Row],[Opening_Stock]]),ISNUMBER(Raw_Data[[#This Row],[Units_Sold]]),Raw_Data[[#This Row],[Opening_Stock]]&gt;0),Raw_Data[[#This Row],[Units_Sold]]/Raw_Data[[#This Row],[Opening_Stock]],"")</f>
        <v>0</v>
      </c>
      <c r="L527" t="str">
        <f>IF(NOT(ISNUMBER(Raw_Data[[#This Row],[Sell_through%]])),"Check",IF(Raw_Data[[#This Row],[Sell_through%]]=0,"Non-moving",IF(Raw_Data[[#This Row],[Sell_through%]]&gt;=0.6,"Fast","Slow")))</f>
        <v>Non-moving</v>
      </c>
      <c r="M527">
        <f>IF(AND(ISNUMBER(Raw_Data[[#This Row],[Closing_Stock]]),ISNUMBER(Raw_Data[[#This Row],[Unit_Cost]])),Raw_Data[[#This Row],[Closing_Stock]]*Raw_Data[[#This Row],[Unit_Cost]],"")</f>
        <v>84755</v>
      </c>
      <c r="N52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28" spans="1:14" x14ac:dyDescent="0.3">
      <c r="A528" t="s">
        <v>811</v>
      </c>
      <c r="B528" t="s">
        <v>367</v>
      </c>
      <c r="C528" t="s">
        <v>35</v>
      </c>
      <c r="D528" t="s">
        <v>36</v>
      </c>
      <c r="E528" s="3">
        <v>46197</v>
      </c>
      <c r="F528">
        <v>163</v>
      </c>
      <c r="G528">
        <v>114</v>
      </c>
      <c r="I528">
        <v>2944</v>
      </c>
      <c r="J528" t="s">
        <v>17</v>
      </c>
      <c r="K528" s="4">
        <f>IF(AND(ISNUMBER(Raw_Data[[#This Row],[Opening_Stock]]),ISNUMBER(Raw_Data[[#This Row],[Units_Sold]]),Raw_Data[[#This Row],[Opening_Stock]]&gt;0),Raw_Data[[#This Row],[Units_Sold]]/Raw_Data[[#This Row],[Opening_Stock]],"")</f>
        <v>0.69938650306748462</v>
      </c>
      <c r="L528" t="str">
        <f>IF(NOT(ISNUMBER(Raw_Data[[#This Row],[Sell_through%]])),"Check",IF(Raw_Data[[#This Row],[Sell_through%]]=0,"Non-moving",IF(Raw_Data[[#This Row],[Sell_through%]]&gt;=0.6,"Fast","Slow")))</f>
        <v>Fast</v>
      </c>
      <c r="M528" t="str">
        <f>IF(AND(ISNUMBER(Raw_Data[[#This Row],[Closing_Stock]]),ISNUMBER(Raw_Data[[#This Row],[Unit_Cost]])),Raw_Data[[#This Row],[Closing_Stock]]*Raw_Data[[#This Row],[Unit_Cost]],"")</f>
        <v/>
      </c>
      <c r="N52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29" spans="1:14" x14ac:dyDescent="0.3">
      <c r="A529" t="s">
        <v>812</v>
      </c>
      <c r="B529" t="s">
        <v>415</v>
      </c>
      <c r="C529" t="s">
        <v>31</v>
      </c>
      <c r="D529" t="s">
        <v>36</v>
      </c>
      <c r="E529" s="3"/>
      <c r="F529">
        <v>404</v>
      </c>
      <c r="G529">
        <v>0</v>
      </c>
      <c r="H529">
        <v>404</v>
      </c>
      <c r="I529">
        <v>306</v>
      </c>
      <c r="J529" t="s">
        <v>14</v>
      </c>
      <c r="K529" s="4">
        <f>IF(AND(ISNUMBER(Raw_Data[[#This Row],[Opening_Stock]]),ISNUMBER(Raw_Data[[#This Row],[Units_Sold]]),Raw_Data[[#This Row],[Opening_Stock]]&gt;0),Raw_Data[[#This Row],[Units_Sold]]/Raw_Data[[#This Row],[Opening_Stock]],"")</f>
        <v>0</v>
      </c>
      <c r="L529" t="str">
        <f>IF(NOT(ISNUMBER(Raw_Data[[#This Row],[Sell_through%]])),"Check",IF(Raw_Data[[#This Row],[Sell_through%]]=0,"Non-moving",IF(Raw_Data[[#This Row],[Sell_through%]]&gt;=0.6,"Fast","Slow")))</f>
        <v>Non-moving</v>
      </c>
      <c r="M529">
        <f>IF(AND(ISNUMBER(Raw_Data[[#This Row],[Closing_Stock]]),ISNUMBER(Raw_Data[[#This Row],[Unit_Cost]])),Raw_Data[[#This Row],[Closing_Stock]]*Raw_Data[[#This Row],[Unit_Cost]],"")</f>
        <v>123624</v>
      </c>
      <c r="N52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30" spans="1:14" x14ac:dyDescent="0.3">
      <c r="A530" t="s">
        <v>814</v>
      </c>
      <c r="B530" t="s">
        <v>1342</v>
      </c>
      <c r="C530" t="s">
        <v>28</v>
      </c>
      <c r="D530" t="s">
        <v>13</v>
      </c>
      <c r="E530" s="3">
        <v>46257</v>
      </c>
      <c r="F530">
        <v>317</v>
      </c>
      <c r="G530">
        <v>49</v>
      </c>
      <c r="H530">
        <v>268</v>
      </c>
      <c r="I530">
        <v>2885</v>
      </c>
      <c r="J530" t="s">
        <v>14</v>
      </c>
      <c r="K530" s="4">
        <f>IF(AND(ISNUMBER(Raw_Data[[#This Row],[Opening_Stock]]),ISNUMBER(Raw_Data[[#This Row],[Units_Sold]]),Raw_Data[[#This Row],[Opening_Stock]]&gt;0),Raw_Data[[#This Row],[Units_Sold]]/Raw_Data[[#This Row],[Opening_Stock]],"")</f>
        <v>0.15457413249211358</v>
      </c>
      <c r="L530" t="str">
        <f>IF(NOT(ISNUMBER(Raw_Data[[#This Row],[Sell_through%]])),"Check",IF(Raw_Data[[#This Row],[Sell_through%]]=0,"Non-moving",IF(Raw_Data[[#This Row],[Sell_through%]]&gt;=0.6,"Fast","Slow")))</f>
        <v>Slow</v>
      </c>
      <c r="M530">
        <f>IF(AND(ISNUMBER(Raw_Data[[#This Row],[Closing_Stock]]),ISNUMBER(Raw_Data[[#This Row],[Unit_Cost]])),Raw_Data[[#This Row],[Closing_Stock]]*Raw_Data[[#This Row],[Unit_Cost]],"")</f>
        <v>773180</v>
      </c>
      <c r="N53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31" spans="1:14" x14ac:dyDescent="0.3">
      <c r="A531" t="s">
        <v>816</v>
      </c>
      <c r="B531" t="s">
        <v>71</v>
      </c>
      <c r="C531" t="s">
        <v>35</v>
      </c>
      <c r="D531" t="s">
        <v>36</v>
      </c>
      <c r="E531" s="3">
        <v>46117</v>
      </c>
      <c r="F531">
        <v>151</v>
      </c>
      <c r="G531">
        <v>50</v>
      </c>
      <c r="H531">
        <v>101</v>
      </c>
      <c r="I531">
        <v>527</v>
      </c>
      <c r="J531" t="s">
        <v>14</v>
      </c>
      <c r="K531" s="4">
        <f>IF(AND(ISNUMBER(Raw_Data[[#This Row],[Opening_Stock]]),ISNUMBER(Raw_Data[[#This Row],[Units_Sold]]),Raw_Data[[#This Row],[Opening_Stock]]&gt;0),Raw_Data[[#This Row],[Units_Sold]]/Raw_Data[[#This Row],[Opening_Stock]],"")</f>
        <v>0.33112582781456956</v>
      </c>
      <c r="L531" t="str">
        <f>IF(NOT(ISNUMBER(Raw_Data[[#This Row],[Sell_through%]])),"Check",IF(Raw_Data[[#This Row],[Sell_through%]]=0,"Non-moving",IF(Raw_Data[[#This Row],[Sell_through%]]&gt;=0.6,"Fast","Slow")))</f>
        <v>Slow</v>
      </c>
      <c r="M531">
        <f>IF(AND(ISNUMBER(Raw_Data[[#This Row],[Closing_Stock]]),ISNUMBER(Raw_Data[[#This Row],[Unit_Cost]])),Raw_Data[[#This Row],[Closing_Stock]]*Raw_Data[[#This Row],[Unit_Cost]],"")</f>
        <v>53227</v>
      </c>
      <c r="N53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32" spans="1:14" x14ac:dyDescent="0.3">
      <c r="A532" t="s">
        <v>817</v>
      </c>
      <c r="B532" t="s">
        <v>284</v>
      </c>
      <c r="C532" t="s">
        <v>49</v>
      </c>
      <c r="D532" t="s">
        <v>21</v>
      </c>
      <c r="E532" s="3">
        <v>46068</v>
      </c>
      <c r="G532">
        <v>275</v>
      </c>
      <c r="H532">
        <v>65</v>
      </c>
      <c r="I532">
        <v>1889</v>
      </c>
      <c r="J532" t="s">
        <v>14</v>
      </c>
      <c r="K532" s="4" t="str">
        <f>IF(AND(ISNUMBER(Raw_Data[[#This Row],[Opening_Stock]]),ISNUMBER(Raw_Data[[#This Row],[Units_Sold]]),Raw_Data[[#This Row],[Opening_Stock]]&gt;0),Raw_Data[[#This Row],[Units_Sold]]/Raw_Data[[#This Row],[Opening_Stock]],"")</f>
        <v/>
      </c>
      <c r="L532" t="str">
        <f>IF(NOT(ISNUMBER(Raw_Data[[#This Row],[Sell_through%]])),"Check",IF(Raw_Data[[#This Row],[Sell_through%]]=0,"Non-moving",IF(Raw_Data[[#This Row],[Sell_through%]]&gt;=0.6,"Fast","Slow")))</f>
        <v>Check</v>
      </c>
      <c r="M532">
        <f>IF(AND(ISNUMBER(Raw_Data[[#This Row],[Closing_Stock]]),ISNUMBER(Raw_Data[[#This Row],[Unit_Cost]])),Raw_Data[[#This Row],[Closing_Stock]]*Raw_Data[[#This Row],[Unit_Cost]],"")</f>
        <v>122785</v>
      </c>
      <c r="N532"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33" spans="1:14" x14ac:dyDescent="0.3">
      <c r="A533" t="s">
        <v>819</v>
      </c>
      <c r="B533" t="s">
        <v>499</v>
      </c>
      <c r="C533" t="s">
        <v>28</v>
      </c>
      <c r="D533" t="s">
        <v>21</v>
      </c>
      <c r="E533" s="3"/>
      <c r="F533">
        <v>92</v>
      </c>
      <c r="G533">
        <v>0</v>
      </c>
      <c r="H533">
        <v>92</v>
      </c>
      <c r="I533">
        <v>2641</v>
      </c>
      <c r="J533" t="s">
        <v>14</v>
      </c>
      <c r="K533" s="4">
        <f>IF(AND(ISNUMBER(Raw_Data[[#This Row],[Opening_Stock]]),ISNUMBER(Raw_Data[[#This Row],[Units_Sold]]),Raw_Data[[#This Row],[Opening_Stock]]&gt;0),Raw_Data[[#This Row],[Units_Sold]]/Raw_Data[[#This Row],[Opening_Stock]],"")</f>
        <v>0</v>
      </c>
      <c r="L533" t="str">
        <f>IF(NOT(ISNUMBER(Raw_Data[[#This Row],[Sell_through%]])),"Check",IF(Raw_Data[[#This Row],[Sell_through%]]=0,"Non-moving",IF(Raw_Data[[#This Row],[Sell_through%]]&gt;=0.6,"Fast","Slow")))</f>
        <v>Non-moving</v>
      </c>
      <c r="M533">
        <f>IF(AND(ISNUMBER(Raw_Data[[#This Row],[Closing_Stock]]),ISNUMBER(Raw_Data[[#This Row],[Unit_Cost]])),Raw_Data[[#This Row],[Closing_Stock]]*Raw_Data[[#This Row],[Unit_Cost]],"")</f>
        <v>242972</v>
      </c>
      <c r="N53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34" spans="1:14" x14ac:dyDescent="0.3">
      <c r="A534" t="s">
        <v>820</v>
      </c>
      <c r="B534" t="s">
        <v>198</v>
      </c>
      <c r="C534" t="s">
        <v>31</v>
      </c>
      <c r="D534" t="s">
        <v>13</v>
      </c>
      <c r="E534" s="3"/>
      <c r="F534">
        <v>392</v>
      </c>
      <c r="G534">
        <v>0</v>
      </c>
      <c r="H534">
        <v>392</v>
      </c>
      <c r="I534">
        <v>2963</v>
      </c>
      <c r="J534" t="s">
        <v>14</v>
      </c>
      <c r="K534" s="4">
        <f>IF(AND(ISNUMBER(Raw_Data[[#This Row],[Opening_Stock]]),ISNUMBER(Raw_Data[[#This Row],[Units_Sold]]),Raw_Data[[#This Row],[Opening_Stock]]&gt;0),Raw_Data[[#This Row],[Units_Sold]]/Raw_Data[[#This Row],[Opening_Stock]],"")</f>
        <v>0</v>
      </c>
      <c r="L534" t="str">
        <f>IF(NOT(ISNUMBER(Raw_Data[[#This Row],[Sell_through%]])),"Check",IF(Raw_Data[[#This Row],[Sell_through%]]=0,"Non-moving",IF(Raw_Data[[#This Row],[Sell_through%]]&gt;=0.6,"Fast","Slow")))</f>
        <v>Non-moving</v>
      </c>
      <c r="M534">
        <f>IF(AND(ISNUMBER(Raw_Data[[#This Row],[Closing_Stock]]),ISNUMBER(Raw_Data[[#This Row],[Unit_Cost]])),Raw_Data[[#This Row],[Closing_Stock]]*Raw_Data[[#This Row],[Unit_Cost]],"")</f>
        <v>1161496</v>
      </c>
      <c r="N53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35" spans="1:14" x14ac:dyDescent="0.3">
      <c r="A535" t="s">
        <v>821</v>
      </c>
      <c r="B535" t="s">
        <v>434</v>
      </c>
      <c r="C535" t="s">
        <v>31</v>
      </c>
      <c r="D535" t="s">
        <v>13</v>
      </c>
      <c r="E535" s="3">
        <v>46242</v>
      </c>
      <c r="F535">
        <v>130</v>
      </c>
      <c r="H535">
        <v>104</v>
      </c>
      <c r="I535">
        <v>2784</v>
      </c>
      <c r="J535" t="s">
        <v>14</v>
      </c>
      <c r="K535" s="4" t="str">
        <f>IF(AND(ISNUMBER(Raw_Data[[#This Row],[Opening_Stock]]),ISNUMBER(Raw_Data[[#This Row],[Units_Sold]]),Raw_Data[[#This Row],[Opening_Stock]]&gt;0),Raw_Data[[#This Row],[Units_Sold]]/Raw_Data[[#This Row],[Opening_Stock]],"")</f>
        <v/>
      </c>
      <c r="L535" t="str">
        <f>IF(NOT(ISNUMBER(Raw_Data[[#This Row],[Sell_through%]])),"Check",IF(Raw_Data[[#This Row],[Sell_through%]]=0,"Non-moving",IF(Raw_Data[[#This Row],[Sell_through%]]&gt;=0.6,"Fast","Slow")))</f>
        <v>Check</v>
      </c>
      <c r="M535">
        <f>IF(AND(ISNUMBER(Raw_Data[[#This Row],[Closing_Stock]]),ISNUMBER(Raw_Data[[#This Row],[Unit_Cost]])),Raw_Data[[#This Row],[Closing_Stock]]*Raw_Data[[#This Row],[Unit_Cost]],"")</f>
        <v>289536</v>
      </c>
      <c r="N53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36" spans="1:14" x14ac:dyDescent="0.3">
      <c r="A536" t="s">
        <v>822</v>
      </c>
      <c r="B536" t="s">
        <v>27</v>
      </c>
      <c r="C536" t="s">
        <v>28</v>
      </c>
      <c r="D536" t="s">
        <v>36</v>
      </c>
      <c r="E536" s="3"/>
      <c r="F536">
        <v>353</v>
      </c>
      <c r="G536">
        <v>0</v>
      </c>
      <c r="H536">
        <v>353</v>
      </c>
      <c r="I536">
        <v>165</v>
      </c>
      <c r="J536" t="s">
        <v>14</v>
      </c>
      <c r="K536" s="4">
        <f>IF(AND(ISNUMBER(Raw_Data[[#This Row],[Opening_Stock]]),ISNUMBER(Raw_Data[[#This Row],[Units_Sold]]),Raw_Data[[#This Row],[Opening_Stock]]&gt;0),Raw_Data[[#This Row],[Units_Sold]]/Raw_Data[[#This Row],[Opening_Stock]],"")</f>
        <v>0</v>
      </c>
      <c r="L536" t="str">
        <f>IF(NOT(ISNUMBER(Raw_Data[[#This Row],[Sell_through%]])),"Check",IF(Raw_Data[[#This Row],[Sell_through%]]=0,"Non-moving",IF(Raw_Data[[#This Row],[Sell_through%]]&gt;=0.6,"Fast","Slow")))</f>
        <v>Non-moving</v>
      </c>
      <c r="M536">
        <f>IF(AND(ISNUMBER(Raw_Data[[#This Row],[Closing_Stock]]),ISNUMBER(Raw_Data[[#This Row],[Unit_Cost]])),Raw_Data[[#This Row],[Closing_Stock]]*Raw_Data[[#This Row],[Unit_Cost]],"")</f>
        <v>58245</v>
      </c>
      <c r="N53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37" spans="1:14" x14ac:dyDescent="0.3">
      <c r="A537" t="s">
        <v>823</v>
      </c>
      <c r="B537" t="s">
        <v>112</v>
      </c>
      <c r="C537" t="s">
        <v>35</v>
      </c>
      <c r="D537" t="s">
        <v>36</v>
      </c>
      <c r="E537" s="3"/>
      <c r="F537">
        <v>250</v>
      </c>
      <c r="G537">
        <v>0</v>
      </c>
      <c r="H537">
        <v>250</v>
      </c>
      <c r="I537">
        <v>516</v>
      </c>
      <c r="J537" t="s">
        <v>14</v>
      </c>
      <c r="K537" s="4">
        <f>IF(AND(ISNUMBER(Raw_Data[[#This Row],[Opening_Stock]]),ISNUMBER(Raw_Data[[#This Row],[Units_Sold]]),Raw_Data[[#This Row],[Opening_Stock]]&gt;0),Raw_Data[[#This Row],[Units_Sold]]/Raw_Data[[#This Row],[Opening_Stock]],"")</f>
        <v>0</v>
      </c>
      <c r="L537" t="str">
        <f>IF(NOT(ISNUMBER(Raw_Data[[#This Row],[Sell_through%]])),"Check",IF(Raw_Data[[#This Row],[Sell_through%]]=0,"Non-moving",IF(Raw_Data[[#This Row],[Sell_through%]]&gt;=0.6,"Fast","Slow")))</f>
        <v>Non-moving</v>
      </c>
      <c r="M537">
        <f>IF(AND(ISNUMBER(Raw_Data[[#This Row],[Closing_Stock]]),ISNUMBER(Raw_Data[[#This Row],[Unit_Cost]])),Raw_Data[[#This Row],[Closing_Stock]]*Raw_Data[[#This Row],[Unit_Cost]],"")</f>
        <v>129000</v>
      </c>
      <c r="N53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38" spans="1:14" x14ac:dyDescent="0.3">
      <c r="A538" t="s">
        <v>824</v>
      </c>
      <c r="B538" t="s">
        <v>198</v>
      </c>
      <c r="C538" t="s">
        <v>31</v>
      </c>
      <c r="D538" t="s">
        <v>13</v>
      </c>
      <c r="E538" s="3">
        <v>46068</v>
      </c>
      <c r="F538">
        <v>371</v>
      </c>
      <c r="G538">
        <v>72</v>
      </c>
      <c r="H538">
        <v>299</v>
      </c>
      <c r="I538">
        <v>1128</v>
      </c>
      <c r="J538" t="s">
        <v>14</v>
      </c>
      <c r="K538" s="4">
        <f>IF(AND(ISNUMBER(Raw_Data[[#This Row],[Opening_Stock]]),ISNUMBER(Raw_Data[[#This Row],[Units_Sold]]),Raw_Data[[#This Row],[Opening_Stock]]&gt;0),Raw_Data[[#This Row],[Units_Sold]]/Raw_Data[[#This Row],[Opening_Stock]],"")</f>
        <v>0.19407008086253369</v>
      </c>
      <c r="L538" t="str">
        <f>IF(NOT(ISNUMBER(Raw_Data[[#This Row],[Sell_through%]])),"Check",IF(Raw_Data[[#This Row],[Sell_through%]]=0,"Non-moving",IF(Raw_Data[[#This Row],[Sell_through%]]&gt;=0.6,"Fast","Slow")))</f>
        <v>Slow</v>
      </c>
      <c r="M538">
        <f>IF(AND(ISNUMBER(Raw_Data[[#This Row],[Closing_Stock]]),ISNUMBER(Raw_Data[[#This Row],[Unit_Cost]])),Raw_Data[[#This Row],[Closing_Stock]]*Raw_Data[[#This Row],[Unit_Cost]],"")</f>
        <v>337272</v>
      </c>
      <c r="N53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39" spans="1:14" x14ac:dyDescent="0.3">
      <c r="A539" t="s">
        <v>826</v>
      </c>
      <c r="B539" t="s">
        <v>41</v>
      </c>
      <c r="C539" t="s">
        <v>49</v>
      </c>
      <c r="D539" t="s">
        <v>32</v>
      </c>
      <c r="E539" s="3">
        <v>46183</v>
      </c>
      <c r="F539">
        <v>115</v>
      </c>
      <c r="G539">
        <v>108</v>
      </c>
      <c r="H539">
        <v>7</v>
      </c>
      <c r="I539">
        <v>2741</v>
      </c>
      <c r="J539" t="s">
        <v>17</v>
      </c>
      <c r="K539" s="4">
        <f>IF(AND(ISNUMBER(Raw_Data[[#This Row],[Opening_Stock]]),ISNUMBER(Raw_Data[[#This Row],[Units_Sold]]),Raw_Data[[#This Row],[Opening_Stock]]&gt;0),Raw_Data[[#This Row],[Units_Sold]]/Raw_Data[[#This Row],[Opening_Stock]],"")</f>
        <v>0.93913043478260871</v>
      </c>
      <c r="L539" t="str">
        <f>IF(NOT(ISNUMBER(Raw_Data[[#This Row],[Sell_through%]])),"Check",IF(Raw_Data[[#This Row],[Sell_through%]]=0,"Non-moving",IF(Raw_Data[[#This Row],[Sell_through%]]&gt;=0.6,"Fast","Slow")))</f>
        <v>Fast</v>
      </c>
      <c r="M539">
        <f>IF(AND(ISNUMBER(Raw_Data[[#This Row],[Closing_Stock]]),ISNUMBER(Raw_Data[[#This Row],[Unit_Cost]])),Raw_Data[[#This Row],[Closing_Stock]]*Raw_Data[[#This Row],[Unit_Cost]],"")</f>
        <v>19187</v>
      </c>
      <c r="N53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40" spans="1:14" x14ac:dyDescent="0.3">
      <c r="A540" t="s">
        <v>828</v>
      </c>
      <c r="B540" t="s">
        <v>308</v>
      </c>
      <c r="C540" t="s">
        <v>12</v>
      </c>
      <c r="D540" t="s">
        <v>36</v>
      </c>
      <c r="E540" s="3"/>
      <c r="F540">
        <v>364</v>
      </c>
      <c r="G540">
        <v>0</v>
      </c>
      <c r="H540">
        <v>364</v>
      </c>
      <c r="I540">
        <v>1461</v>
      </c>
      <c r="J540" t="s">
        <v>14</v>
      </c>
      <c r="K540" s="4">
        <f>IF(AND(ISNUMBER(Raw_Data[[#This Row],[Opening_Stock]]),ISNUMBER(Raw_Data[[#This Row],[Units_Sold]]),Raw_Data[[#This Row],[Opening_Stock]]&gt;0),Raw_Data[[#This Row],[Units_Sold]]/Raw_Data[[#This Row],[Opening_Stock]],"")</f>
        <v>0</v>
      </c>
      <c r="L540" t="str">
        <f>IF(NOT(ISNUMBER(Raw_Data[[#This Row],[Sell_through%]])),"Check",IF(Raw_Data[[#This Row],[Sell_through%]]=0,"Non-moving",IF(Raw_Data[[#This Row],[Sell_through%]]&gt;=0.6,"Fast","Slow")))</f>
        <v>Non-moving</v>
      </c>
      <c r="M540">
        <f>IF(AND(ISNUMBER(Raw_Data[[#This Row],[Closing_Stock]]),ISNUMBER(Raw_Data[[#This Row],[Unit_Cost]])),Raw_Data[[#This Row],[Closing_Stock]]*Raw_Data[[#This Row],[Unit_Cost]],"")</f>
        <v>531804</v>
      </c>
      <c r="N54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41" spans="1:14" x14ac:dyDescent="0.3">
      <c r="A541" t="s">
        <v>830</v>
      </c>
      <c r="B541" t="s">
        <v>1342</v>
      </c>
      <c r="C541" t="s">
        <v>28</v>
      </c>
      <c r="D541" t="s">
        <v>13</v>
      </c>
      <c r="E541" s="3"/>
      <c r="F541">
        <v>366</v>
      </c>
      <c r="G541">
        <v>0</v>
      </c>
      <c r="H541">
        <v>366</v>
      </c>
      <c r="I541">
        <v>77</v>
      </c>
      <c r="J541" t="s">
        <v>14</v>
      </c>
      <c r="K541" s="4">
        <f>IF(AND(ISNUMBER(Raw_Data[[#This Row],[Opening_Stock]]),ISNUMBER(Raw_Data[[#This Row],[Units_Sold]]),Raw_Data[[#This Row],[Opening_Stock]]&gt;0),Raw_Data[[#This Row],[Units_Sold]]/Raw_Data[[#This Row],[Opening_Stock]],"")</f>
        <v>0</v>
      </c>
      <c r="L541" t="str">
        <f>IF(NOT(ISNUMBER(Raw_Data[[#This Row],[Sell_through%]])),"Check",IF(Raw_Data[[#This Row],[Sell_through%]]=0,"Non-moving",IF(Raw_Data[[#This Row],[Sell_through%]]&gt;=0.6,"Fast","Slow")))</f>
        <v>Non-moving</v>
      </c>
      <c r="M541">
        <f>IF(AND(ISNUMBER(Raw_Data[[#This Row],[Closing_Stock]]),ISNUMBER(Raw_Data[[#This Row],[Unit_Cost]])),Raw_Data[[#This Row],[Closing_Stock]]*Raw_Data[[#This Row],[Unit_Cost]],"")</f>
        <v>28182</v>
      </c>
      <c r="N54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42" spans="1:14" x14ac:dyDescent="0.3">
      <c r="A542" t="s">
        <v>831</v>
      </c>
      <c r="B542" t="s">
        <v>294</v>
      </c>
      <c r="C542" t="s">
        <v>35</v>
      </c>
      <c r="D542" t="s">
        <v>21</v>
      </c>
      <c r="E542" s="3"/>
      <c r="F542">
        <v>250</v>
      </c>
      <c r="G542">
        <v>0</v>
      </c>
      <c r="H542">
        <v>250</v>
      </c>
      <c r="I542">
        <v>537</v>
      </c>
      <c r="J542" t="s">
        <v>14</v>
      </c>
      <c r="K542" s="4">
        <f>IF(AND(ISNUMBER(Raw_Data[[#This Row],[Opening_Stock]]),ISNUMBER(Raw_Data[[#This Row],[Units_Sold]]),Raw_Data[[#This Row],[Opening_Stock]]&gt;0),Raw_Data[[#This Row],[Units_Sold]]/Raw_Data[[#This Row],[Opening_Stock]],"")</f>
        <v>0</v>
      </c>
      <c r="L542" t="str">
        <f>IF(NOT(ISNUMBER(Raw_Data[[#This Row],[Sell_through%]])),"Check",IF(Raw_Data[[#This Row],[Sell_through%]]=0,"Non-moving",IF(Raw_Data[[#This Row],[Sell_through%]]&gt;=0.6,"Fast","Slow")))</f>
        <v>Non-moving</v>
      </c>
      <c r="M542">
        <f>IF(AND(ISNUMBER(Raw_Data[[#This Row],[Closing_Stock]]),ISNUMBER(Raw_Data[[#This Row],[Unit_Cost]])),Raw_Data[[#This Row],[Closing_Stock]]*Raw_Data[[#This Row],[Unit_Cost]],"")</f>
        <v>134250</v>
      </c>
      <c r="N54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43" spans="1:14" x14ac:dyDescent="0.3">
      <c r="A543" t="s">
        <v>832</v>
      </c>
      <c r="B543" t="s">
        <v>136</v>
      </c>
      <c r="C543" t="s">
        <v>35</v>
      </c>
      <c r="D543" t="s">
        <v>13</v>
      </c>
      <c r="E543" s="3">
        <v>46024</v>
      </c>
      <c r="F543">
        <v>160</v>
      </c>
      <c r="G543">
        <v>40</v>
      </c>
      <c r="H543">
        <v>120</v>
      </c>
      <c r="I543">
        <v>2637</v>
      </c>
      <c r="J543" t="s">
        <v>14</v>
      </c>
      <c r="K543" s="4">
        <f>IF(AND(ISNUMBER(Raw_Data[[#This Row],[Opening_Stock]]),ISNUMBER(Raw_Data[[#This Row],[Units_Sold]]),Raw_Data[[#This Row],[Opening_Stock]]&gt;0),Raw_Data[[#This Row],[Units_Sold]]/Raw_Data[[#This Row],[Opening_Stock]],"")</f>
        <v>0.25</v>
      </c>
      <c r="L543" t="str">
        <f>IF(NOT(ISNUMBER(Raw_Data[[#This Row],[Sell_through%]])),"Check",IF(Raw_Data[[#This Row],[Sell_through%]]=0,"Non-moving",IF(Raw_Data[[#This Row],[Sell_through%]]&gt;=0.6,"Fast","Slow")))</f>
        <v>Slow</v>
      </c>
      <c r="M543">
        <f>IF(AND(ISNUMBER(Raw_Data[[#This Row],[Closing_Stock]]),ISNUMBER(Raw_Data[[#This Row],[Unit_Cost]])),Raw_Data[[#This Row],[Closing_Stock]]*Raw_Data[[#This Row],[Unit_Cost]],"")</f>
        <v>316440</v>
      </c>
      <c r="N54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44" spans="1:14" x14ac:dyDescent="0.3">
      <c r="A544" t="s">
        <v>833</v>
      </c>
      <c r="B544" t="s">
        <v>422</v>
      </c>
      <c r="D544" t="s">
        <v>21</v>
      </c>
      <c r="E544" s="3">
        <v>46014</v>
      </c>
      <c r="F544">
        <v>175</v>
      </c>
      <c r="G544">
        <v>14</v>
      </c>
      <c r="H544">
        <v>161</v>
      </c>
      <c r="I544">
        <v>890</v>
      </c>
      <c r="J544" t="s">
        <v>14</v>
      </c>
      <c r="K544" s="4">
        <f>IF(AND(ISNUMBER(Raw_Data[[#This Row],[Opening_Stock]]),ISNUMBER(Raw_Data[[#This Row],[Units_Sold]]),Raw_Data[[#This Row],[Opening_Stock]]&gt;0),Raw_Data[[#This Row],[Units_Sold]]/Raw_Data[[#This Row],[Opening_Stock]],"")</f>
        <v>0.08</v>
      </c>
      <c r="L544" t="str">
        <f>IF(NOT(ISNUMBER(Raw_Data[[#This Row],[Sell_through%]])),"Check",IF(Raw_Data[[#This Row],[Sell_through%]]=0,"Non-moving",IF(Raw_Data[[#This Row],[Sell_through%]]&gt;=0.6,"Fast","Slow")))</f>
        <v>Slow</v>
      </c>
      <c r="M544">
        <f>IF(AND(ISNUMBER(Raw_Data[[#This Row],[Closing_Stock]]),ISNUMBER(Raw_Data[[#This Row],[Unit_Cost]])),Raw_Data[[#This Row],[Closing_Stock]]*Raw_Data[[#This Row],[Unit_Cost]],"")</f>
        <v>143290</v>
      </c>
      <c r="N54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45" spans="1:14" x14ac:dyDescent="0.3">
      <c r="A545" t="s">
        <v>834</v>
      </c>
      <c r="B545" t="s">
        <v>65</v>
      </c>
      <c r="C545" t="s">
        <v>49</v>
      </c>
      <c r="D545" t="s">
        <v>13</v>
      </c>
      <c r="E545" s="3">
        <v>46157</v>
      </c>
      <c r="F545">
        <v>264</v>
      </c>
      <c r="G545">
        <v>254</v>
      </c>
      <c r="H545">
        <v>10</v>
      </c>
      <c r="I545">
        <v>2638</v>
      </c>
      <c r="J545" t="s">
        <v>17</v>
      </c>
      <c r="K545" s="4">
        <f>IF(AND(ISNUMBER(Raw_Data[[#This Row],[Opening_Stock]]),ISNUMBER(Raw_Data[[#This Row],[Units_Sold]]),Raw_Data[[#This Row],[Opening_Stock]]&gt;0),Raw_Data[[#This Row],[Units_Sold]]/Raw_Data[[#This Row],[Opening_Stock]],"")</f>
        <v>0.96212121212121215</v>
      </c>
      <c r="L545" t="str">
        <f>IF(NOT(ISNUMBER(Raw_Data[[#This Row],[Sell_through%]])),"Check",IF(Raw_Data[[#This Row],[Sell_through%]]=0,"Non-moving",IF(Raw_Data[[#This Row],[Sell_through%]]&gt;=0.6,"Fast","Slow")))</f>
        <v>Fast</v>
      </c>
      <c r="M545">
        <f>IF(AND(ISNUMBER(Raw_Data[[#This Row],[Closing_Stock]]),ISNUMBER(Raw_Data[[#This Row],[Unit_Cost]])),Raw_Data[[#This Row],[Closing_Stock]]*Raw_Data[[#This Row],[Unit_Cost]],"")</f>
        <v>26380</v>
      </c>
      <c r="N545"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46" spans="1:14" x14ac:dyDescent="0.3">
      <c r="A546" t="s">
        <v>835</v>
      </c>
      <c r="B546" t="s">
        <v>562</v>
      </c>
      <c r="C546" t="s">
        <v>35</v>
      </c>
      <c r="D546" t="s">
        <v>21</v>
      </c>
      <c r="E546" s="3">
        <v>46241</v>
      </c>
      <c r="F546">
        <v>359</v>
      </c>
      <c r="G546">
        <v>359</v>
      </c>
      <c r="H546">
        <v>5</v>
      </c>
      <c r="I546">
        <v>1521</v>
      </c>
      <c r="J546" t="s">
        <v>17</v>
      </c>
      <c r="K546" s="4">
        <f>IF(AND(ISNUMBER(Raw_Data[[#This Row],[Opening_Stock]]),ISNUMBER(Raw_Data[[#This Row],[Units_Sold]]),Raw_Data[[#This Row],[Opening_Stock]]&gt;0),Raw_Data[[#This Row],[Units_Sold]]/Raw_Data[[#This Row],[Opening_Stock]],"")</f>
        <v>1</v>
      </c>
      <c r="L546" t="str">
        <f>IF(NOT(ISNUMBER(Raw_Data[[#This Row],[Sell_through%]])),"Check",IF(Raw_Data[[#This Row],[Sell_through%]]=0,"Non-moving",IF(Raw_Data[[#This Row],[Sell_through%]]&gt;=0.6,"Fast","Slow")))</f>
        <v>Fast</v>
      </c>
      <c r="M546">
        <f>IF(AND(ISNUMBER(Raw_Data[[#This Row],[Closing_Stock]]),ISNUMBER(Raw_Data[[#This Row],[Unit_Cost]])),Raw_Data[[#This Row],[Closing_Stock]]*Raw_Data[[#This Row],[Unit_Cost]],"")</f>
        <v>7605</v>
      </c>
      <c r="N546"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47" spans="1:14" x14ac:dyDescent="0.3">
      <c r="A547" t="s">
        <v>836</v>
      </c>
      <c r="B547" t="s">
        <v>236</v>
      </c>
      <c r="C547" t="s">
        <v>12</v>
      </c>
      <c r="D547" t="s">
        <v>32</v>
      </c>
      <c r="E547" s="3"/>
      <c r="F547">
        <v>317</v>
      </c>
      <c r="G547">
        <v>0</v>
      </c>
      <c r="H547">
        <v>317</v>
      </c>
      <c r="I547">
        <v>772</v>
      </c>
      <c r="J547" t="s">
        <v>14</v>
      </c>
      <c r="K547" s="4">
        <f>IF(AND(ISNUMBER(Raw_Data[[#This Row],[Opening_Stock]]),ISNUMBER(Raw_Data[[#This Row],[Units_Sold]]),Raw_Data[[#This Row],[Opening_Stock]]&gt;0),Raw_Data[[#This Row],[Units_Sold]]/Raw_Data[[#This Row],[Opening_Stock]],"")</f>
        <v>0</v>
      </c>
      <c r="L547" t="str">
        <f>IF(NOT(ISNUMBER(Raw_Data[[#This Row],[Sell_through%]])),"Check",IF(Raw_Data[[#This Row],[Sell_through%]]=0,"Non-moving",IF(Raw_Data[[#This Row],[Sell_through%]]&gt;=0.6,"Fast","Slow")))</f>
        <v>Non-moving</v>
      </c>
      <c r="M547">
        <f>IF(AND(ISNUMBER(Raw_Data[[#This Row],[Closing_Stock]]),ISNUMBER(Raw_Data[[#This Row],[Unit_Cost]])),Raw_Data[[#This Row],[Closing_Stock]]*Raw_Data[[#This Row],[Unit_Cost]],"")</f>
        <v>244724</v>
      </c>
      <c r="N54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48" spans="1:14" x14ac:dyDescent="0.3">
      <c r="A548" t="s">
        <v>837</v>
      </c>
      <c r="B548" t="s">
        <v>562</v>
      </c>
      <c r="C548" t="s">
        <v>35</v>
      </c>
      <c r="D548" t="s">
        <v>13</v>
      </c>
      <c r="E548" s="3">
        <v>46113</v>
      </c>
      <c r="F548">
        <v>203</v>
      </c>
      <c r="G548">
        <v>67</v>
      </c>
      <c r="H548">
        <v>136</v>
      </c>
      <c r="I548">
        <v>324</v>
      </c>
      <c r="J548" t="s">
        <v>14</v>
      </c>
      <c r="K548" s="4">
        <f>IF(AND(ISNUMBER(Raw_Data[[#This Row],[Opening_Stock]]),ISNUMBER(Raw_Data[[#This Row],[Units_Sold]]),Raw_Data[[#This Row],[Opening_Stock]]&gt;0),Raw_Data[[#This Row],[Units_Sold]]/Raw_Data[[#This Row],[Opening_Stock]],"")</f>
        <v>0.33004926108374383</v>
      </c>
      <c r="L548" t="str">
        <f>IF(NOT(ISNUMBER(Raw_Data[[#This Row],[Sell_through%]])),"Check",IF(Raw_Data[[#This Row],[Sell_through%]]=0,"Non-moving",IF(Raw_Data[[#This Row],[Sell_through%]]&gt;=0.6,"Fast","Slow")))</f>
        <v>Slow</v>
      </c>
      <c r="M548">
        <f>IF(AND(ISNUMBER(Raw_Data[[#This Row],[Closing_Stock]]),ISNUMBER(Raw_Data[[#This Row],[Unit_Cost]])),Raw_Data[[#This Row],[Closing_Stock]]*Raw_Data[[#This Row],[Unit_Cost]],"")</f>
        <v>44064</v>
      </c>
      <c r="N54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49" spans="1:14" x14ac:dyDescent="0.3">
      <c r="A549" t="s">
        <v>838</v>
      </c>
      <c r="B549" t="s">
        <v>101</v>
      </c>
      <c r="C549" t="s">
        <v>12</v>
      </c>
      <c r="D549" t="s">
        <v>13</v>
      </c>
      <c r="E549" s="3">
        <v>46243</v>
      </c>
      <c r="F549">
        <v>292</v>
      </c>
      <c r="G549">
        <v>241</v>
      </c>
      <c r="H549">
        <v>51</v>
      </c>
      <c r="I549">
        <v>1997</v>
      </c>
      <c r="J549" t="s">
        <v>17</v>
      </c>
      <c r="K549" s="4">
        <f>IF(AND(ISNUMBER(Raw_Data[[#This Row],[Opening_Stock]]),ISNUMBER(Raw_Data[[#This Row],[Units_Sold]]),Raw_Data[[#This Row],[Opening_Stock]]&gt;0),Raw_Data[[#This Row],[Units_Sold]]/Raw_Data[[#This Row],[Opening_Stock]],"")</f>
        <v>0.82534246575342463</v>
      </c>
      <c r="L549" t="str">
        <f>IF(NOT(ISNUMBER(Raw_Data[[#This Row],[Sell_through%]])),"Check",IF(Raw_Data[[#This Row],[Sell_through%]]=0,"Non-moving",IF(Raw_Data[[#This Row],[Sell_through%]]&gt;=0.6,"Fast","Slow")))</f>
        <v>Fast</v>
      </c>
      <c r="M549">
        <f>IF(AND(ISNUMBER(Raw_Data[[#This Row],[Closing_Stock]]),ISNUMBER(Raw_Data[[#This Row],[Unit_Cost]])),Raw_Data[[#This Row],[Closing_Stock]]*Raw_Data[[#This Row],[Unit_Cost]],"")</f>
        <v>101847</v>
      </c>
      <c r="N54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50" spans="1:14" x14ac:dyDescent="0.3">
      <c r="A550" t="s">
        <v>839</v>
      </c>
      <c r="B550" t="s">
        <v>236</v>
      </c>
      <c r="C550" t="s">
        <v>12</v>
      </c>
      <c r="D550" t="s">
        <v>21</v>
      </c>
      <c r="E550" s="3">
        <v>46047</v>
      </c>
      <c r="F550">
        <v>442</v>
      </c>
      <c r="G550">
        <v>318</v>
      </c>
      <c r="H550">
        <v>129</v>
      </c>
      <c r="I550">
        <v>2283</v>
      </c>
      <c r="J550" t="s">
        <v>14</v>
      </c>
      <c r="K550" s="4">
        <f>IF(AND(ISNUMBER(Raw_Data[[#This Row],[Opening_Stock]]),ISNUMBER(Raw_Data[[#This Row],[Units_Sold]]),Raw_Data[[#This Row],[Opening_Stock]]&gt;0),Raw_Data[[#This Row],[Units_Sold]]/Raw_Data[[#This Row],[Opening_Stock]],"")</f>
        <v>0.71945701357466063</v>
      </c>
      <c r="L550" t="str">
        <f>IF(NOT(ISNUMBER(Raw_Data[[#This Row],[Sell_through%]])),"Check",IF(Raw_Data[[#This Row],[Sell_through%]]=0,"Non-moving",IF(Raw_Data[[#This Row],[Sell_through%]]&gt;=0.6,"Fast","Slow")))</f>
        <v>Fast</v>
      </c>
      <c r="M550">
        <f>IF(AND(ISNUMBER(Raw_Data[[#This Row],[Closing_Stock]]),ISNUMBER(Raw_Data[[#This Row],[Unit_Cost]])),Raw_Data[[#This Row],[Closing_Stock]]*Raw_Data[[#This Row],[Unit_Cost]],"")</f>
        <v>294507</v>
      </c>
      <c r="N550"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51" spans="1:14" x14ac:dyDescent="0.3">
      <c r="A551" t="s">
        <v>840</v>
      </c>
      <c r="B551" t="s">
        <v>363</v>
      </c>
      <c r="C551" t="s">
        <v>12</v>
      </c>
      <c r="D551" t="s">
        <v>36</v>
      </c>
      <c r="E551" s="3">
        <v>46062</v>
      </c>
      <c r="F551">
        <v>89</v>
      </c>
      <c r="G551">
        <v>24</v>
      </c>
      <c r="H551">
        <v>65</v>
      </c>
      <c r="I551">
        <v>633</v>
      </c>
      <c r="J551" t="s">
        <v>14</v>
      </c>
      <c r="K551" s="4">
        <f>IF(AND(ISNUMBER(Raw_Data[[#This Row],[Opening_Stock]]),ISNUMBER(Raw_Data[[#This Row],[Units_Sold]]),Raw_Data[[#This Row],[Opening_Stock]]&gt;0),Raw_Data[[#This Row],[Units_Sold]]/Raw_Data[[#This Row],[Opening_Stock]],"")</f>
        <v>0.2696629213483146</v>
      </c>
      <c r="L551" t="str">
        <f>IF(NOT(ISNUMBER(Raw_Data[[#This Row],[Sell_through%]])),"Check",IF(Raw_Data[[#This Row],[Sell_through%]]=0,"Non-moving",IF(Raw_Data[[#This Row],[Sell_through%]]&gt;=0.6,"Fast","Slow")))</f>
        <v>Slow</v>
      </c>
      <c r="M551">
        <f>IF(AND(ISNUMBER(Raw_Data[[#This Row],[Closing_Stock]]),ISNUMBER(Raw_Data[[#This Row],[Unit_Cost]])),Raw_Data[[#This Row],[Closing_Stock]]*Raw_Data[[#This Row],[Unit_Cost]],"")</f>
        <v>41145</v>
      </c>
      <c r="N55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52" spans="1:14" x14ac:dyDescent="0.3">
      <c r="A552" t="s">
        <v>841</v>
      </c>
      <c r="B552" t="s">
        <v>479</v>
      </c>
      <c r="C552" t="s">
        <v>31</v>
      </c>
      <c r="D552" t="s">
        <v>36</v>
      </c>
      <c r="E552" s="3">
        <v>46293</v>
      </c>
      <c r="F552">
        <v>55</v>
      </c>
      <c r="G552">
        <v>9</v>
      </c>
      <c r="H552">
        <v>46</v>
      </c>
      <c r="I552">
        <v>1719</v>
      </c>
      <c r="J552" t="s">
        <v>17</v>
      </c>
      <c r="K552" s="4">
        <f>IF(AND(ISNUMBER(Raw_Data[[#This Row],[Opening_Stock]]),ISNUMBER(Raw_Data[[#This Row],[Units_Sold]]),Raw_Data[[#This Row],[Opening_Stock]]&gt;0),Raw_Data[[#This Row],[Units_Sold]]/Raw_Data[[#This Row],[Opening_Stock]],"")</f>
        <v>0.16363636363636364</v>
      </c>
      <c r="L552" t="str">
        <f>IF(NOT(ISNUMBER(Raw_Data[[#This Row],[Sell_through%]])),"Check",IF(Raw_Data[[#This Row],[Sell_through%]]=0,"Non-moving",IF(Raw_Data[[#This Row],[Sell_through%]]&gt;=0.6,"Fast","Slow")))</f>
        <v>Slow</v>
      </c>
      <c r="M552">
        <f>IF(AND(ISNUMBER(Raw_Data[[#This Row],[Closing_Stock]]),ISNUMBER(Raw_Data[[#This Row],[Unit_Cost]])),Raw_Data[[#This Row],[Closing_Stock]]*Raw_Data[[#This Row],[Unit_Cost]],"")</f>
        <v>79074</v>
      </c>
      <c r="N552"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53" spans="1:14" x14ac:dyDescent="0.3">
      <c r="A553" t="s">
        <v>842</v>
      </c>
      <c r="B553" t="s">
        <v>112</v>
      </c>
      <c r="C553" t="s">
        <v>35</v>
      </c>
      <c r="D553" t="s">
        <v>32</v>
      </c>
      <c r="E553" s="3">
        <v>46193</v>
      </c>
      <c r="F553">
        <v>193</v>
      </c>
      <c r="G553">
        <v>176</v>
      </c>
      <c r="H553">
        <v>17</v>
      </c>
      <c r="I553">
        <v>2959</v>
      </c>
      <c r="J553" t="s">
        <v>17</v>
      </c>
      <c r="K553" s="4">
        <f>IF(AND(ISNUMBER(Raw_Data[[#This Row],[Opening_Stock]]),ISNUMBER(Raw_Data[[#This Row],[Units_Sold]]),Raw_Data[[#This Row],[Opening_Stock]]&gt;0),Raw_Data[[#This Row],[Units_Sold]]/Raw_Data[[#This Row],[Opening_Stock]],"")</f>
        <v>0.91191709844559588</v>
      </c>
      <c r="L553" t="str">
        <f>IF(NOT(ISNUMBER(Raw_Data[[#This Row],[Sell_through%]])),"Check",IF(Raw_Data[[#This Row],[Sell_through%]]=0,"Non-moving",IF(Raw_Data[[#This Row],[Sell_through%]]&gt;=0.6,"Fast","Slow")))</f>
        <v>Fast</v>
      </c>
      <c r="M553">
        <f>IF(AND(ISNUMBER(Raw_Data[[#This Row],[Closing_Stock]]),ISNUMBER(Raw_Data[[#This Row],[Unit_Cost]])),Raw_Data[[#This Row],[Closing_Stock]]*Raw_Data[[#This Row],[Unit_Cost]],"")</f>
        <v>50303</v>
      </c>
      <c r="N553"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54" spans="1:14" x14ac:dyDescent="0.3">
      <c r="A554" t="s">
        <v>844</v>
      </c>
      <c r="B554" t="s">
        <v>73</v>
      </c>
      <c r="C554" t="s">
        <v>49</v>
      </c>
      <c r="D554" t="s">
        <v>36</v>
      </c>
      <c r="E554" s="3">
        <v>46209</v>
      </c>
      <c r="F554">
        <v>478</v>
      </c>
      <c r="G554">
        <v>92</v>
      </c>
      <c r="H554">
        <v>386</v>
      </c>
      <c r="I554">
        <v>1859</v>
      </c>
      <c r="J554" t="s">
        <v>14</v>
      </c>
      <c r="K554" s="4">
        <f>IF(AND(ISNUMBER(Raw_Data[[#This Row],[Opening_Stock]]),ISNUMBER(Raw_Data[[#This Row],[Units_Sold]]),Raw_Data[[#This Row],[Opening_Stock]]&gt;0),Raw_Data[[#This Row],[Units_Sold]]/Raw_Data[[#This Row],[Opening_Stock]],"")</f>
        <v>0.19246861924686193</v>
      </c>
      <c r="L554" t="str">
        <f>IF(NOT(ISNUMBER(Raw_Data[[#This Row],[Sell_through%]])),"Check",IF(Raw_Data[[#This Row],[Sell_through%]]=0,"Non-moving",IF(Raw_Data[[#This Row],[Sell_through%]]&gt;=0.6,"Fast","Slow")))</f>
        <v>Slow</v>
      </c>
      <c r="M554">
        <f>IF(AND(ISNUMBER(Raw_Data[[#This Row],[Closing_Stock]]),ISNUMBER(Raw_Data[[#This Row],[Unit_Cost]])),Raw_Data[[#This Row],[Closing_Stock]]*Raw_Data[[#This Row],[Unit_Cost]],"")</f>
        <v>717574</v>
      </c>
      <c r="N55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55" spans="1:14" x14ac:dyDescent="0.3">
      <c r="A555" t="s">
        <v>846</v>
      </c>
      <c r="B555" t="s">
        <v>105</v>
      </c>
      <c r="C555" t="s">
        <v>28</v>
      </c>
      <c r="D555" t="s">
        <v>21</v>
      </c>
      <c r="E555" s="3">
        <v>46142</v>
      </c>
      <c r="F555">
        <v>392</v>
      </c>
      <c r="G555">
        <v>43</v>
      </c>
      <c r="H555">
        <v>349</v>
      </c>
      <c r="I555">
        <v>2947</v>
      </c>
      <c r="J555" t="s">
        <v>14</v>
      </c>
      <c r="K555" s="4">
        <f>IF(AND(ISNUMBER(Raw_Data[[#This Row],[Opening_Stock]]),ISNUMBER(Raw_Data[[#This Row],[Units_Sold]]),Raw_Data[[#This Row],[Opening_Stock]]&gt;0),Raw_Data[[#This Row],[Units_Sold]]/Raw_Data[[#This Row],[Opening_Stock]],"")</f>
        <v>0.10969387755102041</v>
      </c>
      <c r="L555" t="str">
        <f>IF(NOT(ISNUMBER(Raw_Data[[#This Row],[Sell_through%]])),"Check",IF(Raw_Data[[#This Row],[Sell_through%]]=0,"Non-moving",IF(Raw_Data[[#This Row],[Sell_through%]]&gt;=0.6,"Fast","Slow")))</f>
        <v>Slow</v>
      </c>
      <c r="M555">
        <f>IF(AND(ISNUMBER(Raw_Data[[#This Row],[Closing_Stock]]),ISNUMBER(Raw_Data[[#This Row],[Unit_Cost]])),Raw_Data[[#This Row],[Closing_Stock]]*Raw_Data[[#This Row],[Unit_Cost]],"")</f>
        <v>1028503</v>
      </c>
      <c r="N55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56" spans="1:14" x14ac:dyDescent="0.3">
      <c r="A556" t="s">
        <v>848</v>
      </c>
      <c r="B556" t="s">
        <v>363</v>
      </c>
      <c r="C556" t="s">
        <v>12</v>
      </c>
      <c r="D556" t="s">
        <v>21</v>
      </c>
      <c r="E556" s="3">
        <v>46092</v>
      </c>
      <c r="F556">
        <v>258</v>
      </c>
      <c r="G556">
        <v>211</v>
      </c>
      <c r="H556">
        <v>47</v>
      </c>
      <c r="I556">
        <v>2247</v>
      </c>
      <c r="K556" s="4">
        <f>IF(AND(ISNUMBER(Raw_Data[[#This Row],[Opening_Stock]]),ISNUMBER(Raw_Data[[#This Row],[Units_Sold]]),Raw_Data[[#This Row],[Opening_Stock]]&gt;0),Raw_Data[[#This Row],[Units_Sold]]/Raw_Data[[#This Row],[Opening_Stock]],"")</f>
        <v>0.81782945736434109</v>
      </c>
      <c r="L556" t="str">
        <f>IF(NOT(ISNUMBER(Raw_Data[[#This Row],[Sell_through%]])),"Check",IF(Raw_Data[[#This Row],[Sell_through%]]=0,"Non-moving",IF(Raw_Data[[#This Row],[Sell_through%]]&gt;=0.6,"Fast","Slow")))</f>
        <v>Fast</v>
      </c>
      <c r="M556">
        <f>IF(AND(ISNUMBER(Raw_Data[[#This Row],[Closing_Stock]]),ISNUMBER(Raw_Data[[#This Row],[Unit_Cost]])),Raw_Data[[#This Row],[Closing_Stock]]*Raw_Data[[#This Row],[Unit_Cost]],"")</f>
        <v>105609</v>
      </c>
      <c r="N556"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57" spans="1:14" x14ac:dyDescent="0.3">
      <c r="A557" t="s">
        <v>849</v>
      </c>
      <c r="B557" t="s">
        <v>138</v>
      </c>
      <c r="C557" t="s">
        <v>31</v>
      </c>
      <c r="D557" t="s">
        <v>13</v>
      </c>
      <c r="E557" s="3">
        <v>46271</v>
      </c>
      <c r="G557">
        <v>50</v>
      </c>
      <c r="H557">
        <v>297</v>
      </c>
      <c r="I557">
        <v>2424</v>
      </c>
      <c r="J557" t="s">
        <v>14</v>
      </c>
      <c r="K557" s="4" t="str">
        <f>IF(AND(ISNUMBER(Raw_Data[[#This Row],[Opening_Stock]]),ISNUMBER(Raw_Data[[#This Row],[Units_Sold]]),Raw_Data[[#This Row],[Opening_Stock]]&gt;0),Raw_Data[[#This Row],[Units_Sold]]/Raw_Data[[#This Row],[Opening_Stock]],"")</f>
        <v/>
      </c>
      <c r="L557" t="str">
        <f>IF(NOT(ISNUMBER(Raw_Data[[#This Row],[Sell_through%]])),"Check",IF(Raw_Data[[#This Row],[Sell_through%]]=0,"Non-moving",IF(Raw_Data[[#This Row],[Sell_through%]]&gt;=0.6,"Fast","Slow")))</f>
        <v>Check</v>
      </c>
      <c r="M557">
        <f>IF(AND(ISNUMBER(Raw_Data[[#This Row],[Closing_Stock]]),ISNUMBER(Raw_Data[[#This Row],[Unit_Cost]])),Raw_Data[[#This Row],[Closing_Stock]]*Raw_Data[[#This Row],[Unit_Cost]],"")</f>
        <v>719928</v>
      </c>
      <c r="N557"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58" spans="1:14" x14ac:dyDescent="0.3">
      <c r="A558" t="s">
        <v>851</v>
      </c>
      <c r="B558" t="s">
        <v>551</v>
      </c>
      <c r="C558" t="s">
        <v>12</v>
      </c>
      <c r="D558" t="s">
        <v>36</v>
      </c>
      <c r="E558" s="3">
        <v>46098</v>
      </c>
      <c r="F558">
        <v>390</v>
      </c>
      <c r="G558">
        <v>347</v>
      </c>
      <c r="H558">
        <v>43</v>
      </c>
      <c r="I558">
        <v>150</v>
      </c>
      <c r="J558" t="s">
        <v>17</v>
      </c>
      <c r="K558" s="4">
        <f>IF(AND(ISNUMBER(Raw_Data[[#This Row],[Opening_Stock]]),ISNUMBER(Raw_Data[[#This Row],[Units_Sold]]),Raw_Data[[#This Row],[Opening_Stock]]&gt;0),Raw_Data[[#This Row],[Units_Sold]]/Raw_Data[[#This Row],[Opening_Stock]],"")</f>
        <v>0.88974358974358969</v>
      </c>
      <c r="L558" t="str">
        <f>IF(NOT(ISNUMBER(Raw_Data[[#This Row],[Sell_through%]])),"Check",IF(Raw_Data[[#This Row],[Sell_through%]]=0,"Non-moving",IF(Raw_Data[[#This Row],[Sell_through%]]&gt;=0.6,"Fast","Slow")))</f>
        <v>Fast</v>
      </c>
      <c r="M558">
        <f>IF(AND(ISNUMBER(Raw_Data[[#This Row],[Closing_Stock]]),ISNUMBER(Raw_Data[[#This Row],[Unit_Cost]])),Raw_Data[[#This Row],[Closing_Stock]]*Raw_Data[[#This Row],[Unit_Cost]],"")</f>
        <v>6450</v>
      </c>
      <c r="N55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59" spans="1:14" x14ac:dyDescent="0.3">
      <c r="A559" t="s">
        <v>852</v>
      </c>
      <c r="B559" t="s">
        <v>499</v>
      </c>
      <c r="C559" t="s">
        <v>28</v>
      </c>
      <c r="D559" t="s">
        <v>13</v>
      </c>
      <c r="E559" s="3">
        <v>46056</v>
      </c>
      <c r="F559">
        <v>229</v>
      </c>
      <c r="G559">
        <v>79</v>
      </c>
      <c r="H559">
        <v>150</v>
      </c>
      <c r="I559">
        <v>2785</v>
      </c>
      <c r="J559" t="s">
        <v>14</v>
      </c>
      <c r="K559" s="4">
        <f>IF(AND(ISNUMBER(Raw_Data[[#This Row],[Opening_Stock]]),ISNUMBER(Raw_Data[[#This Row],[Units_Sold]]),Raw_Data[[#This Row],[Opening_Stock]]&gt;0),Raw_Data[[#This Row],[Units_Sold]]/Raw_Data[[#This Row],[Opening_Stock]],"")</f>
        <v>0.34497816593886466</v>
      </c>
      <c r="L559" t="str">
        <f>IF(NOT(ISNUMBER(Raw_Data[[#This Row],[Sell_through%]])),"Check",IF(Raw_Data[[#This Row],[Sell_through%]]=0,"Non-moving",IF(Raw_Data[[#This Row],[Sell_through%]]&gt;=0.6,"Fast","Slow")))</f>
        <v>Slow</v>
      </c>
      <c r="M559">
        <f>IF(AND(ISNUMBER(Raw_Data[[#This Row],[Closing_Stock]]),ISNUMBER(Raw_Data[[#This Row],[Unit_Cost]])),Raw_Data[[#This Row],[Closing_Stock]]*Raw_Data[[#This Row],[Unit_Cost]],"")</f>
        <v>417750</v>
      </c>
      <c r="N55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60" spans="1:14" x14ac:dyDescent="0.3">
      <c r="A560" t="s">
        <v>854</v>
      </c>
      <c r="B560" t="s">
        <v>93</v>
      </c>
      <c r="C560" t="s">
        <v>12</v>
      </c>
      <c r="D560" t="s">
        <v>21</v>
      </c>
      <c r="E560" s="3">
        <v>46177</v>
      </c>
      <c r="F560">
        <v>289</v>
      </c>
      <c r="G560">
        <v>221</v>
      </c>
      <c r="H560">
        <v>68</v>
      </c>
      <c r="J560" t="s">
        <v>14</v>
      </c>
      <c r="K560" s="4">
        <f>IF(AND(ISNUMBER(Raw_Data[[#This Row],[Opening_Stock]]),ISNUMBER(Raw_Data[[#This Row],[Units_Sold]]),Raw_Data[[#This Row],[Opening_Stock]]&gt;0),Raw_Data[[#This Row],[Units_Sold]]/Raw_Data[[#This Row],[Opening_Stock]],"")</f>
        <v>0.76470588235294112</v>
      </c>
      <c r="L560" t="str">
        <f>IF(NOT(ISNUMBER(Raw_Data[[#This Row],[Sell_through%]])),"Check",IF(Raw_Data[[#This Row],[Sell_through%]]=0,"Non-moving",IF(Raw_Data[[#This Row],[Sell_through%]]&gt;=0.6,"Fast","Slow")))</f>
        <v>Fast</v>
      </c>
      <c r="M560" t="str">
        <f>IF(AND(ISNUMBER(Raw_Data[[#This Row],[Closing_Stock]]),ISNUMBER(Raw_Data[[#This Row],[Unit_Cost]])),Raw_Data[[#This Row],[Closing_Stock]]*Raw_Data[[#This Row],[Unit_Cost]],"")</f>
        <v/>
      </c>
      <c r="N560"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61" spans="1:14" x14ac:dyDescent="0.3">
      <c r="A561" t="s">
        <v>855</v>
      </c>
      <c r="B561" t="s">
        <v>308</v>
      </c>
      <c r="C561" t="s">
        <v>12</v>
      </c>
      <c r="D561" t="s">
        <v>32</v>
      </c>
      <c r="E561" s="3">
        <v>46021</v>
      </c>
      <c r="F561">
        <v>374</v>
      </c>
      <c r="G561">
        <v>323</v>
      </c>
      <c r="H561">
        <v>51</v>
      </c>
      <c r="I561">
        <v>520</v>
      </c>
      <c r="J561" t="s">
        <v>17</v>
      </c>
      <c r="K561" s="4">
        <f>IF(AND(ISNUMBER(Raw_Data[[#This Row],[Opening_Stock]]),ISNUMBER(Raw_Data[[#This Row],[Units_Sold]]),Raw_Data[[#This Row],[Opening_Stock]]&gt;0),Raw_Data[[#This Row],[Units_Sold]]/Raw_Data[[#This Row],[Opening_Stock]],"")</f>
        <v>0.86363636363636365</v>
      </c>
      <c r="L561" t="str">
        <f>IF(NOT(ISNUMBER(Raw_Data[[#This Row],[Sell_through%]])),"Check",IF(Raw_Data[[#This Row],[Sell_through%]]=0,"Non-moving",IF(Raw_Data[[#This Row],[Sell_through%]]&gt;=0.6,"Fast","Slow")))</f>
        <v>Fast</v>
      </c>
      <c r="M561">
        <f>IF(AND(ISNUMBER(Raw_Data[[#This Row],[Closing_Stock]]),ISNUMBER(Raw_Data[[#This Row],[Unit_Cost]])),Raw_Data[[#This Row],[Closing_Stock]]*Raw_Data[[#This Row],[Unit_Cost]],"")</f>
        <v>26520</v>
      </c>
      <c r="N56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62" spans="1:14" x14ac:dyDescent="0.3">
      <c r="A562" t="s">
        <v>856</v>
      </c>
      <c r="B562" t="s">
        <v>89</v>
      </c>
      <c r="C562" t="s">
        <v>49</v>
      </c>
      <c r="D562" t="s">
        <v>13</v>
      </c>
      <c r="E562" s="3">
        <v>46101</v>
      </c>
      <c r="F562">
        <v>194</v>
      </c>
      <c r="G562">
        <v>45</v>
      </c>
      <c r="H562">
        <v>149</v>
      </c>
      <c r="I562">
        <v>2098</v>
      </c>
      <c r="J562" t="s">
        <v>14</v>
      </c>
      <c r="K562" s="4">
        <f>IF(AND(ISNUMBER(Raw_Data[[#This Row],[Opening_Stock]]),ISNUMBER(Raw_Data[[#This Row],[Units_Sold]]),Raw_Data[[#This Row],[Opening_Stock]]&gt;0),Raw_Data[[#This Row],[Units_Sold]]/Raw_Data[[#This Row],[Opening_Stock]],"")</f>
        <v>0.23195876288659795</v>
      </c>
      <c r="L562" t="str">
        <f>IF(NOT(ISNUMBER(Raw_Data[[#This Row],[Sell_through%]])),"Check",IF(Raw_Data[[#This Row],[Sell_through%]]=0,"Non-moving",IF(Raw_Data[[#This Row],[Sell_through%]]&gt;=0.6,"Fast","Slow")))</f>
        <v>Slow</v>
      </c>
      <c r="M562">
        <f>IF(AND(ISNUMBER(Raw_Data[[#This Row],[Closing_Stock]]),ISNUMBER(Raw_Data[[#This Row],[Unit_Cost]])),Raw_Data[[#This Row],[Closing_Stock]]*Raw_Data[[#This Row],[Unit_Cost]],"")</f>
        <v>312602</v>
      </c>
      <c r="N56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63" spans="1:14" x14ac:dyDescent="0.3">
      <c r="A563" t="s">
        <v>857</v>
      </c>
      <c r="B563" t="s">
        <v>142</v>
      </c>
      <c r="C563" t="s">
        <v>49</v>
      </c>
      <c r="D563" t="s">
        <v>13</v>
      </c>
      <c r="E563" s="3">
        <v>46042</v>
      </c>
      <c r="F563">
        <v>51</v>
      </c>
      <c r="G563">
        <v>48</v>
      </c>
      <c r="H563">
        <v>3</v>
      </c>
      <c r="I563">
        <v>1892</v>
      </c>
      <c r="K563" s="4">
        <f>IF(AND(ISNUMBER(Raw_Data[[#This Row],[Opening_Stock]]),ISNUMBER(Raw_Data[[#This Row],[Units_Sold]]),Raw_Data[[#This Row],[Opening_Stock]]&gt;0),Raw_Data[[#This Row],[Units_Sold]]/Raw_Data[[#This Row],[Opening_Stock]],"")</f>
        <v>0.94117647058823528</v>
      </c>
      <c r="L563" t="str">
        <f>IF(NOT(ISNUMBER(Raw_Data[[#This Row],[Sell_through%]])),"Check",IF(Raw_Data[[#This Row],[Sell_through%]]=0,"Non-moving",IF(Raw_Data[[#This Row],[Sell_through%]]&gt;=0.6,"Fast","Slow")))</f>
        <v>Fast</v>
      </c>
      <c r="M563">
        <f>IF(AND(ISNUMBER(Raw_Data[[#This Row],[Closing_Stock]]),ISNUMBER(Raw_Data[[#This Row],[Unit_Cost]])),Raw_Data[[#This Row],[Closing_Stock]]*Raw_Data[[#This Row],[Unit_Cost]],"")</f>
        <v>5676</v>
      </c>
      <c r="N56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64" spans="1:14" x14ac:dyDescent="0.3">
      <c r="A564" t="s">
        <v>858</v>
      </c>
      <c r="B564" t="s">
        <v>117</v>
      </c>
      <c r="C564" t="s">
        <v>28</v>
      </c>
      <c r="D564" t="s">
        <v>13</v>
      </c>
      <c r="E564" s="3">
        <v>46273</v>
      </c>
      <c r="F564">
        <v>253</v>
      </c>
      <c r="G564">
        <v>250</v>
      </c>
      <c r="H564">
        <v>3</v>
      </c>
      <c r="I564">
        <v>74</v>
      </c>
      <c r="J564" t="s">
        <v>17</v>
      </c>
      <c r="K564" s="4">
        <f>IF(AND(ISNUMBER(Raw_Data[[#This Row],[Opening_Stock]]),ISNUMBER(Raw_Data[[#This Row],[Units_Sold]]),Raw_Data[[#This Row],[Opening_Stock]]&gt;0),Raw_Data[[#This Row],[Units_Sold]]/Raw_Data[[#This Row],[Opening_Stock]],"")</f>
        <v>0.98814229249011853</v>
      </c>
      <c r="L564" t="str">
        <f>IF(NOT(ISNUMBER(Raw_Data[[#This Row],[Sell_through%]])),"Check",IF(Raw_Data[[#This Row],[Sell_through%]]=0,"Non-moving",IF(Raw_Data[[#This Row],[Sell_through%]]&gt;=0.6,"Fast","Slow")))</f>
        <v>Fast</v>
      </c>
      <c r="M564">
        <f>IF(AND(ISNUMBER(Raw_Data[[#This Row],[Closing_Stock]]),ISNUMBER(Raw_Data[[#This Row],[Unit_Cost]])),Raw_Data[[#This Row],[Closing_Stock]]*Raw_Data[[#This Row],[Unit_Cost]],"")</f>
        <v>222</v>
      </c>
      <c r="N56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65" spans="1:14" x14ac:dyDescent="0.3">
      <c r="A565" t="s">
        <v>859</v>
      </c>
      <c r="B565" t="s">
        <v>1343</v>
      </c>
      <c r="C565" t="s">
        <v>28</v>
      </c>
      <c r="D565" t="s">
        <v>32</v>
      </c>
      <c r="E565" s="3">
        <v>46246</v>
      </c>
      <c r="F565">
        <v>302</v>
      </c>
      <c r="G565">
        <v>21</v>
      </c>
      <c r="H565">
        <v>281</v>
      </c>
      <c r="I565">
        <v>2375</v>
      </c>
      <c r="J565" t="s">
        <v>14</v>
      </c>
      <c r="K565" s="4">
        <f>IF(AND(ISNUMBER(Raw_Data[[#This Row],[Opening_Stock]]),ISNUMBER(Raw_Data[[#This Row],[Units_Sold]]),Raw_Data[[#This Row],[Opening_Stock]]&gt;0),Raw_Data[[#This Row],[Units_Sold]]/Raw_Data[[#This Row],[Opening_Stock]],"")</f>
        <v>6.9536423841059597E-2</v>
      </c>
      <c r="L565" t="str">
        <f>IF(NOT(ISNUMBER(Raw_Data[[#This Row],[Sell_through%]])),"Check",IF(Raw_Data[[#This Row],[Sell_through%]]=0,"Non-moving",IF(Raw_Data[[#This Row],[Sell_through%]]&gt;=0.6,"Fast","Slow")))</f>
        <v>Slow</v>
      </c>
      <c r="M565">
        <f>IF(AND(ISNUMBER(Raw_Data[[#This Row],[Closing_Stock]]),ISNUMBER(Raw_Data[[#This Row],[Unit_Cost]])),Raw_Data[[#This Row],[Closing_Stock]]*Raw_Data[[#This Row],[Unit_Cost]],"")</f>
        <v>667375</v>
      </c>
      <c r="N56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66" spans="1:14" x14ac:dyDescent="0.3">
      <c r="A566" t="s">
        <v>860</v>
      </c>
      <c r="B566" t="s">
        <v>78</v>
      </c>
      <c r="C566" t="s">
        <v>35</v>
      </c>
      <c r="D566" t="s">
        <v>32</v>
      </c>
      <c r="E566" s="3">
        <v>46096</v>
      </c>
      <c r="F566">
        <v>369</v>
      </c>
      <c r="G566">
        <v>56</v>
      </c>
      <c r="H566">
        <v>318</v>
      </c>
      <c r="I566">
        <v>2384</v>
      </c>
      <c r="J566" t="s">
        <v>14</v>
      </c>
      <c r="K566" s="4">
        <f>IF(AND(ISNUMBER(Raw_Data[[#This Row],[Opening_Stock]]),ISNUMBER(Raw_Data[[#This Row],[Units_Sold]]),Raw_Data[[#This Row],[Opening_Stock]]&gt;0),Raw_Data[[#This Row],[Units_Sold]]/Raw_Data[[#This Row],[Opening_Stock]],"")</f>
        <v>0.15176151761517614</v>
      </c>
      <c r="L566" t="str">
        <f>IF(NOT(ISNUMBER(Raw_Data[[#This Row],[Sell_through%]])),"Check",IF(Raw_Data[[#This Row],[Sell_through%]]=0,"Non-moving",IF(Raw_Data[[#This Row],[Sell_through%]]&gt;=0.6,"Fast","Slow")))</f>
        <v>Slow</v>
      </c>
      <c r="M566">
        <f>IF(AND(ISNUMBER(Raw_Data[[#This Row],[Closing_Stock]]),ISNUMBER(Raw_Data[[#This Row],[Unit_Cost]])),Raw_Data[[#This Row],[Closing_Stock]]*Raw_Data[[#This Row],[Unit_Cost]],"")</f>
        <v>758112</v>
      </c>
      <c r="N56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67" spans="1:14" x14ac:dyDescent="0.3">
      <c r="A567" t="s">
        <v>861</v>
      </c>
      <c r="B567" t="s">
        <v>93</v>
      </c>
      <c r="C567" t="s">
        <v>12</v>
      </c>
      <c r="D567" t="s">
        <v>32</v>
      </c>
      <c r="E567" s="3">
        <v>46011</v>
      </c>
      <c r="F567">
        <v>80</v>
      </c>
      <c r="G567">
        <v>71</v>
      </c>
      <c r="H567">
        <v>9</v>
      </c>
      <c r="I567">
        <v>1789</v>
      </c>
      <c r="J567" t="s">
        <v>17</v>
      </c>
      <c r="K567" s="4">
        <f>IF(AND(ISNUMBER(Raw_Data[[#This Row],[Opening_Stock]]),ISNUMBER(Raw_Data[[#This Row],[Units_Sold]]),Raw_Data[[#This Row],[Opening_Stock]]&gt;0),Raw_Data[[#This Row],[Units_Sold]]/Raw_Data[[#This Row],[Opening_Stock]],"")</f>
        <v>0.88749999999999996</v>
      </c>
      <c r="L567" t="str">
        <f>IF(NOT(ISNUMBER(Raw_Data[[#This Row],[Sell_through%]])),"Check",IF(Raw_Data[[#This Row],[Sell_through%]]=0,"Non-moving",IF(Raw_Data[[#This Row],[Sell_through%]]&gt;=0.6,"Fast","Slow")))</f>
        <v>Fast</v>
      </c>
      <c r="M567">
        <f>IF(AND(ISNUMBER(Raw_Data[[#This Row],[Closing_Stock]]),ISNUMBER(Raw_Data[[#This Row],[Unit_Cost]])),Raw_Data[[#This Row],[Closing_Stock]]*Raw_Data[[#This Row],[Unit_Cost]],"")</f>
        <v>16101</v>
      </c>
      <c r="N56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68" spans="1:14" x14ac:dyDescent="0.3">
      <c r="A568" t="s">
        <v>862</v>
      </c>
      <c r="B568" t="s">
        <v>93</v>
      </c>
      <c r="C568" t="s">
        <v>12</v>
      </c>
      <c r="D568" t="s">
        <v>13</v>
      </c>
      <c r="E568" s="3">
        <v>46032</v>
      </c>
      <c r="F568">
        <v>65</v>
      </c>
      <c r="G568">
        <v>55</v>
      </c>
      <c r="H568">
        <v>10</v>
      </c>
      <c r="I568">
        <v>2561</v>
      </c>
      <c r="K568" s="4">
        <f>IF(AND(ISNUMBER(Raw_Data[[#This Row],[Opening_Stock]]),ISNUMBER(Raw_Data[[#This Row],[Units_Sold]]),Raw_Data[[#This Row],[Opening_Stock]]&gt;0),Raw_Data[[#This Row],[Units_Sold]]/Raw_Data[[#This Row],[Opening_Stock]],"")</f>
        <v>0.84615384615384615</v>
      </c>
      <c r="L568" t="str">
        <f>IF(NOT(ISNUMBER(Raw_Data[[#This Row],[Sell_through%]])),"Check",IF(Raw_Data[[#This Row],[Sell_through%]]=0,"Non-moving",IF(Raw_Data[[#This Row],[Sell_through%]]&gt;=0.6,"Fast","Slow")))</f>
        <v>Fast</v>
      </c>
      <c r="M568">
        <f>IF(AND(ISNUMBER(Raw_Data[[#This Row],[Closing_Stock]]),ISNUMBER(Raw_Data[[#This Row],[Unit_Cost]])),Raw_Data[[#This Row],[Closing_Stock]]*Raw_Data[[#This Row],[Unit_Cost]],"")</f>
        <v>25610</v>
      </c>
      <c r="N568"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69" spans="1:14" x14ac:dyDescent="0.3">
      <c r="A569" t="s">
        <v>863</v>
      </c>
      <c r="B569" t="s">
        <v>146</v>
      </c>
      <c r="C569" t="s">
        <v>35</v>
      </c>
      <c r="D569" t="s">
        <v>13</v>
      </c>
      <c r="E569" s="3"/>
      <c r="F569">
        <v>297</v>
      </c>
      <c r="G569">
        <v>0</v>
      </c>
      <c r="H569">
        <v>297</v>
      </c>
      <c r="I569">
        <v>419</v>
      </c>
      <c r="J569" t="s">
        <v>14</v>
      </c>
      <c r="K569" s="4">
        <f>IF(AND(ISNUMBER(Raw_Data[[#This Row],[Opening_Stock]]),ISNUMBER(Raw_Data[[#This Row],[Units_Sold]]),Raw_Data[[#This Row],[Opening_Stock]]&gt;0),Raw_Data[[#This Row],[Units_Sold]]/Raw_Data[[#This Row],[Opening_Stock]],"")</f>
        <v>0</v>
      </c>
      <c r="L569" t="str">
        <f>IF(NOT(ISNUMBER(Raw_Data[[#This Row],[Sell_through%]])),"Check",IF(Raw_Data[[#This Row],[Sell_through%]]=0,"Non-moving",IF(Raw_Data[[#This Row],[Sell_through%]]&gt;=0.6,"Fast","Slow")))</f>
        <v>Non-moving</v>
      </c>
      <c r="M569">
        <f>IF(AND(ISNUMBER(Raw_Data[[#This Row],[Closing_Stock]]),ISNUMBER(Raw_Data[[#This Row],[Unit_Cost]])),Raw_Data[[#This Row],[Closing_Stock]]*Raw_Data[[#This Row],[Unit_Cost]],"")</f>
        <v>124443</v>
      </c>
      <c r="N56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70" spans="1:14" x14ac:dyDescent="0.3">
      <c r="A570" t="s">
        <v>864</v>
      </c>
      <c r="B570" t="s">
        <v>84</v>
      </c>
      <c r="C570" t="s">
        <v>28</v>
      </c>
      <c r="D570" t="s">
        <v>21</v>
      </c>
      <c r="E570" s="3">
        <v>46030</v>
      </c>
      <c r="F570">
        <v>226</v>
      </c>
      <c r="G570">
        <v>82</v>
      </c>
      <c r="H570">
        <v>144</v>
      </c>
      <c r="I570">
        <v>2383</v>
      </c>
      <c r="J570" t="s">
        <v>14</v>
      </c>
      <c r="K570" s="4">
        <f>IF(AND(ISNUMBER(Raw_Data[[#This Row],[Opening_Stock]]),ISNUMBER(Raw_Data[[#This Row],[Units_Sold]]),Raw_Data[[#This Row],[Opening_Stock]]&gt;0),Raw_Data[[#This Row],[Units_Sold]]/Raw_Data[[#This Row],[Opening_Stock]],"")</f>
        <v>0.36283185840707965</v>
      </c>
      <c r="L570" t="str">
        <f>IF(NOT(ISNUMBER(Raw_Data[[#This Row],[Sell_through%]])),"Check",IF(Raw_Data[[#This Row],[Sell_through%]]=0,"Non-moving",IF(Raw_Data[[#This Row],[Sell_through%]]&gt;=0.6,"Fast","Slow")))</f>
        <v>Slow</v>
      </c>
      <c r="M570">
        <f>IF(AND(ISNUMBER(Raw_Data[[#This Row],[Closing_Stock]]),ISNUMBER(Raw_Data[[#This Row],[Unit_Cost]])),Raw_Data[[#This Row],[Closing_Stock]]*Raw_Data[[#This Row],[Unit_Cost]],"")</f>
        <v>343152</v>
      </c>
      <c r="N57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71" spans="1:14" x14ac:dyDescent="0.3">
      <c r="A571" t="s">
        <v>865</v>
      </c>
      <c r="B571" t="s">
        <v>19</v>
      </c>
      <c r="C571" t="s">
        <v>28</v>
      </c>
      <c r="D571" t="s">
        <v>21</v>
      </c>
      <c r="E571" s="3">
        <v>46164</v>
      </c>
      <c r="F571">
        <v>356</v>
      </c>
      <c r="G571">
        <v>124</v>
      </c>
      <c r="H571">
        <v>232</v>
      </c>
      <c r="I571">
        <v>1170</v>
      </c>
      <c r="J571" t="s">
        <v>14</v>
      </c>
      <c r="K571" s="4">
        <f>IF(AND(ISNUMBER(Raw_Data[[#This Row],[Opening_Stock]]),ISNUMBER(Raw_Data[[#This Row],[Units_Sold]]),Raw_Data[[#This Row],[Opening_Stock]]&gt;0),Raw_Data[[#This Row],[Units_Sold]]/Raw_Data[[#This Row],[Opening_Stock]],"")</f>
        <v>0.34831460674157305</v>
      </c>
      <c r="L571" t="str">
        <f>IF(NOT(ISNUMBER(Raw_Data[[#This Row],[Sell_through%]])),"Check",IF(Raw_Data[[#This Row],[Sell_through%]]=0,"Non-moving",IF(Raw_Data[[#This Row],[Sell_through%]]&gt;=0.6,"Fast","Slow")))</f>
        <v>Slow</v>
      </c>
      <c r="M571">
        <f>IF(AND(ISNUMBER(Raw_Data[[#This Row],[Closing_Stock]]),ISNUMBER(Raw_Data[[#This Row],[Unit_Cost]])),Raw_Data[[#This Row],[Closing_Stock]]*Raw_Data[[#This Row],[Unit_Cost]],"")</f>
        <v>271440</v>
      </c>
      <c r="N57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72" spans="1:14" x14ac:dyDescent="0.3">
      <c r="A572" t="s">
        <v>866</v>
      </c>
      <c r="B572" t="s">
        <v>479</v>
      </c>
      <c r="C572" t="s">
        <v>31</v>
      </c>
      <c r="D572" t="s">
        <v>13</v>
      </c>
      <c r="E572" s="3">
        <v>46048</v>
      </c>
      <c r="F572">
        <v>132</v>
      </c>
      <c r="G572">
        <v>25</v>
      </c>
      <c r="H572">
        <v>107</v>
      </c>
      <c r="I572">
        <v>1281</v>
      </c>
      <c r="J572" t="s">
        <v>14</v>
      </c>
      <c r="K572" s="4">
        <f>IF(AND(ISNUMBER(Raw_Data[[#This Row],[Opening_Stock]]),ISNUMBER(Raw_Data[[#This Row],[Units_Sold]]),Raw_Data[[#This Row],[Opening_Stock]]&gt;0),Raw_Data[[#This Row],[Units_Sold]]/Raw_Data[[#This Row],[Opening_Stock]],"")</f>
        <v>0.18939393939393939</v>
      </c>
      <c r="L572" t="str">
        <f>IF(NOT(ISNUMBER(Raw_Data[[#This Row],[Sell_through%]])),"Check",IF(Raw_Data[[#This Row],[Sell_through%]]=0,"Non-moving",IF(Raw_Data[[#This Row],[Sell_through%]]&gt;=0.6,"Fast","Slow")))</f>
        <v>Slow</v>
      </c>
      <c r="M572">
        <f>IF(AND(ISNUMBER(Raw_Data[[#This Row],[Closing_Stock]]),ISNUMBER(Raw_Data[[#This Row],[Unit_Cost]])),Raw_Data[[#This Row],[Closing_Stock]]*Raw_Data[[#This Row],[Unit_Cost]],"")</f>
        <v>137067</v>
      </c>
      <c r="N57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73" spans="1:14" x14ac:dyDescent="0.3">
      <c r="A573" t="s">
        <v>867</v>
      </c>
      <c r="B573" t="s">
        <v>324</v>
      </c>
      <c r="C573" t="s">
        <v>31</v>
      </c>
      <c r="D573" t="s">
        <v>13</v>
      </c>
      <c r="E573" s="3">
        <v>46243</v>
      </c>
      <c r="F573">
        <v>186</v>
      </c>
      <c r="G573">
        <v>143</v>
      </c>
      <c r="H573">
        <v>43</v>
      </c>
      <c r="I573">
        <v>2084</v>
      </c>
      <c r="J573" t="s">
        <v>17</v>
      </c>
      <c r="K573" s="4">
        <f>IF(AND(ISNUMBER(Raw_Data[[#This Row],[Opening_Stock]]),ISNUMBER(Raw_Data[[#This Row],[Units_Sold]]),Raw_Data[[#This Row],[Opening_Stock]]&gt;0),Raw_Data[[#This Row],[Units_Sold]]/Raw_Data[[#This Row],[Opening_Stock]],"")</f>
        <v>0.76881720430107525</v>
      </c>
      <c r="L573" t="str">
        <f>IF(NOT(ISNUMBER(Raw_Data[[#This Row],[Sell_through%]])),"Check",IF(Raw_Data[[#This Row],[Sell_through%]]=0,"Non-moving",IF(Raw_Data[[#This Row],[Sell_through%]]&gt;=0.6,"Fast","Slow")))</f>
        <v>Fast</v>
      </c>
      <c r="M573">
        <f>IF(AND(ISNUMBER(Raw_Data[[#This Row],[Closing_Stock]]),ISNUMBER(Raw_Data[[#This Row],[Unit_Cost]])),Raw_Data[[#This Row],[Closing_Stock]]*Raw_Data[[#This Row],[Unit_Cost]],"")</f>
        <v>89612</v>
      </c>
      <c r="N573"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74" spans="1:14" x14ac:dyDescent="0.3">
      <c r="A574" t="s">
        <v>868</v>
      </c>
      <c r="B574" t="s">
        <v>224</v>
      </c>
      <c r="C574" t="s">
        <v>49</v>
      </c>
      <c r="D574" t="s">
        <v>21</v>
      </c>
      <c r="E574" s="3">
        <v>46169</v>
      </c>
      <c r="F574">
        <v>409</v>
      </c>
      <c r="G574">
        <v>347</v>
      </c>
      <c r="H574">
        <v>62</v>
      </c>
      <c r="I574">
        <v>741</v>
      </c>
      <c r="J574" t="s">
        <v>14</v>
      </c>
      <c r="K574" s="4">
        <f>IF(AND(ISNUMBER(Raw_Data[[#This Row],[Opening_Stock]]),ISNUMBER(Raw_Data[[#This Row],[Units_Sold]]),Raw_Data[[#This Row],[Opening_Stock]]&gt;0),Raw_Data[[#This Row],[Units_Sold]]/Raw_Data[[#This Row],[Opening_Stock]],"")</f>
        <v>0.84841075794621024</v>
      </c>
      <c r="L574" t="str">
        <f>IF(NOT(ISNUMBER(Raw_Data[[#This Row],[Sell_through%]])),"Check",IF(Raw_Data[[#This Row],[Sell_through%]]=0,"Non-moving",IF(Raw_Data[[#This Row],[Sell_through%]]&gt;=0.6,"Fast","Slow")))</f>
        <v>Fast</v>
      </c>
      <c r="M574">
        <f>IF(AND(ISNUMBER(Raw_Data[[#This Row],[Closing_Stock]]),ISNUMBER(Raw_Data[[#This Row],[Unit_Cost]])),Raw_Data[[#This Row],[Closing_Stock]]*Raw_Data[[#This Row],[Unit_Cost]],"")</f>
        <v>45942</v>
      </c>
      <c r="N57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75" spans="1:14" x14ac:dyDescent="0.3">
      <c r="A575" t="s">
        <v>870</v>
      </c>
      <c r="B575" t="s">
        <v>367</v>
      </c>
      <c r="C575" t="s">
        <v>35</v>
      </c>
      <c r="D575" t="s">
        <v>32</v>
      </c>
      <c r="E575" s="3"/>
      <c r="F575">
        <v>473</v>
      </c>
      <c r="G575">
        <v>0</v>
      </c>
      <c r="H575">
        <v>473</v>
      </c>
      <c r="I575">
        <v>2034</v>
      </c>
      <c r="J575" t="s">
        <v>14</v>
      </c>
      <c r="K575" s="4">
        <f>IF(AND(ISNUMBER(Raw_Data[[#This Row],[Opening_Stock]]),ISNUMBER(Raw_Data[[#This Row],[Units_Sold]]),Raw_Data[[#This Row],[Opening_Stock]]&gt;0),Raw_Data[[#This Row],[Units_Sold]]/Raw_Data[[#This Row],[Opening_Stock]],"")</f>
        <v>0</v>
      </c>
      <c r="L575" t="str">
        <f>IF(NOT(ISNUMBER(Raw_Data[[#This Row],[Sell_through%]])),"Check",IF(Raw_Data[[#This Row],[Sell_through%]]=0,"Non-moving",IF(Raw_Data[[#This Row],[Sell_through%]]&gt;=0.6,"Fast","Slow")))</f>
        <v>Non-moving</v>
      </c>
      <c r="M575">
        <f>IF(AND(ISNUMBER(Raw_Data[[#This Row],[Closing_Stock]]),ISNUMBER(Raw_Data[[#This Row],[Unit_Cost]])),Raw_Data[[#This Row],[Closing_Stock]]*Raw_Data[[#This Row],[Unit_Cost]],"")</f>
        <v>962082</v>
      </c>
      <c r="N57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76" spans="1:14" x14ac:dyDescent="0.3">
      <c r="A576" t="s">
        <v>871</v>
      </c>
      <c r="B576" t="s">
        <v>387</v>
      </c>
      <c r="C576" t="s">
        <v>12</v>
      </c>
      <c r="D576" t="s">
        <v>32</v>
      </c>
      <c r="E576" s="3"/>
      <c r="F576">
        <v>100</v>
      </c>
      <c r="G576">
        <v>0</v>
      </c>
      <c r="H576">
        <v>100</v>
      </c>
      <c r="I576">
        <v>2894</v>
      </c>
      <c r="J576" t="s">
        <v>14</v>
      </c>
      <c r="K576" s="4">
        <f>IF(AND(ISNUMBER(Raw_Data[[#This Row],[Opening_Stock]]),ISNUMBER(Raw_Data[[#This Row],[Units_Sold]]),Raw_Data[[#This Row],[Opening_Stock]]&gt;0),Raw_Data[[#This Row],[Units_Sold]]/Raw_Data[[#This Row],[Opening_Stock]],"")</f>
        <v>0</v>
      </c>
      <c r="L576" t="str">
        <f>IF(NOT(ISNUMBER(Raw_Data[[#This Row],[Sell_through%]])),"Check",IF(Raw_Data[[#This Row],[Sell_through%]]=0,"Non-moving",IF(Raw_Data[[#This Row],[Sell_through%]]&gt;=0.6,"Fast","Slow")))</f>
        <v>Non-moving</v>
      </c>
      <c r="M576">
        <f>IF(AND(ISNUMBER(Raw_Data[[#This Row],[Closing_Stock]]),ISNUMBER(Raw_Data[[#This Row],[Unit_Cost]])),Raw_Data[[#This Row],[Closing_Stock]]*Raw_Data[[#This Row],[Unit_Cost]],"")</f>
        <v>289400</v>
      </c>
      <c r="N57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77" spans="1:14" x14ac:dyDescent="0.3">
      <c r="A577" t="s">
        <v>872</v>
      </c>
      <c r="B577" t="s">
        <v>158</v>
      </c>
      <c r="C577" t="s">
        <v>31</v>
      </c>
      <c r="D577" t="s">
        <v>32</v>
      </c>
      <c r="E577" s="3">
        <v>46020</v>
      </c>
      <c r="F577">
        <v>413</v>
      </c>
      <c r="G577">
        <v>94</v>
      </c>
      <c r="H577">
        <v>319</v>
      </c>
      <c r="I577">
        <v>835</v>
      </c>
      <c r="J577" t="s">
        <v>14</v>
      </c>
      <c r="K577" s="4">
        <f>IF(AND(ISNUMBER(Raw_Data[[#This Row],[Opening_Stock]]),ISNUMBER(Raw_Data[[#This Row],[Units_Sold]]),Raw_Data[[#This Row],[Opening_Stock]]&gt;0),Raw_Data[[#This Row],[Units_Sold]]/Raw_Data[[#This Row],[Opening_Stock]],"")</f>
        <v>0.22760290556900725</v>
      </c>
      <c r="L577" t="str">
        <f>IF(NOT(ISNUMBER(Raw_Data[[#This Row],[Sell_through%]])),"Check",IF(Raw_Data[[#This Row],[Sell_through%]]=0,"Non-moving",IF(Raw_Data[[#This Row],[Sell_through%]]&gt;=0.6,"Fast","Slow")))</f>
        <v>Slow</v>
      </c>
      <c r="M577">
        <f>IF(AND(ISNUMBER(Raw_Data[[#This Row],[Closing_Stock]]),ISNUMBER(Raw_Data[[#This Row],[Unit_Cost]])),Raw_Data[[#This Row],[Closing_Stock]]*Raw_Data[[#This Row],[Unit_Cost]],"")</f>
        <v>266365</v>
      </c>
      <c r="N57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78" spans="1:14" x14ac:dyDescent="0.3">
      <c r="A578" t="s">
        <v>873</v>
      </c>
      <c r="B578" t="s">
        <v>315</v>
      </c>
      <c r="C578" t="s">
        <v>49</v>
      </c>
      <c r="D578" t="s">
        <v>13</v>
      </c>
      <c r="E578" s="3">
        <v>46244</v>
      </c>
      <c r="F578">
        <v>117</v>
      </c>
      <c r="G578">
        <v>25</v>
      </c>
      <c r="H578">
        <v>92</v>
      </c>
      <c r="I578">
        <v>1069</v>
      </c>
      <c r="J578" t="s">
        <v>14</v>
      </c>
      <c r="K578" s="4">
        <f>IF(AND(ISNUMBER(Raw_Data[[#This Row],[Opening_Stock]]),ISNUMBER(Raw_Data[[#This Row],[Units_Sold]]),Raw_Data[[#This Row],[Opening_Stock]]&gt;0),Raw_Data[[#This Row],[Units_Sold]]/Raw_Data[[#This Row],[Opening_Stock]],"")</f>
        <v>0.21367521367521367</v>
      </c>
      <c r="L578" t="str">
        <f>IF(NOT(ISNUMBER(Raw_Data[[#This Row],[Sell_through%]])),"Check",IF(Raw_Data[[#This Row],[Sell_through%]]=0,"Non-moving",IF(Raw_Data[[#This Row],[Sell_through%]]&gt;=0.6,"Fast","Slow")))</f>
        <v>Slow</v>
      </c>
      <c r="M578">
        <f>IF(AND(ISNUMBER(Raw_Data[[#This Row],[Closing_Stock]]),ISNUMBER(Raw_Data[[#This Row],[Unit_Cost]])),Raw_Data[[#This Row],[Closing_Stock]]*Raw_Data[[#This Row],[Unit_Cost]],"")</f>
        <v>98348</v>
      </c>
      <c r="N57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79" spans="1:14" x14ac:dyDescent="0.3">
      <c r="A579" t="s">
        <v>874</v>
      </c>
      <c r="B579" t="s">
        <v>138</v>
      </c>
      <c r="C579" t="s">
        <v>31</v>
      </c>
      <c r="D579" t="s">
        <v>13</v>
      </c>
      <c r="E579" s="3">
        <v>46147</v>
      </c>
      <c r="F579">
        <v>189</v>
      </c>
      <c r="G579">
        <v>14</v>
      </c>
      <c r="H579">
        <v>175</v>
      </c>
      <c r="I579">
        <v>709</v>
      </c>
      <c r="J579" t="s">
        <v>14</v>
      </c>
      <c r="K579" s="4">
        <f>IF(AND(ISNUMBER(Raw_Data[[#This Row],[Opening_Stock]]),ISNUMBER(Raw_Data[[#This Row],[Units_Sold]]),Raw_Data[[#This Row],[Opening_Stock]]&gt;0),Raw_Data[[#This Row],[Units_Sold]]/Raw_Data[[#This Row],[Opening_Stock]],"")</f>
        <v>7.407407407407407E-2</v>
      </c>
      <c r="L579" t="str">
        <f>IF(NOT(ISNUMBER(Raw_Data[[#This Row],[Sell_through%]])),"Check",IF(Raw_Data[[#This Row],[Sell_through%]]=0,"Non-moving",IF(Raw_Data[[#This Row],[Sell_through%]]&gt;=0.6,"Fast","Slow")))</f>
        <v>Slow</v>
      </c>
      <c r="M579">
        <f>IF(AND(ISNUMBER(Raw_Data[[#This Row],[Closing_Stock]]),ISNUMBER(Raw_Data[[#This Row],[Unit_Cost]])),Raw_Data[[#This Row],[Closing_Stock]]*Raw_Data[[#This Row],[Unit_Cost]],"")</f>
        <v>124075</v>
      </c>
      <c r="N57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80" spans="1:14" x14ac:dyDescent="0.3">
      <c r="A580" t="s">
        <v>875</v>
      </c>
      <c r="B580" t="s">
        <v>177</v>
      </c>
      <c r="C580" t="s">
        <v>31</v>
      </c>
      <c r="D580" t="s">
        <v>36</v>
      </c>
      <c r="E580" s="3">
        <v>46152</v>
      </c>
      <c r="F580">
        <v>250</v>
      </c>
      <c r="G580">
        <v>49</v>
      </c>
      <c r="H580">
        <v>201</v>
      </c>
      <c r="I580">
        <v>148</v>
      </c>
      <c r="J580" t="s">
        <v>14</v>
      </c>
      <c r="K580" s="4">
        <f>IF(AND(ISNUMBER(Raw_Data[[#This Row],[Opening_Stock]]),ISNUMBER(Raw_Data[[#This Row],[Units_Sold]]),Raw_Data[[#This Row],[Opening_Stock]]&gt;0),Raw_Data[[#This Row],[Units_Sold]]/Raw_Data[[#This Row],[Opening_Stock]],"")</f>
        <v>0.19600000000000001</v>
      </c>
      <c r="L580" t="str">
        <f>IF(NOT(ISNUMBER(Raw_Data[[#This Row],[Sell_through%]])),"Check",IF(Raw_Data[[#This Row],[Sell_through%]]=0,"Non-moving",IF(Raw_Data[[#This Row],[Sell_through%]]&gt;=0.6,"Fast","Slow")))</f>
        <v>Slow</v>
      </c>
      <c r="M580">
        <f>IF(AND(ISNUMBER(Raw_Data[[#This Row],[Closing_Stock]]),ISNUMBER(Raw_Data[[#This Row],[Unit_Cost]])),Raw_Data[[#This Row],[Closing_Stock]]*Raw_Data[[#This Row],[Unit_Cost]],"")</f>
        <v>29748</v>
      </c>
      <c r="N58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81" spans="1:14" x14ac:dyDescent="0.3">
      <c r="A581" t="s">
        <v>877</v>
      </c>
      <c r="B581" t="s">
        <v>1342</v>
      </c>
      <c r="C581" t="s">
        <v>28</v>
      </c>
      <c r="D581" t="s">
        <v>36</v>
      </c>
      <c r="E581" s="3">
        <v>46124</v>
      </c>
      <c r="F581">
        <v>400</v>
      </c>
      <c r="G581">
        <v>356</v>
      </c>
      <c r="H581">
        <v>44</v>
      </c>
      <c r="I581">
        <v>2170</v>
      </c>
      <c r="J581" t="s">
        <v>17</v>
      </c>
      <c r="K581" s="4">
        <f>IF(AND(ISNUMBER(Raw_Data[[#This Row],[Opening_Stock]]),ISNUMBER(Raw_Data[[#This Row],[Units_Sold]]),Raw_Data[[#This Row],[Opening_Stock]]&gt;0),Raw_Data[[#This Row],[Units_Sold]]/Raw_Data[[#This Row],[Opening_Stock]],"")</f>
        <v>0.89</v>
      </c>
      <c r="L581" t="str">
        <f>IF(NOT(ISNUMBER(Raw_Data[[#This Row],[Sell_through%]])),"Check",IF(Raw_Data[[#This Row],[Sell_through%]]=0,"Non-moving",IF(Raw_Data[[#This Row],[Sell_through%]]&gt;=0.6,"Fast","Slow")))</f>
        <v>Fast</v>
      </c>
      <c r="M581">
        <f>IF(AND(ISNUMBER(Raw_Data[[#This Row],[Closing_Stock]]),ISNUMBER(Raw_Data[[#This Row],[Unit_Cost]])),Raw_Data[[#This Row],[Closing_Stock]]*Raw_Data[[#This Row],[Unit_Cost]],"")</f>
        <v>95480</v>
      </c>
      <c r="N58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82" spans="1:14" x14ac:dyDescent="0.3">
      <c r="A582" t="s">
        <v>878</v>
      </c>
      <c r="B582" t="s">
        <v>236</v>
      </c>
      <c r="C582" t="s">
        <v>12</v>
      </c>
      <c r="D582" t="s">
        <v>36</v>
      </c>
      <c r="E582" s="3"/>
      <c r="F582">
        <v>254</v>
      </c>
      <c r="G582">
        <v>0</v>
      </c>
      <c r="H582">
        <v>254</v>
      </c>
      <c r="I582">
        <v>219</v>
      </c>
      <c r="J582" t="s">
        <v>14</v>
      </c>
      <c r="K582" s="4">
        <f>IF(AND(ISNUMBER(Raw_Data[[#This Row],[Opening_Stock]]),ISNUMBER(Raw_Data[[#This Row],[Units_Sold]]),Raw_Data[[#This Row],[Opening_Stock]]&gt;0),Raw_Data[[#This Row],[Units_Sold]]/Raw_Data[[#This Row],[Opening_Stock]],"")</f>
        <v>0</v>
      </c>
      <c r="L582" t="str">
        <f>IF(NOT(ISNUMBER(Raw_Data[[#This Row],[Sell_through%]])),"Check",IF(Raw_Data[[#This Row],[Sell_through%]]=0,"Non-moving",IF(Raw_Data[[#This Row],[Sell_through%]]&gt;=0.6,"Fast","Slow")))</f>
        <v>Non-moving</v>
      </c>
      <c r="M582">
        <f>IF(AND(ISNUMBER(Raw_Data[[#This Row],[Closing_Stock]]),ISNUMBER(Raw_Data[[#This Row],[Unit_Cost]])),Raw_Data[[#This Row],[Closing_Stock]]*Raw_Data[[#This Row],[Unit_Cost]],"")</f>
        <v>55626</v>
      </c>
      <c r="N58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83" spans="1:14" x14ac:dyDescent="0.3">
      <c r="A583" t="s">
        <v>879</v>
      </c>
      <c r="B583" t="s">
        <v>1344</v>
      </c>
      <c r="C583" t="s">
        <v>28</v>
      </c>
      <c r="D583" t="s">
        <v>36</v>
      </c>
      <c r="E583" s="3">
        <v>46233</v>
      </c>
      <c r="F583">
        <v>290</v>
      </c>
      <c r="G583">
        <v>46</v>
      </c>
      <c r="H583">
        <v>244</v>
      </c>
      <c r="I583">
        <v>874</v>
      </c>
      <c r="J583" t="s">
        <v>14</v>
      </c>
      <c r="K583" s="4">
        <f>IF(AND(ISNUMBER(Raw_Data[[#This Row],[Opening_Stock]]),ISNUMBER(Raw_Data[[#This Row],[Units_Sold]]),Raw_Data[[#This Row],[Opening_Stock]]&gt;0),Raw_Data[[#This Row],[Units_Sold]]/Raw_Data[[#This Row],[Opening_Stock]],"")</f>
        <v>0.15862068965517243</v>
      </c>
      <c r="L583" t="str">
        <f>IF(NOT(ISNUMBER(Raw_Data[[#This Row],[Sell_through%]])),"Check",IF(Raw_Data[[#This Row],[Sell_through%]]=0,"Non-moving",IF(Raw_Data[[#This Row],[Sell_through%]]&gt;=0.6,"Fast","Slow")))</f>
        <v>Slow</v>
      </c>
      <c r="M583">
        <f>IF(AND(ISNUMBER(Raw_Data[[#This Row],[Closing_Stock]]),ISNUMBER(Raw_Data[[#This Row],[Unit_Cost]])),Raw_Data[[#This Row],[Closing_Stock]]*Raw_Data[[#This Row],[Unit_Cost]],"")</f>
        <v>213256</v>
      </c>
      <c r="N58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84" spans="1:14" x14ac:dyDescent="0.3">
      <c r="A584" t="s">
        <v>880</v>
      </c>
      <c r="B584" t="s">
        <v>98</v>
      </c>
      <c r="C584" t="s">
        <v>12</v>
      </c>
      <c r="D584" t="s">
        <v>32</v>
      </c>
      <c r="E584" s="3">
        <v>46287</v>
      </c>
      <c r="F584">
        <v>75</v>
      </c>
      <c r="G584">
        <v>59</v>
      </c>
      <c r="H584">
        <v>16</v>
      </c>
      <c r="I584">
        <v>2548</v>
      </c>
      <c r="J584" t="s">
        <v>17</v>
      </c>
      <c r="K584" s="4">
        <f>IF(AND(ISNUMBER(Raw_Data[[#This Row],[Opening_Stock]]),ISNUMBER(Raw_Data[[#This Row],[Units_Sold]]),Raw_Data[[#This Row],[Opening_Stock]]&gt;0),Raw_Data[[#This Row],[Units_Sold]]/Raw_Data[[#This Row],[Opening_Stock]],"")</f>
        <v>0.78666666666666663</v>
      </c>
      <c r="L584" t="str">
        <f>IF(NOT(ISNUMBER(Raw_Data[[#This Row],[Sell_through%]])),"Check",IF(Raw_Data[[#This Row],[Sell_through%]]=0,"Non-moving",IF(Raw_Data[[#This Row],[Sell_through%]]&gt;=0.6,"Fast","Slow")))</f>
        <v>Fast</v>
      </c>
      <c r="M584">
        <f>IF(AND(ISNUMBER(Raw_Data[[#This Row],[Closing_Stock]]),ISNUMBER(Raw_Data[[#This Row],[Unit_Cost]])),Raw_Data[[#This Row],[Closing_Stock]]*Raw_Data[[#This Row],[Unit_Cost]],"")</f>
        <v>40768</v>
      </c>
      <c r="N58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85" spans="1:14" x14ac:dyDescent="0.3">
      <c r="A585" t="s">
        <v>881</v>
      </c>
      <c r="B585" t="s">
        <v>1343</v>
      </c>
      <c r="C585" t="s">
        <v>28</v>
      </c>
      <c r="D585" t="s">
        <v>13</v>
      </c>
      <c r="E585" s="3">
        <v>46222</v>
      </c>
      <c r="F585">
        <v>377</v>
      </c>
      <c r="G585">
        <v>110</v>
      </c>
      <c r="I585">
        <v>2798</v>
      </c>
      <c r="J585" t="s">
        <v>14</v>
      </c>
      <c r="K585" s="4">
        <f>IF(AND(ISNUMBER(Raw_Data[[#This Row],[Opening_Stock]]),ISNUMBER(Raw_Data[[#This Row],[Units_Sold]]),Raw_Data[[#This Row],[Opening_Stock]]&gt;0),Raw_Data[[#This Row],[Units_Sold]]/Raw_Data[[#This Row],[Opening_Stock]],"")</f>
        <v>0.29177718832891247</v>
      </c>
      <c r="L585" t="str">
        <f>IF(NOT(ISNUMBER(Raw_Data[[#This Row],[Sell_through%]])),"Check",IF(Raw_Data[[#This Row],[Sell_through%]]=0,"Non-moving",IF(Raw_Data[[#This Row],[Sell_through%]]&gt;=0.6,"Fast","Slow")))</f>
        <v>Slow</v>
      </c>
      <c r="M585" t="str">
        <f>IF(AND(ISNUMBER(Raw_Data[[#This Row],[Closing_Stock]]),ISNUMBER(Raw_Data[[#This Row],[Unit_Cost]])),Raw_Data[[#This Row],[Closing_Stock]]*Raw_Data[[#This Row],[Unit_Cost]],"")</f>
        <v/>
      </c>
      <c r="N58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86" spans="1:14" x14ac:dyDescent="0.3">
      <c r="A586" t="s">
        <v>882</v>
      </c>
      <c r="B586" t="s">
        <v>479</v>
      </c>
      <c r="C586" t="s">
        <v>31</v>
      </c>
      <c r="D586" t="s">
        <v>13</v>
      </c>
      <c r="E586" s="3"/>
      <c r="F586">
        <v>64</v>
      </c>
      <c r="G586">
        <v>0</v>
      </c>
      <c r="H586">
        <v>64</v>
      </c>
      <c r="I586">
        <v>169</v>
      </c>
      <c r="K586" s="4">
        <f>IF(AND(ISNUMBER(Raw_Data[[#This Row],[Opening_Stock]]),ISNUMBER(Raw_Data[[#This Row],[Units_Sold]]),Raw_Data[[#This Row],[Opening_Stock]]&gt;0),Raw_Data[[#This Row],[Units_Sold]]/Raw_Data[[#This Row],[Opening_Stock]],"")</f>
        <v>0</v>
      </c>
      <c r="L586" t="str">
        <f>IF(NOT(ISNUMBER(Raw_Data[[#This Row],[Sell_through%]])),"Check",IF(Raw_Data[[#This Row],[Sell_through%]]=0,"Non-moving",IF(Raw_Data[[#This Row],[Sell_through%]]&gt;=0.6,"Fast","Slow")))</f>
        <v>Non-moving</v>
      </c>
      <c r="M586">
        <f>IF(AND(ISNUMBER(Raw_Data[[#This Row],[Closing_Stock]]),ISNUMBER(Raw_Data[[#This Row],[Unit_Cost]])),Raw_Data[[#This Row],[Closing_Stock]]*Raw_Data[[#This Row],[Unit_Cost]],"")</f>
        <v>10816</v>
      </c>
      <c r="N586"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87" spans="1:14" x14ac:dyDescent="0.3">
      <c r="A587" t="s">
        <v>883</v>
      </c>
      <c r="B587" t="s">
        <v>27</v>
      </c>
      <c r="C587" t="s">
        <v>28</v>
      </c>
      <c r="D587" t="s">
        <v>21</v>
      </c>
      <c r="E587" s="3"/>
      <c r="F587">
        <v>128</v>
      </c>
      <c r="G587">
        <v>0</v>
      </c>
      <c r="H587">
        <v>128</v>
      </c>
      <c r="I587">
        <v>590</v>
      </c>
      <c r="K587" s="4">
        <f>IF(AND(ISNUMBER(Raw_Data[[#This Row],[Opening_Stock]]),ISNUMBER(Raw_Data[[#This Row],[Units_Sold]]),Raw_Data[[#This Row],[Opening_Stock]]&gt;0),Raw_Data[[#This Row],[Units_Sold]]/Raw_Data[[#This Row],[Opening_Stock]],"")</f>
        <v>0</v>
      </c>
      <c r="L587" t="str">
        <f>IF(NOT(ISNUMBER(Raw_Data[[#This Row],[Sell_through%]])),"Check",IF(Raw_Data[[#This Row],[Sell_through%]]=0,"Non-moving",IF(Raw_Data[[#This Row],[Sell_through%]]&gt;=0.6,"Fast","Slow")))</f>
        <v>Non-moving</v>
      </c>
      <c r="M587">
        <f>IF(AND(ISNUMBER(Raw_Data[[#This Row],[Closing_Stock]]),ISNUMBER(Raw_Data[[#This Row],[Unit_Cost]])),Raw_Data[[#This Row],[Closing_Stock]]*Raw_Data[[#This Row],[Unit_Cost]],"")</f>
        <v>75520</v>
      </c>
      <c r="N587"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88" spans="1:14" x14ac:dyDescent="0.3">
      <c r="A588" t="s">
        <v>884</v>
      </c>
      <c r="B588" t="s">
        <v>124</v>
      </c>
      <c r="C588" t="s">
        <v>28</v>
      </c>
      <c r="D588" t="s">
        <v>36</v>
      </c>
      <c r="E588" s="3">
        <v>46271</v>
      </c>
      <c r="F588">
        <v>152</v>
      </c>
      <c r="G588">
        <v>50</v>
      </c>
      <c r="H588">
        <v>102</v>
      </c>
      <c r="I588">
        <v>342</v>
      </c>
      <c r="J588" t="s">
        <v>14</v>
      </c>
      <c r="K588" s="4">
        <f>IF(AND(ISNUMBER(Raw_Data[[#This Row],[Opening_Stock]]),ISNUMBER(Raw_Data[[#This Row],[Units_Sold]]),Raw_Data[[#This Row],[Opening_Stock]]&gt;0),Raw_Data[[#This Row],[Units_Sold]]/Raw_Data[[#This Row],[Opening_Stock]],"")</f>
        <v>0.32894736842105265</v>
      </c>
      <c r="L588" t="str">
        <f>IF(NOT(ISNUMBER(Raw_Data[[#This Row],[Sell_through%]])),"Check",IF(Raw_Data[[#This Row],[Sell_through%]]=0,"Non-moving",IF(Raw_Data[[#This Row],[Sell_through%]]&gt;=0.6,"Fast","Slow")))</f>
        <v>Slow</v>
      </c>
      <c r="M588">
        <f>IF(AND(ISNUMBER(Raw_Data[[#This Row],[Closing_Stock]]),ISNUMBER(Raw_Data[[#This Row],[Unit_Cost]])),Raw_Data[[#This Row],[Closing_Stock]]*Raw_Data[[#This Row],[Unit_Cost]],"")</f>
        <v>34884</v>
      </c>
      <c r="N58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89" spans="1:14" x14ac:dyDescent="0.3">
      <c r="A589" t="s">
        <v>885</v>
      </c>
      <c r="B589" t="s">
        <v>294</v>
      </c>
      <c r="C589" t="s">
        <v>35</v>
      </c>
      <c r="D589" t="s">
        <v>32</v>
      </c>
      <c r="E589" s="3">
        <v>46028</v>
      </c>
      <c r="F589">
        <v>259</v>
      </c>
      <c r="G589">
        <v>183</v>
      </c>
      <c r="H589">
        <v>76</v>
      </c>
      <c r="I589">
        <v>1500</v>
      </c>
      <c r="J589" t="s">
        <v>14</v>
      </c>
      <c r="K589" s="4">
        <f>IF(AND(ISNUMBER(Raw_Data[[#This Row],[Opening_Stock]]),ISNUMBER(Raw_Data[[#This Row],[Units_Sold]]),Raw_Data[[#This Row],[Opening_Stock]]&gt;0),Raw_Data[[#This Row],[Units_Sold]]/Raw_Data[[#This Row],[Opening_Stock]],"")</f>
        <v>0.70656370656370659</v>
      </c>
      <c r="L589" t="str">
        <f>IF(NOT(ISNUMBER(Raw_Data[[#This Row],[Sell_through%]])),"Check",IF(Raw_Data[[#This Row],[Sell_through%]]=0,"Non-moving",IF(Raw_Data[[#This Row],[Sell_through%]]&gt;=0.6,"Fast","Slow")))</f>
        <v>Fast</v>
      </c>
      <c r="M589">
        <f>IF(AND(ISNUMBER(Raw_Data[[#This Row],[Closing_Stock]]),ISNUMBER(Raw_Data[[#This Row],[Unit_Cost]])),Raw_Data[[#This Row],[Closing_Stock]]*Raw_Data[[#This Row],[Unit_Cost]],"")</f>
        <v>114000</v>
      </c>
      <c r="N58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590" spans="1:14" x14ac:dyDescent="0.3">
      <c r="A590" t="s">
        <v>886</v>
      </c>
      <c r="B590" t="s">
        <v>434</v>
      </c>
      <c r="C590" t="s">
        <v>31</v>
      </c>
      <c r="D590" t="s">
        <v>21</v>
      </c>
      <c r="E590" s="3">
        <v>46272</v>
      </c>
      <c r="F590">
        <v>286</v>
      </c>
      <c r="G590">
        <v>276</v>
      </c>
      <c r="H590">
        <v>10</v>
      </c>
      <c r="I590">
        <v>2479</v>
      </c>
      <c r="J590" t="s">
        <v>17</v>
      </c>
      <c r="K590" s="4">
        <f>IF(AND(ISNUMBER(Raw_Data[[#This Row],[Opening_Stock]]),ISNUMBER(Raw_Data[[#This Row],[Units_Sold]]),Raw_Data[[#This Row],[Opening_Stock]]&gt;0),Raw_Data[[#This Row],[Units_Sold]]/Raw_Data[[#This Row],[Opening_Stock]],"")</f>
        <v>0.965034965034965</v>
      </c>
      <c r="L590" t="str">
        <f>IF(NOT(ISNUMBER(Raw_Data[[#This Row],[Sell_through%]])),"Check",IF(Raw_Data[[#This Row],[Sell_through%]]=0,"Non-moving",IF(Raw_Data[[#This Row],[Sell_through%]]&gt;=0.6,"Fast","Slow")))</f>
        <v>Fast</v>
      </c>
      <c r="M590">
        <f>IF(AND(ISNUMBER(Raw_Data[[#This Row],[Closing_Stock]]),ISNUMBER(Raw_Data[[#This Row],[Unit_Cost]])),Raw_Data[[#This Row],[Closing_Stock]]*Raw_Data[[#This Row],[Unit_Cost]],"")</f>
        <v>24790</v>
      </c>
      <c r="N59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91" spans="1:14" x14ac:dyDescent="0.3">
      <c r="A591" t="s">
        <v>887</v>
      </c>
      <c r="B591" t="s">
        <v>30</v>
      </c>
      <c r="C591" t="s">
        <v>31</v>
      </c>
      <c r="D591" t="s">
        <v>32</v>
      </c>
      <c r="E591" s="3"/>
      <c r="F591">
        <v>319</v>
      </c>
      <c r="G591">
        <v>0</v>
      </c>
      <c r="H591">
        <v>319</v>
      </c>
      <c r="J591" t="s">
        <v>14</v>
      </c>
      <c r="K591" s="4">
        <f>IF(AND(ISNUMBER(Raw_Data[[#This Row],[Opening_Stock]]),ISNUMBER(Raw_Data[[#This Row],[Units_Sold]]),Raw_Data[[#This Row],[Opening_Stock]]&gt;0),Raw_Data[[#This Row],[Units_Sold]]/Raw_Data[[#This Row],[Opening_Stock]],"")</f>
        <v>0</v>
      </c>
      <c r="L591" t="str">
        <f>IF(NOT(ISNUMBER(Raw_Data[[#This Row],[Sell_through%]])),"Check",IF(Raw_Data[[#This Row],[Sell_through%]]=0,"Non-moving",IF(Raw_Data[[#This Row],[Sell_through%]]&gt;=0.6,"Fast","Slow")))</f>
        <v>Non-moving</v>
      </c>
      <c r="M591" t="str">
        <f>IF(AND(ISNUMBER(Raw_Data[[#This Row],[Closing_Stock]]),ISNUMBER(Raw_Data[[#This Row],[Unit_Cost]])),Raw_Data[[#This Row],[Closing_Stock]]*Raw_Data[[#This Row],[Unit_Cost]],"")</f>
        <v/>
      </c>
      <c r="N59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92" spans="1:14" x14ac:dyDescent="0.3">
      <c r="A592" t="s">
        <v>888</v>
      </c>
      <c r="B592" t="s">
        <v>177</v>
      </c>
      <c r="C592" t="s">
        <v>31</v>
      </c>
      <c r="D592" t="s">
        <v>21</v>
      </c>
      <c r="E592" s="3">
        <v>46119</v>
      </c>
      <c r="F592">
        <v>257</v>
      </c>
      <c r="G592">
        <v>216</v>
      </c>
      <c r="H592">
        <v>41</v>
      </c>
      <c r="I592">
        <v>1039</v>
      </c>
      <c r="J592" t="s">
        <v>17</v>
      </c>
      <c r="K592" s="4">
        <f>IF(AND(ISNUMBER(Raw_Data[[#This Row],[Opening_Stock]]),ISNUMBER(Raw_Data[[#This Row],[Units_Sold]]),Raw_Data[[#This Row],[Opening_Stock]]&gt;0),Raw_Data[[#This Row],[Units_Sold]]/Raw_Data[[#This Row],[Opening_Stock]],"")</f>
        <v>0.84046692607003892</v>
      </c>
      <c r="L592" t="str">
        <f>IF(NOT(ISNUMBER(Raw_Data[[#This Row],[Sell_through%]])),"Check",IF(Raw_Data[[#This Row],[Sell_through%]]=0,"Non-moving",IF(Raw_Data[[#This Row],[Sell_through%]]&gt;=0.6,"Fast","Slow")))</f>
        <v>Fast</v>
      </c>
      <c r="M592">
        <f>IF(AND(ISNUMBER(Raw_Data[[#This Row],[Closing_Stock]]),ISNUMBER(Raw_Data[[#This Row],[Unit_Cost]])),Raw_Data[[#This Row],[Closing_Stock]]*Raw_Data[[#This Row],[Unit_Cost]],"")</f>
        <v>42599</v>
      </c>
      <c r="N592"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593" spans="1:14" x14ac:dyDescent="0.3">
      <c r="A593" t="s">
        <v>890</v>
      </c>
      <c r="B593" t="s">
        <v>57</v>
      </c>
      <c r="C593" t="s">
        <v>28</v>
      </c>
      <c r="D593" t="s">
        <v>36</v>
      </c>
      <c r="E593" s="3"/>
      <c r="F593">
        <v>344</v>
      </c>
      <c r="G593">
        <v>0</v>
      </c>
      <c r="H593">
        <v>344</v>
      </c>
      <c r="I593">
        <v>967</v>
      </c>
      <c r="J593" t="s">
        <v>14</v>
      </c>
      <c r="K593" s="4">
        <f>IF(AND(ISNUMBER(Raw_Data[[#This Row],[Opening_Stock]]),ISNUMBER(Raw_Data[[#This Row],[Units_Sold]]),Raw_Data[[#This Row],[Opening_Stock]]&gt;0),Raw_Data[[#This Row],[Units_Sold]]/Raw_Data[[#This Row],[Opening_Stock]],"")</f>
        <v>0</v>
      </c>
      <c r="L593" t="str">
        <f>IF(NOT(ISNUMBER(Raw_Data[[#This Row],[Sell_through%]])),"Check",IF(Raw_Data[[#This Row],[Sell_through%]]=0,"Non-moving",IF(Raw_Data[[#This Row],[Sell_through%]]&gt;=0.6,"Fast","Slow")))</f>
        <v>Non-moving</v>
      </c>
      <c r="M593">
        <f>IF(AND(ISNUMBER(Raw_Data[[#This Row],[Closing_Stock]]),ISNUMBER(Raw_Data[[#This Row],[Unit_Cost]])),Raw_Data[[#This Row],[Closing_Stock]]*Raw_Data[[#This Row],[Unit_Cost]],"")</f>
        <v>332648</v>
      </c>
      <c r="N59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94" spans="1:14" x14ac:dyDescent="0.3">
      <c r="A594" t="s">
        <v>891</v>
      </c>
      <c r="B594" t="s">
        <v>262</v>
      </c>
      <c r="C594" t="s">
        <v>12</v>
      </c>
      <c r="D594" t="s">
        <v>36</v>
      </c>
      <c r="E594" s="3">
        <v>46225</v>
      </c>
      <c r="F594">
        <v>100</v>
      </c>
      <c r="G594">
        <v>28</v>
      </c>
      <c r="H594">
        <v>72</v>
      </c>
      <c r="I594">
        <v>712</v>
      </c>
      <c r="J594" t="s">
        <v>14</v>
      </c>
      <c r="K594" s="4">
        <f>IF(AND(ISNUMBER(Raw_Data[[#This Row],[Opening_Stock]]),ISNUMBER(Raw_Data[[#This Row],[Units_Sold]]),Raw_Data[[#This Row],[Opening_Stock]]&gt;0),Raw_Data[[#This Row],[Units_Sold]]/Raw_Data[[#This Row],[Opening_Stock]],"")</f>
        <v>0.28000000000000003</v>
      </c>
      <c r="L594" t="str">
        <f>IF(NOT(ISNUMBER(Raw_Data[[#This Row],[Sell_through%]])),"Check",IF(Raw_Data[[#This Row],[Sell_through%]]=0,"Non-moving",IF(Raw_Data[[#This Row],[Sell_through%]]&gt;=0.6,"Fast","Slow")))</f>
        <v>Slow</v>
      </c>
      <c r="M594">
        <f>IF(AND(ISNUMBER(Raw_Data[[#This Row],[Closing_Stock]]),ISNUMBER(Raw_Data[[#This Row],[Unit_Cost]])),Raw_Data[[#This Row],[Closing_Stock]]*Raw_Data[[#This Row],[Unit_Cost]],"")</f>
        <v>51264</v>
      </c>
      <c r="N59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95" spans="1:14" x14ac:dyDescent="0.3">
      <c r="A595" t="s">
        <v>892</v>
      </c>
      <c r="B595" t="s">
        <v>60</v>
      </c>
      <c r="C595" t="s">
        <v>28</v>
      </c>
      <c r="D595" t="s">
        <v>13</v>
      </c>
      <c r="E595" s="3">
        <v>46033</v>
      </c>
      <c r="F595">
        <v>425</v>
      </c>
      <c r="G595">
        <v>129</v>
      </c>
      <c r="H595">
        <v>296</v>
      </c>
      <c r="I595">
        <v>1749</v>
      </c>
      <c r="J595" t="s">
        <v>14</v>
      </c>
      <c r="K595" s="4">
        <f>IF(AND(ISNUMBER(Raw_Data[[#This Row],[Opening_Stock]]),ISNUMBER(Raw_Data[[#This Row],[Units_Sold]]),Raw_Data[[#This Row],[Opening_Stock]]&gt;0),Raw_Data[[#This Row],[Units_Sold]]/Raw_Data[[#This Row],[Opening_Stock]],"")</f>
        <v>0.30352941176470588</v>
      </c>
      <c r="L595" t="str">
        <f>IF(NOT(ISNUMBER(Raw_Data[[#This Row],[Sell_through%]])),"Check",IF(Raw_Data[[#This Row],[Sell_through%]]=0,"Non-moving",IF(Raw_Data[[#This Row],[Sell_through%]]&gt;=0.6,"Fast","Slow")))</f>
        <v>Slow</v>
      </c>
      <c r="M595">
        <f>IF(AND(ISNUMBER(Raw_Data[[#This Row],[Closing_Stock]]),ISNUMBER(Raw_Data[[#This Row],[Unit_Cost]])),Raw_Data[[#This Row],[Closing_Stock]]*Raw_Data[[#This Row],[Unit_Cost]],"")</f>
        <v>517704</v>
      </c>
      <c r="N59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96" spans="1:14" x14ac:dyDescent="0.3">
      <c r="A596" t="s">
        <v>893</v>
      </c>
      <c r="B596" t="s">
        <v>117</v>
      </c>
      <c r="C596" t="s">
        <v>28</v>
      </c>
      <c r="D596" t="s">
        <v>32</v>
      </c>
      <c r="E596" s="3"/>
      <c r="F596">
        <v>230</v>
      </c>
      <c r="G596">
        <v>0</v>
      </c>
      <c r="H596">
        <v>230</v>
      </c>
      <c r="I596">
        <v>1169</v>
      </c>
      <c r="J596" t="s">
        <v>14</v>
      </c>
      <c r="K596" s="4">
        <f>IF(AND(ISNUMBER(Raw_Data[[#This Row],[Opening_Stock]]),ISNUMBER(Raw_Data[[#This Row],[Units_Sold]]),Raw_Data[[#This Row],[Opening_Stock]]&gt;0),Raw_Data[[#This Row],[Units_Sold]]/Raw_Data[[#This Row],[Opening_Stock]],"")</f>
        <v>0</v>
      </c>
      <c r="L596" t="str">
        <f>IF(NOT(ISNUMBER(Raw_Data[[#This Row],[Sell_through%]])),"Check",IF(Raw_Data[[#This Row],[Sell_through%]]=0,"Non-moving",IF(Raw_Data[[#This Row],[Sell_through%]]&gt;=0.6,"Fast","Slow")))</f>
        <v>Non-moving</v>
      </c>
      <c r="M596">
        <f>IF(AND(ISNUMBER(Raw_Data[[#This Row],[Closing_Stock]]),ISNUMBER(Raw_Data[[#This Row],[Unit_Cost]])),Raw_Data[[#This Row],[Closing_Stock]]*Raw_Data[[#This Row],[Unit_Cost]],"")</f>
        <v>268870</v>
      </c>
      <c r="N59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97" spans="1:14" x14ac:dyDescent="0.3">
      <c r="A597" t="s">
        <v>895</v>
      </c>
      <c r="B597" t="s">
        <v>296</v>
      </c>
      <c r="C597" t="s">
        <v>31</v>
      </c>
      <c r="D597" t="s">
        <v>32</v>
      </c>
      <c r="E597" s="3"/>
      <c r="F597">
        <v>492</v>
      </c>
      <c r="G597">
        <v>0</v>
      </c>
      <c r="H597">
        <v>492</v>
      </c>
      <c r="I597">
        <v>1821</v>
      </c>
      <c r="J597" t="s">
        <v>14</v>
      </c>
      <c r="K597" s="4">
        <f>IF(AND(ISNUMBER(Raw_Data[[#This Row],[Opening_Stock]]),ISNUMBER(Raw_Data[[#This Row],[Units_Sold]]),Raw_Data[[#This Row],[Opening_Stock]]&gt;0),Raw_Data[[#This Row],[Units_Sold]]/Raw_Data[[#This Row],[Opening_Stock]],"")</f>
        <v>0</v>
      </c>
      <c r="L597" t="str">
        <f>IF(NOT(ISNUMBER(Raw_Data[[#This Row],[Sell_through%]])),"Check",IF(Raw_Data[[#This Row],[Sell_through%]]=0,"Non-moving",IF(Raw_Data[[#This Row],[Sell_through%]]&gt;=0.6,"Fast","Slow")))</f>
        <v>Non-moving</v>
      </c>
      <c r="M597">
        <f>IF(AND(ISNUMBER(Raw_Data[[#This Row],[Closing_Stock]]),ISNUMBER(Raw_Data[[#This Row],[Unit_Cost]])),Raw_Data[[#This Row],[Closing_Stock]]*Raw_Data[[#This Row],[Unit_Cost]],"")</f>
        <v>895932</v>
      </c>
      <c r="N59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98" spans="1:14" x14ac:dyDescent="0.3">
      <c r="A598" t="s">
        <v>896</v>
      </c>
      <c r="B598" t="s">
        <v>161</v>
      </c>
      <c r="D598" t="s">
        <v>13</v>
      </c>
      <c r="E598" s="3">
        <v>46098</v>
      </c>
      <c r="F598">
        <v>437</v>
      </c>
      <c r="G598">
        <v>28</v>
      </c>
      <c r="I598">
        <v>1658</v>
      </c>
      <c r="J598" t="s">
        <v>14</v>
      </c>
      <c r="K598" s="4">
        <f>IF(AND(ISNUMBER(Raw_Data[[#This Row],[Opening_Stock]]),ISNUMBER(Raw_Data[[#This Row],[Units_Sold]]),Raw_Data[[#This Row],[Opening_Stock]]&gt;0),Raw_Data[[#This Row],[Units_Sold]]/Raw_Data[[#This Row],[Opening_Stock]],"")</f>
        <v>6.4073226544622428E-2</v>
      </c>
      <c r="L598" t="str">
        <f>IF(NOT(ISNUMBER(Raw_Data[[#This Row],[Sell_through%]])),"Check",IF(Raw_Data[[#This Row],[Sell_through%]]=0,"Non-moving",IF(Raw_Data[[#This Row],[Sell_through%]]&gt;=0.6,"Fast","Slow")))</f>
        <v>Slow</v>
      </c>
      <c r="M598" t="str">
        <f>IF(AND(ISNUMBER(Raw_Data[[#This Row],[Closing_Stock]]),ISNUMBER(Raw_Data[[#This Row],[Unit_Cost]])),Raw_Data[[#This Row],[Closing_Stock]]*Raw_Data[[#This Row],[Unit_Cost]],"")</f>
        <v/>
      </c>
      <c r="N59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599" spans="1:14" x14ac:dyDescent="0.3">
      <c r="A599" t="s">
        <v>898</v>
      </c>
      <c r="B599" t="s">
        <v>105</v>
      </c>
      <c r="C599" t="s">
        <v>28</v>
      </c>
      <c r="D599" t="s">
        <v>21</v>
      </c>
      <c r="E599" s="3"/>
      <c r="F599">
        <v>336</v>
      </c>
      <c r="G599">
        <v>0</v>
      </c>
      <c r="H599">
        <v>336</v>
      </c>
      <c r="I599">
        <v>553</v>
      </c>
      <c r="J599" t="s">
        <v>14</v>
      </c>
      <c r="K599" s="4">
        <f>IF(AND(ISNUMBER(Raw_Data[[#This Row],[Opening_Stock]]),ISNUMBER(Raw_Data[[#This Row],[Units_Sold]]),Raw_Data[[#This Row],[Opening_Stock]]&gt;0),Raw_Data[[#This Row],[Units_Sold]]/Raw_Data[[#This Row],[Opening_Stock]],"")</f>
        <v>0</v>
      </c>
      <c r="L599" t="str">
        <f>IF(NOT(ISNUMBER(Raw_Data[[#This Row],[Sell_through%]])),"Check",IF(Raw_Data[[#This Row],[Sell_through%]]=0,"Non-moving",IF(Raw_Data[[#This Row],[Sell_through%]]&gt;=0.6,"Fast","Slow")))</f>
        <v>Non-moving</v>
      </c>
      <c r="M599">
        <f>IF(AND(ISNUMBER(Raw_Data[[#This Row],[Closing_Stock]]),ISNUMBER(Raw_Data[[#This Row],[Unit_Cost]])),Raw_Data[[#This Row],[Closing_Stock]]*Raw_Data[[#This Row],[Unit_Cost]],"")</f>
        <v>185808</v>
      </c>
      <c r="N59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00" spans="1:14" x14ac:dyDescent="0.3">
      <c r="A600" t="s">
        <v>899</v>
      </c>
      <c r="B600" t="s">
        <v>23</v>
      </c>
      <c r="C600" t="s">
        <v>35</v>
      </c>
      <c r="D600" t="s">
        <v>13</v>
      </c>
      <c r="E600" s="3"/>
      <c r="F600">
        <v>78</v>
      </c>
      <c r="G600">
        <v>0</v>
      </c>
      <c r="H600">
        <v>78</v>
      </c>
      <c r="I600">
        <v>1289</v>
      </c>
      <c r="J600" t="s">
        <v>14</v>
      </c>
      <c r="K600" s="4">
        <f>IF(AND(ISNUMBER(Raw_Data[[#This Row],[Opening_Stock]]),ISNUMBER(Raw_Data[[#This Row],[Units_Sold]]),Raw_Data[[#This Row],[Opening_Stock]]&gt;0),Raw_Data[[#This Row],[Units_Sold]]/Raw_Data[[#This Row],[Opening_Stock]],"")</f>
        <v>0</v>
      </c>
      <c r="L600" t="str">
        <f>IF(NOT(ISNUMBER(Raw_Data[[#This Row],[Sell_through%]])),"Check",IF(Raw_Data[[#This Row],[Sell_through%]]=0,"Non-moving",IF(Raw_Data[[#This Row],[Sell_through%]]&gt;=0.6,"Fast","Slow")))</f>
        <v>Non-moving</v>
      </c>
      <c r="M600">
        <f>IF(AND(ISNUMBER(Raw_Data[[#This Row],[Closing_Stock]]),ISNUMBER(Raw_Data[[#This Row],[Unit_Cost]])),Raw_Data[[#This Row],[Closing_Stock]]*Raw_Data[[#This Row],[Unit_Cost]],"")</f>
        <v>100542</v>
      </c>
      <c r="N60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01" spans="1:14" x14ac:dyDescent="0.3">
      <c r="A601" t="s">
        <v>900</v>
      </c>
      <c r="B601" t="s">
        <v>198</v>
      </c>
      <c r="C601" t="s">
        <v>31</v>
      </c>
      <c r="D601" t="s">
        <v>36</v>
      </c>
      <c r="E601" s="3">
        <v>46083</v>
      </c>
      <c r="F601">
        <v>152</v>
      </c>
      <c r="G601">
        <v>150</v>
      </c>
      <c r="H601">
        <v>2</v>
      </c>
      <c r="I601">
        <v>965</v>
      </c>
      <c r="J601" t="s">
        <v>17</v>
      </c>
      <c r="K601" s="4">
        <f>IF(AND(ISNUMBER(Raw_Data[[#This Row],[Opening_Stock]]),ISNUMBER(Raw_Data[[#This Row],[Units_Sold]]),Raw_Data[[#This Row],[Opening_Stock]]&gt;0),Raw_Data[[#This Row],[Units_Sold]]/Raw_Data[[#This Row],[Opening_Stock]],"")</f>
        <v>0.98684210526315785</v>
      </c>
      <c r="L601" t="str">
        <f>IF(NOT(ISNUMBER(Raw_Data[[#This Row],[Sell_through%]])),"Check",IF(Raw_Data[[#This Row],[Sell_through%]]=0,"Non-moving",IF(Raw_Data[[#This Row],[Sell_through%]]&gt;=0.6,"Fast","Slow")))</f>
        <v>Fast</v>
      </c>
      <c r="M601">
        <f>IF(AND(ISNUMBER(Raw_Data[[#This Row],[Closing_Stock]]),ISNUMBER(Raw_Data[[#This Row],[Unit_Cost]])),Raw_Data[[#This Row],[Closing_Stock]]*Raw_Data[[#This Row],[Unit_Cost]],"")</f>
        <v>1930</v>
      </c>
      <c r="N60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02" spans="1:14" x14ac:dyDescent="0.3">
      <c r="A602" t="s">
        <v>901</v>
      </c>
      <c r="B602" t="s">
        <v>1342</v>
      </c>
      <c r="C602" t="s">
        <v>28</v>
      </c>
      <c r="D602" t="s">
        <v>21</v>
      </c>
      <c r="E602" s="3">
        <v>46090</v>
      </c>
      <c r="F602">
        <v>81</v>
      </c>
      <c r="G602">
        <v>63</v>
      </c>
      <c r="H602">
        <v>18</v>
      </c>
      <c r="J602" t="s">
        <v>17</v>
      </c>
      <c r="K602" s="4">
        <f>IF(AND(ISNUMBER(Raw_Data[[#This Row],[Opening_Stock]]),ISNUMBER(Raw_Data[[#This Row],[Units_Sold]]),Raw_Data[[#This Row],[Opening_Stock]]&gt;0),Raw_Data[[#This Row],[Units_Sold]]/Raw_Data[[#This Row],[Opening_Stock]],"")</f>
        <v>0.77777777777777779</v>
      </c>
      <c r="L602" t="str">
        <f>IF(NOT(ISNUMBER(Raw_Data[[#This Row],[Sell_through%]])),"Check",IF(Raw_Data[[#This Row],[Sell_through%]]=0,"Non-moving",IF(Raw_Data[[#This Row],[Sell_through%]]&gt;=0.6,"Fast","Slow")))</f>
        <v>Fast</v>
      </c>
      <c r="M602" t="str">
        <f>IF(AND(ISNUMBER(Raw_Data[[#This Row],[Closing_Stock]]),ISNUMBER(Raw_Data[[#This Row],[Unit_Cost]])),Raw_Data[[#This Row],[Closing_Stock]]*Raw_Data[[#This Row],[Unit_Cost]],"")</f>
        <v/>
      </c>
      <c r="N602"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03" spans="1:14" x14ac:dyDescent="0.3">
      <c r="A603" t="s">
        <v>903</v>
      </c>
      <c r="B603" t="s">
        <v>27</v>
      </c>
      <c r="C603" t="s">
        <v>28</v>
      </c>
      <c r="D603" t="s">
        <v>32</v>
      </c>
      <c r="E603" s="3">
        <v>46165</v>
      </c>
      <c r="F603">
        <v>412</v>
      </c>
      <c r="G603">
        <v>408</v>
      </c>
      <c r="H603">
        <v>4</v>
      </c>
      <c r="I603">
        <v>648</v>
      </c>
      <c r="K603" s="4">
        <f>IF(AND(ISNUMBER(Raw_Data[[#This Row],[Opening_Stock]]),ISNUMBER(Raw_Data[[#This Row],[Units_Sold]]),Raw_Data[[#This Row],[Opening_Stock]]&gt;0),Raw_Data[[#This Row],[Units_Sold]]/Raw_Data[[#This Row],[Opening_Stock]],"")</f>
        <v>0.99029126213592233</v>
      </c>
      <c r="L603" t="str">
        <f>IF(NOT(ISNUMBER(Raw_Data[[#This Row],[Sell_through%]])),"Check",IF(Raw_Data[[#This Row],[Sell_through%]]=0,"Non-moving",IF(Raw_Data[[#This Row],[Sell_through%]]&gt;=0.6,"Fast","Slow")))</f>
        <v>Fast</v>
      </c>
      <c r="M603">
        <f>IF(AND(ISNUMBER(Raw_Data[[#This Row],[Closing_Stock]]),ISNUMBER(Raw_Data[[#This Row],[Unit_Cost]])),Raw_Data[[#This Row],[Closing_Stock]]*Raw_Data[[#This Row],[Unit_Cost]],"")</f>
        <v>2592</v>
      </c>
      <c r="N60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04" spans="1:14" x14ac:dyDescent="0.3">
      <c r="A604" t="s">
        <v>905</v>
      </c>
      <c r="B604" t="s">
        <v>34</v>
      </c>
      <c r="C604" t="s">
        <v>35</v>
      </c>
      <c r="D604" t="s">
        <v>36</v>
      </c>
      <c r="E604" s="3"/>
      <c r="F604">
        <v>475</v>
      </c>
      <c r="G604">
        <v>0</v>
      </c>
      <c r="H604">
        <v>475</v>
      </c>
      <c r="I604">
        <v>1894</v>
      </c>
      <c r="J604" t="s">
        <v>14</v>
      </c>
      <c r="K604" s="4">
        <f>IF(AND(ISNUMBER(Raw_Data[[#This Row],[Opening_Stock]]),ISNUMBER(Raw_Data[[#This Row],[Units_Sold]]),Raw_Data[[#This Row],[Opening_Stock]]&gt;0),Raw_Data[[#This Row],[Units_Sold]]/Raw_Data[[#This Row],[Opening_Stock]],"")</f>
        <v>0</v>
      </c>
      <c r="L604" t="str">
        <f>IF(NOT(ISNUMBER(Raw_Data[[#This Row],[Sell_through%]])),"Check",IF(Raw_Data[[#This Row],[Sell_through%]]=0,"Non-moving",IF(Raw_Data[[#This Row],[Sell_through%]]&gt;=0.6,"Fast","Slow")))</f>
        <v>Non-moving</v>
      </c>
      <c r="M604">
        <f>IF(AND(ISNUMBER(Raw_Data[[#This Row],[Closing_Stock]]),ISNUMBER(Raw_Data[[#This Row],[Unit_Cost]])),Raw_Data[[#This Row],[Closing_Stock]]*Raw_Data[[#This Row],[Unit_Cost]],"")</f>
        <v>899650</v>
      </c>
      <c r="N60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05" spans="1:14" x14ac:dyDescent="0.3">
      <c r="A605" t="s">
        <v>907</v>
      </c>
      <c r="B605" t="s">
        <v>131</v>
      </c>
      <c r="C605" t="s">
        <v>49</v>
      </c>
      <c r="D605" t="s">
        <v>32</v>
      </c>
      <c r="E605" s="3">
        <v>46057</v>
      </c>
      <c r="F605">
        <v>158</v>
      </c>
      <c r="G605">
        <v>35</v>
      </c>
      <c r="H605">
        <v>123</v>
      </c>
      <c r="I605">
        <v>2039</v>
      </c>
      <c r="J605" t="s">
        <v>14</v>
      </c>
      <c r="K605" s="4">
        <f>IF(AND(ISNUMBER(Raw_Data[[#This Row],[Opening_Stock]]),ISNUMBER(Raw_Data[[#This Row],[Units_Sold]]),Raw_Data[[#This Row],[Opening_Stock]]&gt;0),Raw_Data[[#This Row],[Units_Sold]]/Raw_Data[[#This Row],[Opening_Stock]],"")</f>
        <v>0.22151898734177214</v>
      </c>
      <c r="L605" t="str">
        <f>IF(NOT(ISNUMBER(Raw_Data[[#This Row],[Sell_through%]])),"Check",IF(Raw_Data[[#This Row],[Sell_through%]]=0,"Non-moving",IF(Raw_Data[[#This Row],[Sell_through%]]&gt;=0.6,"Fast","Slow")))</f>
        <v>Slow</v>
      </c>
      <c r="M605">
        <f>IF(AND(ISNUMBER(Raw_Data[[#This Row],[Closing_Stock]]),ISNUMBER(Raw_Data[[#This Row],[Unit_Cost]])),Raw_Data[[#This Row],[Closing_Stock]]*Raw_Data[[#This Row],[Unit_Cost]],"")</f>
        <v>250797</v>
      </c>
      <c r="N60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06" spans="1:14" x14ac:dyDescent="0.3">
      <c r="A606" t="s">
        <v>908</v>
      </c>
      <c r="B606" t="s">
        <v>54</v>
      </c>
      <c r="C606" t="s">
        <v>31</v>
      </c>
      <c r="D606" t="s">
        <v>36</v>
      </c>
      <c r="E606" s="3">
        <v>46282</v>
      </c>
      <c r="F606">
        <v>283</v>
      </c>
      <c r="G606">
        <v>231</v>
      </c>
      <c r="H606">
        <v>52</v>
      </c>
      <c r="I606">
        <v>2220</v>
      </c>
      <c r="K606" s="4">
        <f>IF(AND(ISNUMBER(Raw_Data[[#This Row],[Opening_Stock]]),ISNUMBER(Raw_Data[[#This Row],[Units_Sold]]),Raw_Data[[#This Row],[Opening_Stock]]&gt;0),Raw_Data[[#This Row],[Units_Sold]]/Raw_Data[[#This Row],[Opening_Stock]],"")</f>
        <v>0.81625441696113077</v>
      </c>
      <c r="L606" t="str">
        <f>IF(NOT(ISNUMBER(Raw_Data[[#This Row],[Sell_through%]])),"Check",IF(Raw_Data[[#This Row],[Sell_through%]]=0,"Non-moving",IF(Raw_Data[[#This Row],[Sell_through%]]&gt;=0.6,"Fast","Slow")))</f>
        <v>Fast</v>
      </c>
      <c r="M606">
        <f>IF(AND(ISNUMBER(Raw_Data[[#This Row],[Closing_Stock]]),ISNUMBER(Raw_Data[[#This Row],[Unit_Cost]])),Raw_Data[[#This Row],[Closing_Stock]]*Raw_Data[[#This Row],[Unit_Cost]],"")</f>
        <v>115440</v>
      </c>
      <c r="N606"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07" spans="1:14" x14ac:dyDescent="0.3">
      <c r="A607" t="s">
        <v>911</v>
      </c>
      <c r="B607" t="s">
        <v>324</v>
      </c>
      <c r="C607" t="s">
        <v>31</v>
      </c>
      <c r="D607" t="s">
        <v>32</v>
      </c>
      <c r="E607" s="3">
        <v>46033</v>
      </c>
      <c r="F607">
        <v>60</v>
      </c>
      <c r="G607">
        <v>52</v>
      </c>
      <c r="H607">
        <v>8</v>
      </c>
      <c r="I607">
        <v>2124</v>
      </c>
      <c r="J607" t="s">
        <v>17</v>
      </c>
      <c r="K607" s="4">
        <f>IF(AND(ISNUMBER(Raw_Data[[#This Row],[Opening_Stock]]),ISNUMBER(Raw_Data[[#This Row],[Units_Sold]]),Raw_Data[[#This Row],[Opening_Stock]]&gt;0),Raw_Data[[#This Row],[Units_Sold]]/Raw_Data[[#This Row],[Opening_Stock]],"")</f>
        <v>0.8666666666666667</v>
      </c>
      <c r="L607" t="str">
        <f>IF(NOT(ISNUMBER(Raw_Data[[#This Row],[Sell_through%]])),"Check",IF(Raw_Data[[#This Row],[Sell_through%]]=0,"Non-moving",IF(Raw_Data[[#This Row],[Sell_through%]]&gt;=0.6,"Fast","Slow")))</f>
        <v>Fast</v>
      </c>
      <c r="M607">
        <f>IF(AND(ISNUMBER(Raw_Data[[#This Row],[Closing_Stock]]),ISNUMBER(Raw_Data[[#This Row],[Unit_Cost]])),Raw_Data[[#This Row],[Closing_Stock]]*Raw_Data[[#This Row],[Unit_Cost]],"")</f>
        <v>16992</v>
      </c>
      <c r="N60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08" spans="1:14" x14ac:dyDescent="0.3">
      <c r="A608" t="s">
        <v>912</v>
      </c>
      <c r="B608" t="s">
        <v>67</v>
      </c>
      <c r="C608" t="s">
        <v>31</v>
      </c>
      <c r="D608" t="s">
        <v>32</v>
      </c>
      <c r="E608" s="3">
        <v>46177</v>
      </c>
      <c r="F608">
        <v>259</v>
      </c>
      <c r="G608">
        <v>92</v>
      </c>
      <c r="H608">
        <v>167</v>
      </c>
      <c r="I608">
        <v>1847</v>
      </c>
      <c r="J608" t="s">
        <v>14</v>
      </c>
      <c r="K608" s="4">
        <f>IF(AND(ISNUMBER(Raw_Data[[#This Row],[Opening_Stock]]),ISNUMBER(Raw_Data[[#This Row],[Units_Sold]]),Raw_Data[[#This Row],[Opening_Stock]]&gt;0),Raw_Data[[#This Row],[Units_Sold]]/Raw_Data[[#This Row],[Opening_Stock]],"")</f>
        <v>0.35521235521235522</v>
      </c>
      <c r="L608" t="str">
        <f>IF(NOT(ISNUMBER(Raw_Data[[#This Row],[Sell_through%]])),"Check",IF(Raw_Data[[#This Row],[Sell_through%]]=0,"Non-moving",IF(Raw_Data[[#This Row],[Sell_through%]]&gt;=0.6,"Fast","Slow")))</f>
        <v>Slow</v>
      </c>
      <c r="M608">
        <f>IF(AND(ISNUMBER(Raw_Data[[#This Row],[Closing_Stock]]),ISNUMBER(Raw_Data[[#This Row],[Unit_Cost]])),Raw_Data[[#This Row],[Closing_Stock]]*Raw_Data[[#This Row],[Unit_Cost]],"")</f>
        <v>308449</v>
      </c>
      <c r="N60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09" spans="1:14" x14ac:dyDescent="0.3">
      <c r="A609" t="s">
        <v>914</v>
      </c>
      <c r="B609" t="s">
        <v>367</v>
      </c>
      <c r="C609" t="s">
        <v>35</v>
      </c>
      <c r="D609" t="s">
        <v>32</v>
      </c>
      <c r="E609" s="3">
        <v>46225</v>
      </c>
      <c r="F609">
        <v>270</v>
      </c>
      <c r="G609">
        <v>224</v>
      </c>
      <c r="H609">
        <v>46</v>
      </c>
      <c r="I609">
        <v>1937</v>
      </c>
      <c r="J609" t="s">
        <v>17</v>
      </c>
      <c r="K609" s="4">
        <f>IF(AND(ISNUMBER(Raw_Data[[#This Row],[Opening_Stock]]),ISNUMBER(Raw_Data[[#This Row],[Units_Sold]]),Raw_Data[[#This Row],[Opening_Stock]]&gt;0),Raw_Data[[#This Row],[Units_Sold]]/Raw_Data[[#This Row],[Opening_Stock]],"")</f>
        <v>0.82962962962962961</v>
      </c>
      <c r="L609" t="str">
        <f>IF(NOT(ISNUMBER(Raw_Data[[#This Row],[Sell_through%]])),"Check",IF(Raw_Data[[#This Row],[Sell_through%]]=0,"Non-moving",IF(Raw_Data[[#This Row],[Sell_through%]]&gt;=0.6,"Fast","Slow")))</f>
        <v>Fast</v>
      </c>
      <c r="M609">
        <f>IF(AND(ISNUMBER(Raw_Data[[#This Row],[Closing_Stock]]),ISNUMBER(Raw_Data[[#This Row],[Unit_Cost]])),Raw_Data[[#This Row],[Closing_Stock]]*Raw_Data[[#This Row],[Unit_Cost]],"")</f>
        <v>89102</v>
      </c>
      <c r="N60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10" spans="1:14" x14ac:dyDescent="0.3">
      <c r="A610" t="s">
        <v>915</v>
      </c>
      <c r="B610" t="s">
        <v>27</v>
      </c>
      <c r="C610" t="s">
        <v>28</v>
      </c>
      <c r="D610" t="s">
        <v>32</v>
      </c>
      <c r="E610" s="3">
        <v>46024</v>
      </c>
      <c r="F610">
        <v>433</v>
      </c>
      <c r="G610">
        <v>69</v>
      </c>
      <c r="H610">
        <v>364</v>
      </c>
      <c r="I610">
        <v>1203</v>
      </c>
      <c r="J610" t="s">
        <v>14</v>
      </c>
      <c r="K610" s="4">
        <f>IF(AND(ISNUMBER(Raw_Data[[#This Row],[Opening_Stock]]),ISNUMBER(Raw_Data[[#This Row],[Units_Sold]]),Raw_Data[[#This Row],[Opening_Stock]]&gt;0),Raw_Data[[#This Row],[Units_Sold]]/Raw_Data[[#This Row],[Opening_Stock]],"")</f>
        <v>0.15935334872979215</v>
      </c>
      <c r="L610" t="str">
        <f>IF(NOT(ISNUMBER(Raw_Data[[#This Row],[Sell_through%]])),"Check",IF(Raw_Data[[#This Row],[Sell_through%]]=0,"Non-moving",IF(Raw_Data[[#This Row],[Sell_through%]]&gt;=0.6,"Fast","Slow")))</f>
        <v>Slow</v>
      </c>
      <c r="M610">
        <f>IF(AND(ISNUMBER(Raw_Data[[#This Row],[Closing_Stock]]),ISNUMBER(Raw_Data[[#This Row],[Unit_Cost]])),Raw_Data[[#This Row],[Closing_Stock]]*Raw_Data[[#This Row],[Unit_Cost]],"")</f>
        <v>437892</v>
      </c>
      <c r="N61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11" spans="1:14" x14ac:dyDescent="0.3">
      <c r="A611" t="s">
        <v>916</v>
      </c>
      <c r="B611" t="s">
        <v>101</v>
      </c>
      <c r="C611" t="s">
        <v>12</v>
      </c>
      <c r="D611" t="s">
        <v>21</v>
      </c>
      <c r="E611" s="3">
        <v>46173</v>
      </c>
      <c r="F611">
        <v>409</v>
      </c>
      <c r="G611">
        <v>123</v>
      </c>
      <c r="H611">
        <v>286</v>
      </c>
      <c r="I611">
        <v>2990</v>
      </c>
      <c r="K611" s="4">
        <f>IF(AND(ISNUMBER(Raw_Data[[#This Row],[Opening_Stock]]),ISNUMBER(Raw_Data[[#This Row],[Units_Sold]]),Raw_Data[[#This Row],[Opening_Stock]]&gt;0),Raw_Data[[#This Row],[Units_Sold]]/Raw_Data[[#This Row],[Opening_Stock]],"")</f>
        <v>0.30073349633251834</v>
      </c>
      <c r="L611" t="str">
        <f>IF(NOT(ISNUMBER(Raw_Data[[#This Row],[Sell_through%]])),"Check",IF(Raw_Data[[#This Row],[Sell_through%]]=0,"Non-moving",IF(Raw_Data[[#This Row],[Sell_through%]]&gt;=0.6,"Fast","Slow")))</f>
        <v>Slow</v>
      </c>
      <c r="M611">
        <f>IF(AND(ISNUMBER(Raw_Data[[#This Row],[Closing_Stock]]),ISNUMBER(Raw_Data[[#This Row],[Unit_Cost]])),Raw_Data[[#This Row],[Closing_Stock]]*Raw_Data[[#This Row],[Unit_Cost]],"")</f>
        <v>855140</v>
      </c>
      <c r="N61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12" spans="1:14" x14ac:dyDescent="0.3">
      <c r="A612" t="s">
        <v>917</v>
      </c>
      <c r="B612" t="s">
        <v>182</v>
      </c>
      <c r="C612" t="s">
        <v>12</v>
      </c>
      <c r="D612" t="s">
        <v>13</v>
      </c>
      <c r="E612" s="3">
        <v>46155</v>
      </c>
      <c r="F612">
        <v>389</v>
      </c>
      <c r="G612">
        <v>105</v>
      </c>
      <c r="H612">
        <v>284</v>
      </c>
      <c r="I612">
        <v>316</v>
      </c>
      <c r="K612" s="4">
        <f>IF(AND(ISNUMBER(Raw_Data[[#This Row],[Opening_Stock]]),ISNUMBER(Raw_Data[[#This Row],[Units_Sold]]),Raw_Data[[#This Row],[Opening_Stock]]&gt;0),Raw_Data[[#This Row],[Units_Sold]]/Raw_Data[[#This Row],[Opening_Stock]],"")</f>
        <v>0.26992287917737789</v>
      </c>
      <c r="L612" t="str">
        <f>IF(NOT(ISNUMBER(Raw_Data[[#This Row],[Sell_through%]])),"Check",IF(Raw_Data[[#This Row],[Sell_through%]]=0,"Non-moving",IF(Raw_Data[[#This Row],[Sell_through%]]&gt;=0.6,"Fast","Slow")))</f>
        <v>Slow</v>
      </c>
      <c r="M612">
        <f>IF(AND(ISNUMBER(Raw_Data[[#This Row],[Closing_Stock]]),ISNUMBER(Raw_Data[[#This Row],[Unit_Cost]])),Raw_Data[[#This Row],[Closing_Stock]]*Raw_Data[[#This Row],[Unit_Cost]],"")</f>
        <v>89744</v>
      </c>
      <c r="N612"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13" spans="1:14" x14ac:dyDescent="0.3">
      <c r="A613" t="s">
        <v>918</v>
      </c>
      <c r="B613" t="s">
        <v>198</v>
      </c>
      <c r="C613" t="s">
        <v>31</v>
      </c>
      <c r="D613" t="s">
        <v>13</v>
      </c>
      <c r="E613" s="3">
        <v>46079</v>
      </c>
      <c r="F613">
        <v>282</v>
      </c>
      <c r="G613">
        <v>55</v>
      </c>
      <c r="H613">
        <v>227</v>
      </c>
      <c r="I613">
        <v>2660</v>
      </c>
      <c r="J613" t="s">
        <v>14</v>
      </c>
      <c r="K613" s="4">
        <f>IF(AND(ISNUMBER(Raw_Data[[#This Row],[Opening_Stock]]),ISNUMBER(Raw_Data[[#This Row],[Units_Sold]]),Raw_Data[[#This Row],[Opening_Stock]]&gt;0),Raw_Data[[#This Row],[Units_Sold]]/Raw_Data[[#This Row],[Opening_Stock]],"")</f>
        <v>0.19503546099290781</v>
      </c>
      <c r="L613" t="str">
        <f>IF(NOT(ISNUMBER(Raw_Data[[#This Row],[Sell_through%]])),"Check",IF(Raw_Data[[#This Row],[Sell_through%]]=0,"Non-moving",IF(Raw_Data[[#This Row],[Sell_through%]]&gt;=0.6,"Fast","Slow")))</f>
        <v>Slow</v>
      </c>
      <c r="M613">
        <f>IF(AND(ISNUMBER(Raw_Data[[#This Row],[Closing_Stock]]),ISNUMBER(Raw_Data[[#This Row],[Unit_Cost]])),Raw_Data[[#This Row],[Closing_Stock]]*Raw_Data[[#This Row],[Unit_Cost]],"")</f>
        <v>603820</v>
      </c>
      <c r="N61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14" spans="1:14" x14ac:dyDescent="0.3">
      <c r="A614" t="s">
        <v>919</v>
      </c>
      <c r="B614" t="s">
        <v>131</v>
      </c>
      <c r="C614" t="s">
        <v>49</v>
      </c>
      <c r="D614" t="s">
        <v>21</v>
      </c>
      <c r="E614" s="3"/>
      <c r="F614">
        <v>478</v>
      </c>
      <c r="G614">
        <v>0</v>
      </c>
      <c r="H614">
        <v>478</v>
      </c>
      <c r="I614">
        <v>1563</v>
      </c>
      <c r="J614" t="s">
        <v>14</v>
      </c>
      <c r="K614" s="4">
        <f>IF(AND(ISNUMBER(Raw_Data[[#This Row],[Opening_Stock]]),ISNUMBER(Raw_Data[[#This Row],[Units_Sold]]),Raw_Data[[#This Row],[Opening_Stock]]&gt;0),Raw_Data[[#This Row],[Units_Sold]]/Raw_Data[[#This Row],[Opening_Stock]],"")</f>
        <v>0</v>
      </c>
      <c r="L614" t="str">
        <f>IF(NOT(ISNUMBER(Raw_Data[[#This Row],[Sell_through%]])),"Check",IF(Raw_Data[[#This Row],[Sell_through%]]=0,"Non-moving",IF(Raw_Data[[#This Row],[Sell_through%]]&gt;=0.6,"Fast","Slow")))</f>
        <v>Non-moving</v>
      </c>
      <c r="M614">
        <f>IF(AND(ISNUMBER(Raw_Data[[#This Row],[Closing_Stock]]),ISNUMBER(Raw_Data[[#This Row],[Unit_Cost]])),Raw_Data[[#This Row],[Closing_Stock]]*Raw_Data[[#This Row],[Unit_Cost]],"")</f>
        <v>747114</v>
      </c>
      <c r="N61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15" spans="1:14" x14ac:dyDescent="0.3">
      <c r="A615" t="s">
        <v>920</v>
      </c>
      <c r="B615" t="s">
        <v>142</v>
      </c>
      <c r="C615" t="s">
        <v>49</v>
      </c>
      <c r="D615" t="s">
        <v>13</v>
      </c>
      <c r="E615" s="3"/>
      <c r="F615">
        <v>473</v>
      </c>
      <c r="G615">
        <v>0</v>
      </c>
      <c r="H615">
        <v>473</v>
      </c>
      <c r="I615">
        <v>683</v>
      </c>
      <c r="J615" t="s">
        <v>14</v>
      </c>
      <c r="K615" s="4">
        <f>IF(AND(ISNUMBER(Raw_Data[[#This Row],[Opening_Stock]]),ISNUMBER(Raw_Data[[#This Row],[Units_Sold]]),Raw_Data[[#This Row],[Opening_Stock]]&gt;0),Raw_Data[[#This Row],[Units_Sold]]/Raw_Data[[#This Row],[Opening_Stock]],"")</f>
        <v>0</v>
      </c>
      <c r="L615" t="str">
        <f>IF(NOT(ISNUMBER(Raw_Data[[#This Row],[Sell_through%]])),"Check",IF(Raw_Data[[#This Row],[Sell_through%]]=0,"Non-moving",IF(Raw_Data[[#This Row],[Sell_through%]]&gt;=0.6,"Fast","Slow")))</f>
        <v>Non-moving</v>
      </c>
      <c r="M615">
        <f>IF(AND(ISNUMBER(Raw_Data[[#This Row],[Closing_Stock]]),ISNUMBER(Raw_Data[[#This Row],[Unit_Cost]])),Raw_Data[[#This Row],[Closing_Stock]]*Raw_Data[[#This Row],[Unit_Cost]],"")</f>
        <v>323059</v>
      </c>
      <c r="N61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16" spans="1:14" x14ac:dyDescent="0.3">
      <c r="A616" t="s">
        <v>921</v>
      </c>
      <c r="B616" t="s">
        <v>124</v>
      </c>
      <c r="C616" t="s">
        <v>28</v>
      </c>
      <c r="D616" t="s">
        <v>36</v>
      </c>
      <c r="E616" s="3"/>
      <c r="F616">
        <v>493</v>
      </c>
      <c r="G616">
        <v>0</v>
      </c>
      <c r="H616">
        <v>493</v>
      </c>
      <c r="I616">
        <v>1531</v>
      </c>
      <c r="J616" t="s">
        <v>14</v>
      </c>
      <c r="K616" s="4">
        <f>IF(AND(ISNUMBER(Raw_Data[[#This Row],[Opening_Stock]]),ISNUMBER(Raw_Data[[#This Row],[Units_Sold]]),Raw_Data[[#This Row],[Opening_Stock]]&gt;0),Raw_Data[[#This Row],[Units_Sold]]/Raw_Data[[#This Row],[Opening_Stock]],"")</f>
        <v>0</v>
      </c>
      <c r="L616" t="str">
        <f>IF(NOT(ISNUMBER(Raw_Data[[#This Row],[Sell_through%]])),"Check",IF(Raw_Data[[#This Row],[Sell_through%]]=0,"Non-moving",IF(Raw_Data[[#This Row],[Sell_through%]]&gt;=0.6,"Fast","Slow")))</f>
        <v>Non-moving</v>
      </c>
      <c r="M616">
        <f>IF(AND(ISNUMBER(Raw_Data[[#This Row],[Closing_Stock]]),ISNUMBER(Raw_Data[[#This Row],[Unit_Cost]])),Raw_Data[[#This Row],[Closing_Stock]]*Raw_Data[[#This Row],[Unit_Cost]],"")</f>
        <v>754783</v>
      </c>
      <c r="N61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17" spans="1:14" x14ac:dyDescent="0.3">
      <c r="A617" t="s">
        <v>922</v>
      </c>
      <c r="B617" t="s">
        <v>89</v>
      </c>
      <c r="C617" t="s">
        <v>49</v>
      </c>
      <c r="D617" t="s">
        <v>13</v>
      </c>
      <c r="E617" s="3">
        <v>46053</v>
      </c>
      <c r="F617">
        <v>167</v>
      </c>
      <c r="G617">
        <v>39</v>
      </c>
      <c r="H617">
        <v>128</v>
      </c>
      <c r="I617">
        <v>2650</v>
      </c>
      <c r="J617" t="s">
        <v>14</v>
      </c>
      <c r="K617" s="4">
        <f>IF(AND(ISNUMBER(Raw_Data[[#This Row],[Opening_Stock]]),ISNUMBER(Raw_Data[[#This Row],[Units_Sold]]),Raw_Data[[#This Row],[Opening_Stock]]&gt;0),Raw_Data[[#This Row],[Units_Sold]]/Raw_Data[[#This Row],[Opening_Stock]],"")</f>
        <v>0.23353293413173654</v>
      </c>
      <c r="L617" t="str">
        <f>IF(NOT(ISNUMBER(Raw_Data[[#This Row],[Sell_through%]])),"Check",IF(Raw_Data[[#This Row],[Sell_through%]]=0,"Non-moving",IF(Raw_Data[[#This Row],[Sell_through%]]&gt;=0.6,"Fast","Slow")))</f>
        <v>Slow</v>
      </c>
      <c r="M617">
        <f>IF(AND(ISNUMBER(Raw_Data[[#This Row],[Closing_Stock]]),ISNUMBER(Raw_Data[[#This Row],[Unit_Cost]])),Raw_Data[[#This Row],[Closing_Stock]]*Raw_Data[[#This Row],[Unit_Cost]],"")</f>
        <v>339200</v>
      </c>
      <c r="N61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18" spans="1:14" x14ac:dyDescent="0.3">
      <c r="A618" t="s">
        <v>924</v>
      </c>
      <c r="B618" t="s">
        <v>112</v>
      </c>
      <c r="C618" t="s">
        <v>35</v>
      </c>
      <c r="D618" t="s">
        <v>21</v>
      </c>
      <c r="E618" s="3">
        <v>46086</v>
      </c>
      <c r="F618">
        <v>249</v>
      </c>
      <c r="G618">
        <v>227</v>
      </c>
      <c r="H618">
        <v>22</v>
      </c>
      <c r="I618">
        <v>1532</v>
      </c>
      <c r="J618" t="s">
        <v>17</v>
      </c>
      <c r="K618" s="4">
        <f>IF(AND(ISNUMBER(Raw_Data[[#This Row],[Opening_Stock]]),ISNUMBER(Raw_Data[[#This Row],[Units_Sold]]),Raw_Data[[#This Row],[Opening_Stock]]&gt;0),Raw_Data[[#This Row],[Units_Sold]]/Raw_Data[[#This Row],[Opening_Stock]],"")</f>
        <v>0.91164658634538154</v>
      </c>
      <c r="L618" t="str">
        <f>IF(NOT(ISNUMBER(Raw_Data[[#This Row],[Sell_through%]])),"Check",IF(Raw_Data[[#This Row],[Sell_through%]]=0,"Non-moving",IF(Raw_Data[[#This Row],[Sell_through%]]&gt;=0.6,"Fast","Slow")))</f>
        <v>Fast</v>
      </c>
      <c r="M618">
        <f>IF(AND(ISNUMBER(Raw_Data[[#This Row],[Closing_Stock]]),ISNUMBER(Raw_Data[[#This Row],[Unit_Cost]])),Raw_Data[[#This Row],[Closing_Stock]]*Raw_Data[[#This Row],[Unit_Cost]],"")</f>
        <v>33704</v>
      </c>
      <c r="N61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19" spans="1:14" x14ac:dyDescent="0.3">
      <c r="A619" t="s">
        <v>927</v>
      </c>
      <c r="B619" t="s">
        <v>73</v>
      </c>
      <c r="C619" t="s">
        <v>49</v>
      </c>
      <c r="D619" t="s">
        <v>32</v>
      </c>
      <c r="E619" s="3"/>
      <c r="F619">
        <v>220</v>
      </c>
      <c r="H619">
        <v>220</v>
      </c>
      <c r="I619">
        <v>545</v>
      </c>
      <c r="J619" t="s">
        <v>14</v>
      </c>
      <c r="K619" s="4" t="str">
        <f>IF(AND(ISNUMBER(Raw_Data[[#This Row],[Opening_Stock]]),ISNUMBER(Raw_Data[[#This Row],[Units_Sold]]),Raw_Data[[#This Row],[Opening_Stock]]&gt;0),Raw_Data[[#This Row],[Units_Sold]]/Raw_Data[[#This Row],[Opening_Stock]],"")</f>
        <v/>
      </c>
      <c r="L619" t="str">
        <f>IF(NOT(ISNUMBER(Raw_Data[[#This Row],[Sell_through%]])),"Check",IF(Raw_Data[[#This Row],[Sell_through%]]=0,"Non-moving",IF(Raw_Data[[#This Row],[Sell_through%]]&gt;=0.6,"Fast","Slow")))</f>
        <v>Check</v>
      </c>
      <c r="M619">
        <f>IF(AND(ISNUMBER(Raw_Data[[#This Row],[Closing_Stock]]),ISNUMBER(Raw_Data[[#This Row],[Unit_Cost]])),Raw_Data[[#This Row],[Closing_Stock]]*Raw_Data[[#This Row],[Unit_Cost]],"")</f>
        <v>119900</v>
      </c>
      <c r="N61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20" spans="1:14" x14ac:dyDescent="0.3">
      <c r="A620" t="s">
        <v>929</v>
      </c>
      <c r="B620" t="s">
        <v>315</v>
      </c>
      <c r="D620" t="s">
        <v>32</v>
      </c>
      <c r="E620" s="3"/>
      <c r="F620">
        <v>56</v>
      </c>
      <c r="G620">
        <v>0</v>
      </c>
      <c r="H620">
        <v>56</v>
      </c>
      <c r="I620">
        <v>953</v>
      </c>
      <c r="J620" t="s">
        <v>17</v>
      </c>
      <c r="K620" s="4">
        <f>IF(AND(ISNUMBER(Raw_Data[[#This Row],[Opening_Stock]]),ISNUMBER(Raw_Data[[#This Row],[Units_Sold]]),Raw_Data[[#This Row],[Opening_Stock]]&gt;0),Raw_Data[[#This Row],[Units_Sold]]/Raw_Data[[#This Row],[Opening_Stock]],"")</f>
        <v>0</v>
      </c>
      <c r="L620" t="str">
        <f>IF(NOT(ISNUMBER(Raw_Data[[#This Row],[Sell_through%]])),"Check",IF(Raw_Data[[#This Row],[Sell_through%]]=0,"Non-moving",IF(Raw_Data[[#This Row],[Sell_through%]]&gt;=0.6,"Fast","Slow")))</f>
        <v>Non-moving</v>
      </c>
      <c r="M620">
        <f>IF(AND(ISNUMBER(Raw_Data[[#This Row],[Closing_Stock]]),ISNUMBER(Raw_Data[[#This Row],[Unit_Cost]])),Raw_Data[[#This Row],[Closing_Stock]]*Raw_Data[[#This Row],[Unit_Cost]],"")</f>
        <v>53368</v>
      </c>
      <c r="N620"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21" spans="1:14" x14ac:dyDescent="0.3">
      <c r="A621" t="s">
        <v>930</v>
      </c>
      <c r="B621" t="s">
        <v>161</v>
      </c>
      <c r="C621" t="s">
        <v>12</v>
      </c>
      <c r="D621" t="s">
        <v>36</v>
      </c>
      <c r="E621" s="3"/>
      <c r="F621">
        <v>167</v>
      </c>
      <c r="G621">
        <v>0</v>
      </c>
      <c r="H621">
        <v>167</v>
      </c>
      <c r="I621">
        <v>1767</v>
      </c>
      <c r="J621" t="s">
        <v>14</v>
      </c>
      <c r="K621" s="4">
        <f>IF(AND(ISNUMBER(Raw_Data[[#This Row],[Opening_Stock]]),ISNUMBER(Raw_Data[[#This Row],[Units_Sold]]),Raw_Data[[#This Row],[Opening_Stock]]&gt;0),Raw_Data[[#This Row],[Units_Sold]]/Raw_Data[[#This Row],[Opening_Stock]],"")</f>
        <v>0</v>
      </c>
      <c r="L621" t="str">
        <f>IF(NOT(ISNUMBER(Raw_Data[[#This Row],[Sell_through%]])),"Check",IF(Raw_Data[[#This Row],[Sell_through%]]=0,"Non-moving",IF(Raw_Data[[#This Row],[Sell_through%]]&gt;=0.6,"Fast","Slow")))</f>
        <v>Non-moving</v>
      </c>
      <c r="M621">
        <f>IF(AND(ISNUMBER(Raw_Data[[#This Row],[Closing_Stock]]),ISNUMBER(Raw_Data[[#This Row],[Unit_Cost]])),Raw_Data[[#This Row],[Closing_Stock]]*Raw_Data[[#This Row],[Unit_Cost]],"")</f>
        <v>295089</v>
      </c>
      <c r="N62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22" spans="1:14" x14ac:dyDescent="0.3">
      <c r="A622" t="s">
        <v>931</v>
      </c>
      <c r="B622" t="s">
        <v>117</v>
      </c>
      <c r="C622" t="s">
        <v>28</v>
      </c>
      <c r="D622" t="s">
        <v>21</v>
      </c>
      <c r="E622" s="3">
        <v>46248</v>
      </c>
      <c r="F622">
        <v>445</v>
      </c>
      <c r="G622">
        <v>61</v>
      </c>
      <c r="H622">
        <v>384</v>
      </c>
      <c r="I622">
        <v>1717</v>
      </c>
      <c r="J622" t="s">
        <v>14</v>
      </c>
      <c r="K622" s="4">
        <f>IF(AND(ISNUMBER(Raw_Data[[#This Row],[Opening_Stock]]),ISNUMBER(Raw_Data[[#This Row],[Units_Sold]]),Raw_Data[[#This Row],[Opening_Stock]]&gt;0),Raw_Data[[#This Row],[Units_Sold]]/Raw_Data[[#This Row],[Opening_Stock]],"")</f>
        <v>0.13707865168539327</v>
      </c>
      <c r="L622" t="str">
        <f>IF(NOT(ISNUMBER(Raw_Data[[#This Row],[Sell_through%]])),"Check",IF(Raw_Data[[#This Row],[Sell_through%]]=0,"Non-moving",IF(Raw_Data[[#This Row],[Sell_through%]]&gt;=0.6,"Fast","Slow")))</f>
        <v>Slow</v>
      </c>
      <c r="M622">
        <f>IF(AND(ISNUMBER(Raw_Data[[#This Row],[Closing_Stock]]),ISNUMBER(Raw_Data[[#This Row],[Unit_Cost]])),Raw_Data[[#This Row],[Closing_Stock]]*Raw_Data[[#This Row],[Unit_Cost]],"")</f>
        <v>659328</v>
      </c>
      <c r="N62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23" spans="1:14" x14ac:dyDescent="0.3">
      <c r="A623" t="s">
        <v>932</v>
      </c>
      <c r="B623" t="s">
        <v>315</v>
      </c>
      <c r="C623" t="s">
        <v>49</v>
      </c>
      <c r="D623" t="s">
        <v>32</v>
      </c>
      <c r="E623" s="3">
        <v>46123</v>
      </c>
      <c r="F623">
        <v>163</v>
      </c>
      <c r="G623">
        <v>23</v>
      </c>
      <c r="H623">
        <v>140</v>
      </c>
      <c r="I623">
        <v>1021</v>
      </c>
      <c r="J623" t="s">
        <v>14</v>
      </c>
      <c r="K623" s="4">
        <f>IF(AND(ISNUMBER(Raw_Data[[#This Row],[Opening_Stock]]),ISNUMBER(Raw_Data[[#This Row],[Units_Sold]]),Raw_Data[[#This Row],[Opening_Stock]]&gt;0),Raw_Data[[#This Row],[Units_Sold]]/Raw_Data[[#This Row],[Opening_Stock]],"")</f>
        <v>0.1411042944785276</v>
      </c>
      <c r="L623" t="str">
        <f>IF(NOT(ISNUMBER(Raw_Data[[#This Row],[Sell_through%]])),"Check",IF(Raw_Data[[#This Row],[Sell_through%]]=0,"Non-moving",IF(Raw_Data[[#This Row],[Sell_through%]]&gt;=0.6,"Fast","Slow")))</f>
        <v>Slow</v>
      </c>
      <c r="M623">
        <f>IF(AND(ISNUMBER(Raw_Data[[#This Row],[Closing_Stock]]),ISNUMBER(Raw_Data[[#This Row],[Unit_Cost]])),Raw_Data[[#This Row],[Closing_Stock]]*Raw_Data[[#This Row],[Unit_Cost]],"")</f>
        <v>142940</v>
      </c>
      <c r="N62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24" spans="1:14" x14ac:dyDescent="0.3">
      <c r="A624" t="s">
        <v>933</v>
      </c>
      <c r="B624" t="s">
        <v>363</v>
      </c>
      <c r="C624" t="s">
        <v>12</v>
      </c>
      <c r="D624" t="s">
        <v>21</v>
      </c>
      <c r="E624" s="3">
        <v>46046</v>
      </c>
      <c r="F624">
        <v>358</v>
      </c>
      <c r="G624">
        <v>31</v>
      </c>
      <c r="H624">
        <v>327</v>
      </c>
      <c r="I624">
        <v>2462</v>
      </c>
      <c r="J624" t="s">
        <v>14</v>
      </c>
      <c r="K624" s="4">
        <f>IF(AND(ISNUMBER(Raw_Data[[#This Row],[Opening_Stock]]),ISNUMBER(Raw_Data[[#This Row],[Units_Sold]]),Raw_Data[[#This Row],[Opening_Stock]]&gt;0),Raw_Data[[#This Row],[Units_Sold]]/Raw_Data[[#This Row],[Opening_Stock]],"")</f>
        <v>8.6592178770949726E-2</v>
      </c>
      <c r="L624" t="str">
        <f>IF(NOT(ISNUMBER(Raw_Data[[#This Row],[Sell_through%]])),"Check",IF(Raw_Data[[#This Row],[Sell_through%]]=0,"Non-moving",IF(Raw_Data[[#This Row],[Sell_through%]]&gt;=0.6,"Fast","Slow")))</f>
        <v>Slow</v>
      </c>
      <c r="M624">
        <f>IF(AND(ISNUMBER(Raw_Data[[#This Row],[Closing_Stock]]),ISNUMBER(Raw_Data[[#This Row],[Unit_Cost]])),Raw_Data[[#This Row],[Closing_Stock]]*Raw_Data[[#This Row],[Unit_Cost]],"")</f>
        <v>805074</v>
      </c>
      <c r="N62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25" spans="1:14" x14ac:dyDescent="0.3">
      <c r="A625" t="s">
        <v>934</v>
      </c>
      <c r="B625" t="s">
        <v>455</v>
      </c>
      <c r="C625" t="s">
        <v>35</v>
      </c>
      <c r="D625" t="s">
        <v>21</v>
      </c>
      <c r="E625" s="3">
        <v>46237</v>
      </c>
      <c r="F625">
        <v>267</v>
      </c>
      <c r="G625">
        <v>89</v>
      </c>
      <c r="H625">
        <v>178</v>
      </c>
      <c r="I625">
        <v>898</v>
      </c>
      <c r="J625" t="s">
        <v>14</v>
      </c>
      <c r="K625" s="4">
        <f>IF(AND(ISNUMBER(Raw_Data[[#This Row],[Opening_Stock]]),ISNUMBER(Raw_Data[[#This Row],[Units_Sold]]),Raw_Data[[#This Row],[Opening_Stock]]&gt;0),Raw_Data[[#This Row],[Units_Sold]]/Raw_Data[[#This Row],[Opening_Stock]],"")</f>
        <v>0.33333333333333331</v>
      </c>
      <c r="L625" t="str">
        <f>IF(NOT(ISNUMBER(Raw_Data[[#This Row],[Sell_through%]])),"Check",IF(Raw_Data[[#This Row],[Sell_through%]]=0,"Non-moving",IF(Raw_Data[[#This Row],[Sell_through%]]&gt;=0.6,"Fast","Slow")))</f>
        <v>Slow</v>
      </c>
      <c r="M625">
        <f>IF(AND(ISNUMBER(Raw_Data[[#This Row],[Closing_Stock]]),ISNUMBER(Raw_Data[[#This Row],[Unit_Cost]])),Raw_Data[[#This Row],[Closing_Stock]]*Raw_Data[[#This Row],[Unit_Cost]],"")</f>
        <v>159844</v>
      </c>
      <c r="N62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26" spans="1:14" x14ac:dyDescent="0.3">
      <c r="A626" t="s">
        <v>935</v>
      </c>
      <c r="B626" t="s">
        <v>198</v>
      </c>
      <c r="C626" t="s">
        <v>31</v>
      </c>
      <c r="D626" t="s">
        <v>13</v>
      </c>
      <c r="E626" s="3">
        <v>46240</v>
      </c>
      <c r="F626">
        <v>328</v>
      </c>
      <c r="G626">
        <v>272</v>
      </c>
      <c r="H626">
        <v>56</v>
      </c>
      <c r="I626">
        <v>2657</v>
      </c>
      <c r="J626" t="s">
        <v>17</v>
      </c>
      <c r="K626" s="4">
        <f>IF(AND(ISNUMBER(Raw_Data[[#This Row],[Opening_Stock]]),ISNUMBER(Raw_Data[[#This Row],[Units_Sold]]),Raw_Data[[#This Row],[Opening_Stock]]&gt;0),Raw_Data[[#This Row],[Units_Sold]]/Raw_Data[[#This Row],[Opening_Stock]],"")</f>
        <v>0.82926829268292679</v>
      </c>
      <c r="L626" t="str">
        <f>IF(NOT(ISNUMBER(Raw_Data[[#This Row],[Sell_through%]])),"Check",IF(Raw_Data[[#This Row],[Sell_through%]]=0,"Non-moving",IF(Raw_Data[[#This Row],[Sell_through%]]&gt;=0.6,"Fast","Slow")))</f>
        <v>Fast</v>
      </c>
      <c r="M626">
        <f>IF(AND(ISNUMBER(Raw_Data[[#This Row],[Closing_Stock]]),ISNUMBER(Raw_Data[[#This Row],[Unit_Cost]])),Raw_Data[[#This Row],[Closing_Stock]]*Raw_Data[[#This Row],[Unit_Cost]],"")</f>
        <v>148792</v>
      </c>
      <c r="N626"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27" spans="1:14" x14ac:dyDescent="0.3">
      <c r="A627" t="s">
        <v>936</v>
      </c>
      <c r="B627" t="s">
        <v>224</v>
      </c>
      <c r="C627" t="s">
        <v>49</v>
      </c>
      <c r="D627" t="s">
        <v>13</v>
      </c>
      <c r="E627" s="3">
        <v>46000</v>
      </c>
      <c r="F627">
        <v>419</v>
      </c>
      <c r="G627">
        <v>134</v>
      </c>
      <c r="H627">
        <v>285</v>
      </c>
      <c r="I627">
        <v>1214</v>
      </c>
      <c r="J627" t="s">
        <v>14</v>
      </c>
      <c r="K627" s="4">
        <f>IF(AND(ISNUMBER(Raw_Data[[#This Row],[Opening_Stock]]),ISNUMBER(Raw_Data[[#This Row],[Units_Sold]]),Raw_Data[[#This Row],[Opening_Stock]]&gt;0),Raw_Data[[#This Row],[Units_Sold]]/Raw_Data[[#This Row],[Opening_Stock]],"")</f>
        <v>0.31980906921241048</v>
      </c>
      <c r="L627" t="str">
        <f>IF(NOT(ISNUMBER(Raw_Data[[#This Row],[Sell_through%]])),"Check",IF(Raw_Data[[#This Row],[Sell_through%]]=0,"Non-moving",IF(Raw_Data[[#This Row],[Sell_through%]]&gt;=0.6,"Fast","Slow")))</f>
        <v>Slow</v>
      </c>
      <c r="M627">
        <f>IF(AND(ISNUMBER(Raw_Data[[#This Row],[Closing_Stock]]),ISNUMBER(Raw_Data[[#This Row],[Unit_Cost]])),Raw_Data[[#This Row],[Closing_Stock]]*Raw_Data[[#This Row],[Unit_Cost]],"")</f>
        <v>345990</v>
      </c>
      <c r="N62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28" spans="1:14" x14ac:dyDescent="0.3">
      <c r="A628" t="s">
        <v>937</v>
      </c>
      <c r="B628" t="s">
        <v>367</v>
      </c>
      <c r="D628" t="s">
        <v>32</v>
      </c>
      <c r="E628" s="3"/>
      <c r="F628">
        <v>443</v>
      </c>
      <c r="G628">
        <v>0</v>
      </c>
      <c r="H628">
        <v>443</v>
      </c>
      <c r="I628">
        <v>1872</v>
      </c>
      <c r="J628" t="s">
        <v>14</v>
      </c>
      <c r="K628" s="4">
        <f>IF(AND(ISNUMBER(Raw_Data[[#This Row],[Opening_Stock]]),ISNUMBER(Raw_Data[[#This Row],[Units_Sold]]),Raw_Data[[#This Row],[Opening_Stock]]&gt;0),Raw_Data[[#This Row],[Units_Sold]]/Raw_Data[[#This Row],[Opening_Stock]],"")</f>
        <v>0</v>
      </c>
      <c r="L628" t="str">
        <f>IF(NOT(ISNUMBER(Raw_Data[[#This Row],[Sell_through%]])),"Check",IF(Raw_Data[[#This Row],[Sell_through%]]=0,"Non-moving",IF(Raw_Data[[#This Row],[Sell_through%]]&gt;=0.6,"Fast","Slow")))</f>
        <v>Non-moving</v>
      </c>
      <c r="M628">
        <f>IF(AND(ISNUMBER(Raw_Data[[#This Row],[Closing_Stock]]),ISNUMBER(Raw_Data[[#This Row],[Unit_Cost]])),Raw_Data[[#This Row],[Closing_Stock]]*Raw_Data[[#This Row],[Unit_Cost]],"")</f>
        <v>829296</v>
      </c>
      <c r="N62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29" spans="1:14" x14ac:dyDescent="0.3">
      <c r="A629" t="s">
        <v>938</v>
      </c>
      <c r="B629" t="s">
        <v>387</v>
      </c>
      <c r="C629" t="s">
        <v>12</v>
      </c>
      <c r="D629" t="s">
        <v>21</v>
      </c>
      <c r="E629" s="3">
        <v>46082</v>
      </c>
      <c r="G629">
        <v>164</v>
      </c>
      <c r="H629">
        <v>58</v>
      </c>
      <c r="I629">
        <v>183</v>
      </c>
      <c r="J629" t="s">
        <v>17</v>
      </c>
      <c r="K629" s="4" t="str">
        <f>IF(AND(ISNUMBER(Raw_Data[[#This Row],[Opening_Stock]]),ISNUMBER(Raw_Data[[#This Row],[Units_Sold]]),Raw_Data[[#This Row],[Opening_Stock]]&gt;0),Raw_Data[[#This Row],[Units_Sold]]/Raw_Data[[#This Row],[Opening_Stock]],"")</f>
        <v/>
      </c>
      <c r="L629" t="str">
        <f>IF(NOT(ISNUMBER(Raw_Data[[#This Row],[Sell_through%]])),"Check",IF(Raw_Data[[#This Row],[Sell_through%]]=0,"Non-moving",IF(Raw_Data[[#This Row],[Sell_through%]]&gt;=0.6,"Fast","Slow")))</f>
        <v>Check</v>
      </c>
      <c r="M629">
        <f>IF(AND(ISNUMBER(Raw_Data[[#This Row],[Closing_Stock]]),ISNUMBER(Raw_Data[[#This Row],[Unit_Cost]])),Raw_Data[[#This Row],[Closing_Stock]]*Raw_Data[[#This Row],[Unit_Cost]],"")</f>
        <v>10614</v>
      </c>
      <c r="N62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30" spans="1:14" x14ac:dyDescent="0.3">
      <c r="A630" t="s">
        <v>939</v>
      </c>
      <c r="B630" t="s">
        <v>211</v>
      </c>
      <c r="C630" t="s">
        <v>35</v>
      </c>
      <c r="D630" t="s">
        <v>32</v>
      </c>
      <c r="E630" s="3">
        <v>46146</v>
      </c>
      <c r="F630">
        <v>169</v>
      </c>
      <c r="G630">
        <v>64</v>
      </c>
      <c r="H630">
        <v>105</v>
      </c>
      <c r="I630">
        <v>2839</v>
      </c>
      <c r="J630" t="s">
        <v>14</v>
      </c>
      <c r="K630" s="4">
        <f>IF(AND(ISNUMBER(Raw_Data[[#This Row],[Opening_Stock]]),ISNUMBER(Raw_Data[[#This Row],[Units_Sold]]),Raw_Data[[#This Row],[Opening_Stock]]&gt;0),Raw_Data[[#This Row],[Units_Sold]]/Raw_Data[[#This Row],[Opening_Stock]],"")</f>
        <v>0.378698224852071</v>
      </c>
      <c r="L630" t="str">
        <f>IF(NOT(ISNUMBER(Raw_Data[[#This Row],[Sell_through%]])),"Check",IF(Raw_Data[[#This Row],[Sell_through%]]=0,"Non-moving",IF(Raw_Data[[#This Row],[Sell_through%]]&gt;=0.6,"Fast","Slow")))</f>
        <v>Slow</v>
      </c>
      <c r="M630">
        <f>IF(AND(ISNUMBER(Raw_Data[[#This Row],[Closing_Stock]]),ISNUMBER(Raw_Data[[#This Row],[Unit_Cost]])),Raw_Data[[#This Row],[Closing_Stock]]*Raw_Data[[#This Row],[Unit_Cost]],"")</f>
        <v>298095</v>
      </c>
      <c r="N63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31" spans="1:14" x14ac:dyDescent="0.3">
      <c r="A631" t="s">
        <v>940</v>
      </c>
      <c r="B631" t="s">
        <v>161</v>
      </c>
      <c r="C631" t="s">
        <v>12</v>
      </c>
      <c r="D631" t="s">
        <v>36</v>
      </c>
      <c r="E631" s="3">
        <v>46149</v>
      </c>
      <c r="F631">
        <v>416</v>
      </c>
      <c r="G631">
        <v>369</v>
      </c>
      <c r="H631">
        <v>47</v>
      </c>
      <c r="J631" t="s">
        <v>17</v>
      </c>
      <c r="K631" s="4">
        <f>IF(AND(ISNUMBER(Raw_Data[[#This Row],[Opening_Stock]]),ISNUMBER(Raw_Data[[#This Row],[Units_Sold]]),Raw_Data[[#This Row],[Opening_Stock]]&gt;0),Raw_Data[[#This Row],[Units_Sold]]/Raw_Data[[#This Row],[Opening_Stock]],"")</f>
        <v>0.88701923076923073</v>
      </c>
      <c r="L631" t="str">
        <f>IF(NOT(ISNUMBER(Raw_Data[[#This Row],[Sell_through%]])),"Check",IF(Raw_Data[[#This Row],[Sell_through%]]=0,"Non-moving",IF(Raw_Data[[#This Row],[Sell_through%]]&gt;=0.6,"Fast","Slow")))</f>
        <v>Fast</v>
      </c>
      <c r="M631" t="str">
        <f>IF(AND(ISNUMBER(Raw_Data[[#This Row],[Closing_Stock]]),ISNUMBER(Raw_Data[[#This Row],[Unit_Cost]])),Raw_Data[[#This Row],[Closing_Stock]]*Raw_Data[[#This Row],[Unit_Cost]],"")</f>
        <v/>
      </c>
      <c r="N63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32" spans="1:14" x14ac:dyDescent="0.3">
      <c r="A632" t="s">
        <v>941</v>
      </c>
      <c r="B632" t="s">
        <v>65</v>
      </c>
      <c r="C632" t="s">
        <v>49</v>
      </c>
      <c r="D632" t="s">
        <v>21</v>
      </c>
      <c r="E632" s="3"/>
      <c r="F632">
        <v>180</v>
      </c>
      <c r="G632">
        <v>0</v>
      </c>
      <c r="H632">
        <v>180</v>
      </c>
      <c r="I632">
        <v>1218</v>
      </c>
      <c r="J632" t="s">
        <v>14</v>
      </c>
      <c r="K632" s="4">
        <f>IF(AND(ISNUMBER(Raw_Data[[#This Row],[Opening_Stock]]),ISNUMBER(Raw_Data[[#This Row],[Units_Sold]]),Raw_Data[[#This Row],[Opening_Stock]]&gt;0),Raw_Data[[#This Row],[Units_Sold]]/Raw_Data[[#This Row],[Opening_Stock]],"")</f>
        <v>0</v>
      </c>
      <c r="L632" t="str">
        <f>IF(NOT(ISNUMBER(Raw_Data[[#This Row],[Sell_through%]])),"Check",IF(Raw_Data[[#This Row],[Sell_through%]]=0,"Non-moving",IF(Raw_Data[[#This Row],[Sell_through%]]&gt;=0.6,"Fast","Slow")))</f>
        <v>Non-moving</v>
      </c>
      <c r="M632">
        <f>IF(AND(ISNUMBER(Raw_Data[[#This Row],[Closing_Stock]]),ISNUMBER(Raw_Data[[#This Row],[Unit_Cost]])),Raw_Data[[#This Row],[Closing_Stock]]*Raw_Data[[#This Row],[Unit_Cost]],"")</f>
        <v>219240</v>
      </c>
      <c r="N63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33" spans="1:14" x14ac:dyDescent="0.3">
      <c r="A633" t="s">
        <v>942</v>
      </c>
      <c r="B633" t="s">
        <v>324</v>
      </c>
      <c r="C633" t="s">
        <v>31</v>
      </c>
      <c r="D633" t="s">
        <v>21</v>
      </c>
      <c r="E633" s="3">
        <v>46042</v>
      </c>
      <c r="F633">
        <v>345</v>
      </c>
      <c r="G633">
        <v>280</v>
      </c>
      <c r="H633">
        <v>65</v>
      </c>
      <c r="I633">
        <v>444</v>
      </c>
      <c r="J633" t="s">
        <v>14</v>
      </c>
      <c r="K633" s="4">
        <f>IF(AND(ISNUMBER(Raw_Data[[#This Row],[Opening_Stock]]),ISNUMBER(Raw_Data[[#This Row],[Units_Sold]]),Raw_Data[[#This Row],[Opening_Stock]]&gt;0),Raw_Data[[#This Row],[Units_Sold]]/Raw_Data[[#This Row],[Opening_Stock]],"")</f>
        <v>0.81159420289855078</v>
      </c>
      <c r="L633" t="str">
        <f>IF(NOT(ISNUMBER(Raw_Data[[#This Row],[Sell_through%]])),"Check",IF(Raw_Data[[#This Row],[Sell_through%]]=0,"Non-moving",IF(Raw_Data[[#This Row],[Sell_through%]]&gt;=0.6,"Fast","Slow")))</f>
        <v>Fast</v>
      </c>
      <c r="M633">
        <f>IF(AND(ISNUMBER(Raw_Data[[#This Row],[Closing_Stock]]),ISNUMBER(Raw_Data[[#This Row],[Unit_Cost]])),Raw_Data[[#This Row],[Closing_Stock]]*Raw_Data[[#This Row],[Unit_Cost]],"")</f>
        <v>28860</v>
      </c>
      <c r="N63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34" spans="1:14" x14ac:dyDescent="0.3">
      <c r="A634" t="s">
        <v>944</v>
      </c>
      <c r="B634" t="s">
        <v>387</v>
      </c>
      <c r="C634" t="s">
        <v>12</v>
      </c>
      <c r="D634" t="s">
        <v>36</v>
      </c>
      <c r="E634" s="3"/>
      <c r="F634">
        <v>413</v>
      </c>
      <c r="G634">
        <v>0</v>
      </c>
      <c r="H634">
        <v>413</v>
      </c>
      <c r="I634">
        <v>2013</v>
      </c>
      <c r="J634" t="s">
        <v>14</v>
      </c>
      <c r="K634" s="4">
        <f>IF(AND(ISNUMBER(Raw_Data[[#This Row],[Opening_Stock]]),ISNUMBER(Raw_Data[[#This Row],[Units_Sold]]),Raw_Data[[#This Row],[Opening_Stock]]&gt;0),Raw_Data[[#This Row],[Units_Sold]]/Raw_Data[[#This Row],[Opening_Stock]],"")</f>
        <v>0</v>
      </c>
      <c r="L634" t="str">
        <f>IF(NOT(ISNUMBER(Raw_Data[[#This Row],[Sell_through%]])),"Check",IF(Raw_Data[[#This Row],[Sell_through%]]=0,"Non-moving",IF(Raw_Data[[#This Row],[Sell_through%]]&gt;=0.6,"Fast","Slow")))</f>
        <v>Non-moving</v>
      </c>
      <c r="M634">
        <f>IF(AND(ISNUMBER(Raw_Data[[#This Row],[Closing_Stock]]),ISNUMBER(Raw_Data[[#This Row],[Unit_Cost]])),Raw_Data[[#This Row],[Closing_Stock]]*Raw_Data[[#This Row],[Unit_Cost]],"")</f>
        <v>831369</v>
      </c>
      <c r="N63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35" spans="1:14" x14ac:dyDescent="0.3">
      <c r="A635" t="s">
        <v>945</v>
      </c>
      <c r="B635" t="s">
        <v>117</v>
      </c>
      <c r="C635" t="s">
        <v>28</v>
      </c>
      <c r="D635" t="s">
        <v>13</v>
      </c>
      <c r="E635" s="3"/>
      <c r="F635">
        <v>271</v>
      </c>
      <c r="G635">
        <v>0</v>
      </c>
      <c r="H635">
        <v>271</v>
      </c>
      <c r="I635">
        <v>1435</v>
      </c>
      <c r="J635" t="s">
        <v>14</v>
      </c>
      <c r="K635" s="4">
        <f>IF(AND(ISNUMBER(Raw_Data[[#This Row],[Opening_Stock]]),ISNUMBER(Raw_Data[[#This Row],[Units_Sold]]),Raw_Data[[#This Row],[Opening_Stock]]&gt;0),Raw_Data[[#This Row],[Units_Sold]]/Raw_Data[[#This Row],[Opening_Stock]],"")</f>
        <v>0</v>
      </c>
      <c r="L635" t="str">
        <f>IF(NOT(ISNUMBER(Raw_Data[[#This Row],[Sell_through%]])),"Check",IF(Raw_Data[[#This Row],[Sell_through%]]=0,"Non-moving",IF(Raw_Data[[#This Row],[Sell_through%]]&gt;=0.6,"Fast","Slow")))</f>
        <v>Non-moving</v>
      </c>
      <c r="M635">
        <f>IF(AND(ISNUMBER(Raw_Data[[#This Row],[Closing_Stock]]),ISNUMBER(Raw_Data[[#This Row],[Unit_Cost]])),Raw_Data[[#This Row],[Closing_Stock]]*Raw_Data[[#This Row],[Unit_Cost]],"")</f>
        <v>388885</v>
      </c>
      <c r="N63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36" spans="1:14" x14ac:dyDescent="0.3">
      <c r="A636" t="s">
        <v>946</v>
      </c>
      <c r="B636" t="s">
        <v>324</v>
      </c>
      <c r="C636" t="s">
        <v>31</v>
      </c>
      <c r="D636" t="s">
        <v>21</v>
      </c>
      <c r="E636" s="3"/>
      <c r="F636">
        <v>235</v>
      </c>
      <c r="G636">
        <v>0</v>
      </c>
      <c r="H636">
        <v>235</v>
      </c>
      <c r="I636">
        <v>703</v>
      </c>
      <c r="J636" t="s">
        <v>14</v>
      </c>
      <c r="K636" s="4">
        <f>IF(AND(ISNUMBER(Raw_Data[[#This Row],[Opening_Stock]]),ISNUMBER(Raw_Data[[#This Row],[Units_Sold]]),Raw_Data[[#This Row],[Opening_Stock]]&gt;0),Raw_Data[[#This Row],[Units_Sold]]/Raw_Data[[#This Row],[Opening_Stock]],"")</f>
        <v>0</v>
      </c>
      <c r="L636" t="str">
        <f>IF(NOT(ISNUMBER(Raw_Data[[#This Row],[Sell_through%]])),"Check",IF(Raw_Data[[#This Row],[Sell_through%]]=0,"Non-moving",IF(Raw_Data[[#This Row],[Sell_through%]]&gt;=0.6,"Fast","Slow")))</f>
        <v>Non-moving</v>
      </c>
      <c r="M636">
        <f>IF(AND(ISNUMBER(Raw_Data[[#This Row],[Closing_Stock]]),ISNUMBER(Raw_Data[[#This Row],[Unit_Cost]])),Raw_Data[[#This Row],[Closing_Stock]]*Raw_Data[[#This Row],[Unit_Cost]],"")</f>
        <v>165205</v>
      </c>
      <c r="N63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37" spans="1:14" x14ac:dyDescent="0.3">
      <c r="A637" t="s">
        <v>948</v>
      </c>
      <c r="B637" t="s">
        <v>101</v>
      </c>
      <c r="C637" t="s">
        <v>12</v>
      </c>
      <c r="D637" t="s">
        <v>36</v>
      </c>
      <c r="E637" s="3">
        <v>46242</v>
      </c>
      <c r="F637">
        <v>412</v>
      </c>
      <c r="G637">
        <v>40</v>
      </c>
      <c r="H637">
        <v>372</v>
      </c>
      <c r="I637">
        <v>1648</v>
      </c>
      <c r="K637" s="4">
        <f>IF(AND(ISNUMBER(Raw_Data[[#This Row],[Opening_Stock]]),ISNUMBER(Raw_Data[[#This Row],[Units_Sold]]),Raw_Data[[#This Row],[Opening_Stock]]&gt;0),Raw_Data[[#This Row],[Units_Sold]]/Raw_Data[[#This Row],[Opening_Stock]],"")</f>
        <v>9.7087378640776698E-2</v>
      </c>
      <c r="L637" t="str">
        <f>IF(NOT(ISNUMBER(Raw_Data[[#This Row],[Sell_through%]])),"Check",IF(Raw_Data[[#This Row],[Sell_through%]]=0,"Non-moving",IF(Raw_Data[[#This Row],[Sell_through%]]&gt;=0.6,"Fast","Slow")))</f>
        <v>Slow</v>
      </c>
      <c r="M637">
        <f>IF(AND(ISNUMBER(Raw_Data[[#This Row],[Closing_Stock]]),ISNUMBER(Raw_Data[[#This Row],[Unit_Cost]])),Raw_Data[[#This Row],[Closing_Stock]]*Raw_Data[[#This Row],[Unit_Cost]],"")</f>
        <v>613056</v>
      </c>
      <c r="N637"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38" spans="1:14" x14ac:dyDescent="0.3">
      <c r="A638" t="s">
        <v>949</v>
      </c>
      <c r="B638" t="s">
        <v>19</v>
      </c>
      <c r="C638" t="s">
        <v>28</v>
      </c>
      <c r="D638" t="s">
        <v>36</v>
      </c>
      <c r="E638" s="3">
        <v>46106</v>
      </c>
      <c r="F638">
        <v>448</v>
      </c>
      <c r="G638">
        <v>442</v>
      </c>
      <c r="H638">
        <v>6</v>
      </c>
      <c r="I638">
        <v>1070</v>
      </c>
      <c r="J638" t="s">
        <v>17</v>
      </c>
      <c r="K638" s="4">
        <f>IF(AND(ISNUMBER(Raw_Data[[#This Row],[Opening_Stock]]),ISNUMBER(Raw_Data[[#This Row],[Units_Sold]]),Raw_Data[[#This Row],[Opening_Stock]]&gt;0),Raw_Data[[#This Row],[Units_Sold]]/Raw_Data[[#This Row],[Opening_Stock]],"")</f>
        <v>0.9866071428571429</v>
      </c>
      <c r="L638" t="str">
        <f>IF(NOT(ISNUMBER(Raw_Data[[#This Row],[Sell_through%]])),"Check",IF(Raw_Data[[#This Row],[Sell_through%]]=0,"Non-moving",IF(Raw_Data[[#This Row],[Sell_through%]]&gt;=0.6,"Fast","Slow")))</f>
        <v>Fast</v>
      </c>
      <c r="M638">
        <f>IF(AND(ISNUMBER(Raw_Data[[#This Row],[Closing_Stock]]),ISNUMBER(Raw_Data[[#This Row],[Unit_Cost]])),Raw_Data[[#This Row],[Closing_Stock]]*Raw_Data[[#This Row],[Unit_Cost]],"")</f>
        <v>6420</v>
      </c>
      <c r="N63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39" spans="1:14" x14ac:dyDescent="0.3">
      <c r="A639" t="s">
        <v>951</v>
      </c>
      <c r="B639" t="s">
        <v>387</v>
      </c>
      <c r="D639" t="s">
        <v>32</v>
      </c>
      <c r="E639" s="3"/>
      <c r="F639">
        <v>467</v>
      </c>
      <c r="G639">
        <v>0</v>
      </c>
      <c r="H639">
        <v>467</v>
      </c>
      <c r="I639">
        <v>2571</v>
      </c>
      <c r="J639" t="s">
        <v>14</v>
      </c>
      <c r="K639" s="4">
        <f>IF(AND(ISNUMBER(Raw_Data[[#This Row],[Opening_Stock]]),ISNUMBER(Raw_Data[[#This Row],[Units_Sold]]),Raw_Data[[#This Row],[Opening_Stock]]&gt;0),Raw_Data[[#This Row],[Units_Sold]]/Raw_Data[[#This Row],[Opening_Stock]],"")</f>
        <v>0</v>
      </c>
      <c r="L639" t="str">
        <f>IF(NOT(ISNUMBER(Raw_Data[[#This Row],[Sell_through%]])),"Check",IF(Raw_Data[[#This Row],[Sell_through%]]=0,"Non-moving",IF(Raw_Data[[#This Row],[Sell_through%]]&gt;=0.6,"Fast","Slow")))</f>
        <v>Non-moving</v>
      </c>
      <c r="M639">
        <f>IF(AND(ISNUMBER(Raw_Data[[#This Row],[Closing_Stock]]),ISNUMBER(Raw_Data[[#This Row],[Unit_Cost]])),Raw_Data[[#This Row],[Closing_Stock]]*Raw_Data[[#This Row],[Unit_Cost]],"")</f>
        <v>1200657</v>
      </c>
      <c r="N63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40" spans="1:14" x14ac:dyDescent="0.3">
      <c r="A640" t="s">
        <v>953</v>
      </c>
      <c r="B640" t="s">
        <v>146</v>
      </c>
      <c r="C640" t="s">
        <v>35</v>
      </c>
      <c r="D640" t="s">
        <v>21</v>
      </c>
      <c r="E640" s="3">
        <v>46104</v>
      </c>
      <c r="F640">
        <v>148</v>
      </c>
      <c r="G640">
        <v>30</v>
      </c>
      <c r="H640">
        <v>118</v>
      </c>
      <c r="I640">
        <v>344</v>
      </c>
      <c r="J640" t="s">
        <v>14</v>
      </c>
      <c r="K640" s="4">
        <f>IF(AND(ISNUMBER(Raw_Data[[#This Row],[Opening_Stock]]),ISNUMBER(Raw_Data[[#This Row],[Units_Sold]]),Raw_Data[[#This Row],[Opening_Stock]]&gt;0),Raw_Data[[#This Row],[Units_Sold]]/Raw_Data[[#This Row],[Opening_Stock]],"")</f>
        <v>0.20270270270270271</v>
      </c>
      <c r="L640" t="str">
        <f>IF(NOT(ISNUMBER(Raw_Data[[#This Row],[Sell_through%]])),"Check",IF(Raw_Data[[#This Row],[Sell_through%]]=0,"Non-moving",IF(Raw_Data[[#This Row],[Sell_through%]]&gt;=0.6,"Fast","Slow")))</f>
        <v>Slow</v>
      </c>
      <c r="M640">
        <f>IF(AND(ISNUMBER(Raw_Data[[#This Row],[Closing_Stock]]),ISNUMBER(Raw_Data[[#This Row],[Unit_Cost]])),Raw_Data[[#This Row],[Closing_Stock]]*Raw_Data[[#This Row],[Unit_Cost]],"")</f>
        <v>40592</v>
      </c>
      <c r="N64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41" spans="1:14" x14ac:dyDescent="0.3">
      <c r="A641" t="s">
        <v>955</v>
      </c>
      <c r="B641" t="s">
        <v>112</v>
      </c>
      <c r="C641" t="s">
        <v>35</v>
      </c>
      <c r="D641" t="s">
        <v>13</v>
      </c>
      <c r="E641" s="3">
        <v>46160</v>
      </c>
      <c r="G641">
        <v>200</v>
      </c>
      <c r="H641">
        <v>38</v>
      </c>
      <c r="I641">
        <v>75</v>
      </c>
      <c r="J641" t="s">
        <v>17</v>
      </c>
      <c r="K641" s="4" t="str">
        <f>IF(AND(ISNUMBER(Raw_Data[[#This Row],[Opening_Stock]]),ISNUMBER(Raw_Data[[#This Row],[Units_Sold]]),Raw_Data[[#This Row],[Opening_Stock]]&gt;0),Raw_Data[[#This Row],[Units_Sold]]/Raw_Data[[#This Row],[Opening_Stock]],"")</f>
        <v/>
      </c>
      <c r="L641" t="str">
        <f>IF(NOT(ISNUMBER(Raw_Data[[#This Row],[Sell_through%]])),"Check",IF(Raw_Data[[#This Row],[Sell_through%]]=0,"Non-moving",IF(Raw_Data[[#This Row],[Sell_through%]]&gt;=0.6,"Fast","Slow")))</f>
        <v>Check</v>
      </c>
      <c r="M641">
        <f>IF(AND(ISNUMBER(Raw_Data[[#This Row],[Closing_Stock]]),ISNUMBER(Raw_Data[[#This Row],[Unit_Cost]])),Raw_Data[[#This Row],[Closing_Stock]]*Raw_Data[[#This Row],[Unit_Cost]],"")</f>
        <v>2850</v>
      </c>
      <c r="N64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42" spans="1:14" x14ac:dyDescent="0.3">
      <c r="A642" t="s">
        <v>956</v>
      </c>
      <c r="B642" t="s">
        <v>1342</v>
      </c>
      <c r="C642" t="s">
        <v>28</v>
      </c>
      <c r="D642" t="s">
        <v>21</v>
      </c>
      <c r="E642" s="3"/>
      <c r="F642">
        <v>475</v>
      </c>
      <c r="G642">
        <v>0</v>
      </c>
      <c r="H642">
        <v>475</v>
      </c>
      <c r="I642">
        <v>2883</v>
      </c>
      <c r="J642" t="s">
        <v>14</v>
      </c>
      <c r="K642" s="4">
        <f>IF(AND(ISNUMBER(Raw_Data[[#This Row],[Opening_Stock]]),ISNUMBER(Raw_Data[[#This Row],[Units_Sold]]),Raw_Data[[#This Row],[Opening_Stock]]&gt;0),Raw_Data[[#This Row],[Units_Sold]]/Raw_Data[[#This Row],[Opening_Stock]],"")</f>
        <v>0</v>
      </c>
      <c r="L642" t="str">
        <f>IF(NOT(ISNUMBER(Raw_Data[[#This Row],[Sell_through%]])),"Check",IF(Raw_Data[[#This Row],[Sell_through%]]=0,"Non-moving",IF(Raw_Data[[#This Row],[Sell_through%]]&gt;=0.6,"Fast","Slow")))</f>
        <v>Non-moving</v>
      </c>
      <c r="M642">
        <f>IF(AND(ISNUMBER(Raw_Data[[#This Row],[Closing_Stock]]),ISNUMBER(Raw_Data[[#This Row],[Unit_Cost]])),Raw_Data[[#This Row],[Closing_Stock]]*Raw_Data[[#This Row],[Unit_Cost]],"")</f>
        <v>1369425</v>
      </c>
      <c r="N64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43" spans="1:14" x14ac:dyDescent="0.3">
      <c r="A643" t="s">
        <v>958</v>
      </c>
      <c r="B643" t="s">
        <v>73</v>
      </c>
      <c r="C643" t="s">
        <v>49</v>
      </c>
      <c r="D643" t="s">
        <v>21</v>
      </c>
      <c r="E643" s="3">
        <v>46189</v>
      </c>
      <c r="F643">
        <v>279</v>
      </c>
      <c r="G643">
        <v>50</v>
      </c>
      <c r="H643">
        <v>229</v>
      </c>
      <c r="I643">
        <v>777</v>
      </c>
      <c r="J643" t="s">
        <v>14</v>
      </c>
      <c r="K643" s="4">
        <f>IF(AND(ISNUMBER(Raw_Data[[#This Row],[Opening_Stock]]),ISNUMBER(Raw_Data[[#This Row],[Units_Sold]]),Raw_Data[[#This Row],[Opening_Stock]]&gt;0),Raw_Data[[#This Row],[Units_Sold]]/Raw_Data[[#This Row],[Opening_Stock]],"")</f>
        <v>0.17921146953405018</v>
      </c>
      <c r="L643" t="str">
        <f>IF(NOT(ISNUMBER(Raw_Data[[#This Row],[Sell_through%]])),"Check",IF(Raw_Data[[#This Row],[Sell_through%]]=0,"Non-moving",IF(Raw_Data[[#This Row],[Sell_through%]]&gt;=0.6,"Fast","Slow")))</f>
        <v>Slow</v>
      </c>
      <c r="M643">
        <f>IF(AND(ISNUMBER(Raw_Data[[#This Row],[Closing_Stock]]),ISNUMBER(Raw_Data[[#This Row],[Unit_Cost]])),Raw_Data[[#This Row],[Closing_Stock]]*Raw_Data[[#This Row],[Unit_Cost]],"")</f>
        <v>177933</v>
      </c>
      <c r="N64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44" spans="1:14" x14ac:dyDescent="0.3">
      <c r="A644" t="s">
        <v>959</v>
      </c>
      <c r="B644" t="s">
        <v>294</v>
      </c>
      <c r="C644" t="s">
        <v>35</v>
      </c>
      <c r="D644" t="s">
        <v>21</v>
      </c>
      <c r="E644" s="3"/>
      <c r="F644">
        <v>358</v>
      </c>
      <c r="G644">
        <v>0</v>
      </c>
      <c r="H644">
        <v>358</v>
      </c>
      <c r="I644">
        <v>1215</v>
      </c>
      <c r="J644" t="s">
        <v>14</v>
      </c>
      <c r="K644" s="4">
        <f>IF(AND(ISNUMBER(Raw_Data[[#This Row],[Opening_Stock]]),ISNUMBER(Raw_Data[[#This Row],[Units_Sold]]),Raw_Data[[#This Row],[Opening_Stock]]&gt;0),Raw_Data[[#This Row],[Units_Sold]]/Raw_Data[[#This Row],[Opening_Stock]],"")</f>
        <v>0</v>
      </c>
      <c r="L644" t="str">
        <f>IF(NOT(ISNUMBER(Raw_Data[[#This Row],[Sell_through%]])),"Check",IF(Raw_Data[[#This Row],[Sell_through%]]=0,"Non-moving",IF(Raw_Data[[#This Row],[Sell_through%]]&gt;=0.6,"Fast","Slow")))</f>
        <v>Non-moving</v>
      </c>
      <c r="M644">
        <f>IF(AND(ISNUMBER(Raw_Data[[#This Row],[Closing_Stock]]),ISNUMBER(Raw_Data[[#This Row],[Unit_Cost]])),Raw_Data[[#This Row],[Closing_Stock]]*Raw_Data[[#This Row],[Unit_Cost]],"")</f>
        <v>434970</v>
      </c>
      <c r="N64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45" spans="1:14" x14ac:dyDescent="0.3">
      <c r="A645" t="s">
        <v>960</v>
      </c>
      <c r="B645" t="s">
        <v>131</v>
      </c>
      <c r="C645" t="s">
        <v>49</v>
      </c>
      <c r="D645" t="s">
        <v>13</v>
      </c>
      <c r="E645" s="3">
        <v>46121</v>
      </c>
      <c r="F645">
        <v>356</v>
      </c>
      <c r="G645">
        <v>108</v>
      </c>
      <c r="H645">
        <v>248</v>
      </c>
      <c r="I645">
        <v>587</v>
      </c>
      <c r="K645" s="4">
        <f>IF(AND(ISNUMBER(Raw_Data[[#This Row],[Opening_Stock]]),ISNUMBER(Raw_Data[[#This Row],[Units_Sold]]),Raw_Data[[#This Row],[Opening_Stock]]&gt;0),Raw_Data[[#This Row],[Units_Sold]]/Raw_Data[[#This Row],[Opening_Stock]],"")</f>
        <v>0.30337078651685395</v>
      </c>
      <c r="L645" t="str">
        <f>IF(NOT(ISNUMBER(Raw_Data[[#This Row],[Sell_through%]])),"Check",IF(Raw_Data[[#This Row],[Sell_through%]]=0,"Non-moving",IF(Raw_Data[[#This Row],[Sell_through%]]&gt;=0.6,"Fast","Slow")))</f>
        <v>Slow</v>
      </c>
      <c r="M645">
        <f>IF(AND(ISNUMBER(Raw_Data[[#This Row],[Closing_Stock]]),ISNUMBER(Raw_Data[[#This Row],[Unit_Cost]])),Raw_Data[[#This Row],[Closing_Stock]]*Raw_Data[[#This Row],[Unit_Cost]],"")</f>
        <v>145576</v>
      </c>
      <c r="N64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46" spans="1:14" x14ac:dyDescent="0.3">
      <c r="A646" t="s">
        <v>961</v>
      </c>
      <c r="B646" t="s">
        <v>67</v>
      </c>
      <c r="C646" t="s">
        <v>31</v>
      </c>
      <c r="D646" t="s">
        <v>21</v>
      </c>
      <c r="E646" s="3">
        <v>46137</v>
      </c>
      <c r="F646">
        <v>167</v>
      </c>
      <c r="G646">
        <v>142</v>
      </c>
      <c r="H646">
        <v>25</v>
      </c>
      <c r="I646">
        <v>2129</v>
      </c>
      <c r="J646" t="s">
        <v>17</v>
      </c>
      <c r="K646" s="4">
        <f>IF(AND(ISNUMBER(Raw_Data[[#This Row],[Opening_Stock]]),ISNUMBER(Raw_Data[[#This Row],[Units_Sold]]),Raw_Data[[#This Row],[Opening_Stock]]&gt;0),Raw_Data[[#This Row],[Units_Sold]]/Raw_Data[[#This Row],[Opening_Stock]],"")</f>
        <v>0.85029940119760483</v>
      </c>
      <c r="L646" t="str">
        <f>IF(NOT(ISNUMBER(Raw_Data[[#This Row],[Sell_through%]])),"Check",IF(Raw_Data[[#This Row],[Sell_through%]]=0,"Non-moving",IF(Raw_Data[[#This Row],[Sell_through%]]&gt;=0.6,"Fast","Slow")))</f>
        <v>Fast</v>
      </c>
      <c r="M646">
        <f>IF(AND(ISNUMBER(Raw_Data[[#This Row],[Closing_Stock]]),ISNUMBER(Raw_Data[[#This Row],[Unit_Cost]])),Raw_Data[[#This Row],[Closing_Stock]]*Raw_Data[[#This Row],[Unit_Cost]],"")</f>
        <v>53225</v>
      </c>
      <c r="N646"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47" spans="1:14" x14ac:dyDescent="0.3">
      <c r="A647" t="s">
        <v>962</v>
      </c>
      <c r="B647" t="s">
        <v>101</v>
      </c>
      <c r="D647" t="s">
        <v>32</v>
      </c>
      <c r="E647" s="3">
        <v>46274</v>
      </c>
      <c r="F647">
        <v>441</v>
      </c>
      <c r="G647">
        <v>92</v>
      </c>
      <c r="H647">
        <v>349</v>
      </c>
      <c r="I647">
        <v>2520</v>
      </c>
      <c r="J647" t="s">
        <v>14</v>
      </c>
      <c r="K647" s="4">
        <f>IF(AND(ISNUMBER(Raw_Data[[#This Row],[Opening_Stock]]),ISNUMBER(Raw_Data[[#This Row],[Units_Sold]]),Raw_Data[[#This Row],[Opening_Stock]]&gt;0),Raw_Data[[#This Row],[Units_Sold]]/Raw_Data[[#This Row],[Opening_Stock]],"")</f>
        <v>0.20861678004535147</v>
      </c>
      <c r="L647" t="str">
        <f>IF(NOT(ISNUMBER(Raw_Data[[#This Row],[Sell_through%]])),"Check",IF(Raw_Data[[#This Row],[Sell_through%]]=0,"Non-moving",IF(Raw_Data[[#This Row],[Sell_through%]]&gt;=0.6,"Fast","Slow")))</f>
        <v>Slow</v>
      </c>
      <c r="M647">
        <f>IF(AND(ISNUMBER(Raw_Data[[#This Row],[Closing_Stock]]),ISNUMBER(Raw_Data[[#This Row],[Unit_Cost]])),Raw_Data[[#This Row],[Closing_Stock]]*Raw_Data[[#This Row],[Unit_Cost]],"")</f>
        <v>879480</v>
      </c>
      <c r="N64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48" spans="1:14" x14ac:dyDescent="0.3">
      <c r="A648" t="s">
        <v>964</v>
      </c>
      <c r="B648" t="s">
        <v>62</v>
      </c>
      <c r="C648" t="s">
        <v>49</v>
      </c>
      <c r="D648" t="s">
        <v>32</v>
      </c>
      <c r="E648" s="3">
        <v>46259</v>
      </c>
      <c r="F648">
        <v>169</v>
      </c>
      <c r="G648">
        <v>157</v>
      </c>
      <c r="H648">
        <v>12</v>
      </c>
      <c r="I648">
        <v>386</v>
      </c>
      <c r="J648" t="s">
        <v>17</v>
      </c>
      <c r="K648" s="4">
        <f>IF(AND(ISNUMBER(Raw_Data[[#This Row],[Opening_Stock]]),ISNUMBER(Raw_Data[[#This Row],[Units_Sold]]),Raw_Data[[#This Row],[Opening_Stock]]&gt;0),Raw_Data[[#This Row],[Units_Sold]]/Raw_Data[[#This Row],[Opening_Stock]],"")</f>
        <v>0.92899408284023666</v>
      </c>
      <c r="L648" t="str">
        <f>IF(NOT(ISNUMBER(Raw_Data[[#This Row],[Sell_through%]])),"Check",IF(Raw_Data[[#This Row],[Sell_through%]]=0,"Non-moving",IF(Raw_Data[[#This Row],[Sell_through%]]&gt;=0.6,"Fast","Slow")))</f>
        <v>Fast</v>
      </c>
      <c r="M648">
        <f>IF(AND(ISNUMBER(Raw_Data[[#This Row],[Closing_Stock]]),ISNUMBER(Raw_Data[[#This Row],[Unit_Cost]])),Raw_Data[[#This Row],[Closing_Stock]]*Raw_Data[[#This Row],[Unit_Cost]],"")</f>
        <v>4632</v>
      </c>
      <c r="N64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49" spans="1:14" x14ac:dyDescent="0.3">
      <c r="A649" t="s">
        <v>965</v>
      </c>
      <c r="B649" t="s">
        <v>57</v>
      </c>
      <c r="C649" t="s">
        <v>28</v>
      </c>
      <c r="D649" t="s">
        <v>21</v>
      </c>
      <c r="E649" s="3">
        <v>46204</v>
      </c>
      <c r="F649">
        <v>256</v>
      </c>
      <c r="G649">
        <v>61</v>
      </c>
      <c r="H649">
        <v>195</v>
      </c>
      <c r="I649">
        <v>643</v>
      </c>
      <c r="J649" t="s">
        <v>14</v>
      </c>
      <c r="K649" s="4">
        <f>IF(AND(ISNUMBER(Raw_Data[[#This Row],[Opening_Stock]]),ISNUMBER(Raw_Data[[#This Row],[Units_Sold]]),Raw_Data[[#This Row],[Opening_Stock]]&gt;0),Raw_Data[[#This Row],[Units_Sold]]/Raw_Data[[#This Row],[Opening_Stock]],"")</f>
        <v>0.23828125</v>
      </c>
      <c r="L649" t="str">
        <f>IF(NOT(ISNUMBER(Raw_Data[[#This Row],[Sell_through%]])),"Check",IF(Raw_Data[[#This Row],[Sell_through%]]=0,"Non-moving",IF(Raw_Data[[#This Row],[Sell_through%]]&gt;=0.6,"Fast","Slow")))</f>
        <v>Slow</v>
      </c>
      <c r="M649">
        <f>IF(AND(ISNUMBER(Raw_Data[[#This Row],[Closing_Stock]]),ISNUMBER(Raw_Data[[#This Row],[Unit_Cost]])),Raw_Data[[#This Row],[Closing_Stock]]*Raw_Data[[#This Row],[Unit_Cost]],"")</f>
        <v>125385</v>
      </c>
      <c r="N64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50" spans="1:14" x14ac:dyDescent="0.3">
      <c r="A650" t="s">
        <v>966</v>
      </c>
      <c r="B650" t="s">
        <v>387</v>
      </c>
      <c r="C650" t="s">
        <v>12</v>
      </c>
      <c r="D650" t="s">
        <v>36</v>
      </c>
      <c r="E650" s="3">
        <v>46182</v>
      </c>
      <c r="F650">
        <v>286</v>
      </c>
      <c r="G650">
        <v>68</v>
      </c>
      <c r="H650">
        <v>218</v>
      </c>
      <c r="I650">
        <v>923</v>
      </c>
      <c r="J650" t="s">
        <v>14</v>
      </c>
      <c r="K650" s="4">
        <f>IF(AND(ISNUMBER(Raw_Data[[#This Row],[Opening_Stock]]),ISNUMBER(Raw_Data[[#This Row],[Units_Sold]]),Raw_Data[[#This Row],[Opening_Stock]]&gt;0),Raw_Data[[#This Row],[Units_Sold]]/Raw_Data[[#This Row],[Opening_Stock]],"")</f>
        <v>0.23776223776223776</v>
      </c>
      <c r="L650" t="str">
        <f>IF(NOT(ISNUMBER(Raw_Data[[#This Row],[Sell_through%]])),"Check",IF(Raw_Data[[#This Row],[Sell_through%]]=0,"Non-moving",IF(Raw_Data[[#This Row],[Sell_through%]]&gt;=0.6,"Fast","Slow")))</f>
        <v>Slow</v>
      </c>
      <c r="M650">
        <f>IF(AND(ISNUMBER(Raw_Data[[#This Row],[Closing_Stock]]),ISNUMBER(Raw_Data[[#This Row],[Unit_Cost]])),Raw_Data[[#This Row],[Closing_Stock]]*Raw_Data[[#This Row],[Unit_Cost]],"")</f>
        <v>201214</v>
      </c>
      <c r="N65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51" spans="1:14" x14ac:dyDescent="0.3">
      <c r="A651" t="s">
        <v>967</v>
      </c>
      <c r="B651" t="s">
        <v>124</v>
      </c>
      <c r="C651" t="s">
        <v>28</v>
      </c>
      <c r="D651" t="s">
        <v>32</v>
      </c>
      <c r="E651" s="3">
        <v>46199</v>
      </c>
      <c r="F651">
        <v>234</v>
      </c>
      <c r="G651">
        <v>56</v>
      </c>
      <c r="H651">
        <v>178</v>
      </c>
      <c r="I651">
        <v>2682</v>
      </c>
      <c r="J651" t="s">
        <v>14</v>
      </c>
      <c r="K651" s="4">
        <f>IF(AND(ISNUMBER(Raw_Data[[#This Row],[Opening_Stock]]),ISNUMBER(Raw_Data[[#This Row],[Units_Sold]]),Raw_Data[[#This Row],[Opening_Stock]]&gt;0),Raw_Data[[#This Row],[Units_Sold]]/Raw_Data[[#This Row],[Opening_Stock]],"")</f>
        <v>0.23931623931623933</v>
      </c>
      <c r="L651" t="str">
        <f>IF(NOT(ISNUMBER(Raw_Data[[#This Row],[Sell_through%]])),"Check",IF(Raw_Data[[#This Row],[Sell_through%]]=0,"Non-moving",IF(Raw_Data[[#This Row],[Sell_through%]]&gt;=0.6,"Fast","Slow")))</f>
        <v>Slow</v>
      </c>
      <c r="M651">
        <f>IF(AND(ISNUMBER(Raw_Data[[#This Row],[Closing_Stock]]),ISNUMBER(Raw_Data[[#This Row],[Unit_Cost]])),Raw_Data[[#This Row],[Closing_Stock]]*Raw_Data[[#This Row],[Unit_Cost]],"")</f>
        <v>477396</v>
      </c>
      <c r="N65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52" spans="1:14" x14ac:dyDescent="0.3">
      <c r="A652" t="s">
        <v>968</v>
      </c>
      <c r="B652" t="s">
        <v>189</v>
      </c>
      <c r="C652" t="s">
        <v>49</v>
      </c>
      <c r="D652" t="s">
        <v>36</v>
      </c>
      <c r="E652" s="3"/>
      <c r="F652">
        <v>135</v>
      </c>
      <c r="G652">
        <v>0</v>
      </c>
      <c r="H652">
        <v>135</v>
      </c>
      <c r="I652">
        <v>1159</v>
      </c>
      <c r="J652" t="s">
        <v>14</v>
      </c>
      <c r="K652" s="4">
        <f>IF(AND(ISNUMBER(Raw_Data[[#This Row],[Opening_Stock]]),ISNUMBER(Raw_Data[[#This Row],[Units_Sold]]),Raw_Data[[#This Row],[Opening_Stock]]&gt;0),Raw_Data[[#This Row],[Units_Sold]]/Raw_Data[[#This Row],[Opening_Stock]],"")</f>
        <v>0</v>
      </c>
      <c r="L652" t="str">
        <f>IF(NOT(ISNUMBER(Raw_Data[[#This Row],[Sell_through%]])),"Check",IF(Raw_Data[[#This Row],[Sell_through%]]=0,"Non-moving",IF(Raw_Data[[#This Row],[Sell_through%]]&gt;=0.6,"Fast","Slow")))</f>
        <v>Non-moving</v>
      </c>
      <c r="M652">
        <f>IF(AND(ISNUMBER(Raw_Data[[#This Row],[Closing_Stock]]),ISNUMBER(Raw_Data[[#This Row],[Unit_Cost]])),Raw_Data[[#This Row],[Closing_Stock]]*Raw_Data[[#This Row],[Unit_Cost]],"")</f>
        <v>156465</v>
      </c>
      <c r="N65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53" spans="1:14" x14ac:dyDescent="0.3">
      <c r="A653" t="s">
        <v>969</v>
      </c>
      <c r="B653" t="s">
        <v>262</v>
      </c>
      <c r="C653" t="s">
        <v>12</v>
      </c>
      <c r="D653" t="s">
        <v>13</v>
      </c>
      <c r="E653" s="3">
        <v>46155</v>
      </c>
      <c r="F653">
        <v>408</v>
      </c>
      <c r="G653">
        <v>376</v>
      </c>
      <c r="H653">
        <v>32</v>
      </c>
      <c r="I653">
        <v>2677</v>
      </c>
      <c r="J653" t="s">
        <v>17</v>
      </c>
      <c r="K653" s="4">
        <f>IF(AND(ISNUMBER(Raw_Data[[#This Row],[Opening_Stock]]),ISNUMBER(Raw_Data[[#This Row],[Units_Sold]]),Raw_Data[[#This Row],[Opening_Stock]]&gt;0),Raw_Data[[#This Row],[Units_Sold]]/Raw_Data[[#This Row],[Opening_Stock]],"")</f>
        <v>0.92156862745098034</v>
      </c>
      <c r="L653" t="str">
        <f>IF(NOT(ISNUMBER(Raw_Data[[#This Row],[Sell_through%]])),"Check",IF(Raw_Data[[#This Row],[Sell_through%]]=0,"Non-moving",IF(Raw_Data[[#This Row],[Sell_through%]]&gt;=0.6,"Fast","Slow")))</f>
        <v>Fast</v>
      </c>
      <c r="M653">
        <f>IF(AND(ISNUMBER(Raw_Data[[#This Row],[Closing_Stock]]),ISNUMBER(Raw_Data[[#This Row],[Unit_Cost]])),Raw_Data[[#This Row],[Closing_Stock]]*Raw_Data[[#This Row],[Unit_Cost]],"")</f>
        <v>85664</v>
      </c>
      <c r="N653"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54" spans="1:14" x14ac:dyDescent="0.3">
      <c r="A654" t="s">
        <v>970</v>
      </c>
      <c r="B654" t="s">
        <v>479</v>
      </c>
      <c r="C654" t="s">
        <v>31</v>
      </c>
      <c r="D654" t="s">
        <v>13</v>
      </c>
      <c r="E654" s="3">
        <v>46196</v>
      </c>
      <c r="F654">
        <v>438</v>
      </c>
      <c r="G654">
        <v>311</v>
      </c>
      <c r="H654">
        <v>127</v>
      </c>
      <c r="I654">
        <v>1371</v>
      </c>
      <c r="J654" t="s">
        <v>14</v>
      </c>
      <c r="K654" s="4">
        <f>IF(AND(ISNUMBER(Raw_Data[[#This Row],[Opening_Stock]]),ISNUMBER(Raw_Data[[#This Row],[Units_Sold]]),Raw_Data[[#This Row],[Opening_Stock]]&gt;0),Raw_Data[[#This Row],[Units_Sold]]/Raw_Data[[#This Row],[Opening_Stock]],"")</f>
        <v>0.71004566210045661</v>
      </c>
      <c r="L654" t="str">
        <f>IF(NOT(ISNUMBER(Raw_Data[[#This Row],[Sell_through%]])),"Check",IF(Raw_Data[[#This Row],[Sell_through%]]=0,"Non-moving",IF(Raw_Data[[#This Row],[Sell_through%]]&gt;=0.6,"Fast","Slow")))</f>
        <v>Fast</v>
      </c>
      <c r="M654">
        <f>IF(AND(ISNUMBER(Raw_Data[[#This Row],[Closing_Stock]]),ISNUMBER(Raw_Data[[#This Row],[Unit_Cost]])),Raw_Data[[#This Row],[Closing_Stock]]*Raw_Data[[#This Row],[Unit_Cost]],"")</f>
        <v>174117</v>
      </c>
      <c r="N65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55" spans="1:14" x14ac:dyDescent="0.3">
      <c r="A655" t="s">
        <v>971</v>
      </c>
      <c r="B655" t="s">
        <v>234</v>
      </c>
      <c r="C655" t="s">
        <v>28</v>
      </c>
      <c r="D655" t="s">
        <v>21</v>
      </c>
      <c r="E655" s="3">
        <v>46172</v>
      </c>
      <c r="F655">
        <v>474</v>
      </c>
      <c r="G655">
        <v>172</v>
      </c>
      <c r="H655">
        <v>302</v>
      </c>
      <c r="J655" t="s">
        <v>14</v>
      </c>
      <c r="K655" s="4">
        <f>IF(AND(ISNUMBER(Raw_Data[[#This Row],[Opening_Stock]]),ISNUMBER(Raw_Data[[#This Row],[Units_Sold]]),Raw_Data[[#This Row],[Opening_Stock]]&gt;0),Raw_Data[[#This Row],[Units_Sold]]/Raw_Data[[#This Row],[Opening_Stock]],"")</f>
        <v>0.3628691983122363</v>
      </c>
      <c r="L655" t="str">
        <f>IF(NOT(ISNUMBER(Raw_Data[[#This Row],[Sell_through%]])),"Check",IF(Raw_Data[[#This Row],[Sell_through%]]=0,"Non-moving",IF(Raw_Data[[#This Row],[Sell_through%]]&gt;=0.6,"Fast","Slow")))</f>
        <v>Slow</v>
      </c>
      <c r="M655" t="str">
        <f>IF(AND(ISNUMBER(Raw_Data[[#This Row],[Closing_Stock]]),ISNUMBER(Raw_Data[[#This Row],[Unit_Cost]])),Raw_Data[[#This Row],[Closing_Stock]]*Raw_Data[[#This Row],[Unit_Cost]],"")</f>
        <v/>
      </c>
      <c r="N65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56" spans="1:14" x14ac:dyDescent="0.3">
      <c r="A656" t="s">
        <v>972</v>
      </c>
      <c r="B656" t="s">
        <v>84</v>
      </c>
      <c r="C656" t="s">
        <v>28</v>
      </c>
      <c r="D656" t="s">
        <v>21</v>
      </c>
      <c r="E656" s="3">
        <v>46159</v>
      </c>
      <c r="G656">
        <v>7</v>
      </c>
      <c r="H656">
        <v>86</v>
      </c>
      <c r="I656">
        <v>2352</v>
      </c>
      <c r="J656" t="s">
        <v>14</v>
      </c>
      <c r="K656" s="4" t="str">
        <f>IF(AND(ISNUMBER(Raw_Data[[#This Row],[Opening_Stock]]),ISNUMBER(Raw_Data[[#This Row],[Units_Sold]]),Raw_Data[[#This Row],[Opening_Stock]]&gt;0),Raw_Data[[#This Row],[Units_Sold]]/Raw_Data[[#This Row],[Opening_Stock]],"")</f>
        <v/>
      </c>
      <c r="L656" t="str">
        <f>IF(NOT(ISNUMBER(Raw_Data[[#This Row],[Sell_through%]])),"Check",IF(Raw_Data[[#This Row],[Sell_through%]]=0,"Non-moving",IF(Raw_Data[[#This Row],[Sell_through%]]&gt;=0.6,"Fast","Slow")))</f>
        <v>Check</v>
      </c>
      <c r="M656">
        <f>IF(AND(ISNUMBER(Raw_Data[[#This Row],[Closing_Stock]]),ISNUMBER(Raw_Data[[#This Row],[Unit_Cost]])),Raw_Data[[#This Row],[Closing_Stock]]*Raw_Data[[#This Row],[Unit_Cost]],"")</f>
        <v>202272</v>
      </c>
      <c r="N656"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57" spans="1:14" x14ac:dyDescent="0.3">
      <c r="A657" t="s">
        <v>973</v>
      </c>
      <c r="B657" t="s">
        <v>95</v>
      </c>
      <c r="C657" t="s">
        <v>31</v>
      </c>
      <c r="D657" t="s">
        <v>32</v>
      </c>
      <c r="E657" s="3">
        <v>46107</v>
      </c>
      <c r="F657">
        <v>442</v>
      </c>
      <c r="G657">
        <v>43</v>
      </c>
      <c r="H657">
        <v>399</v>
      </c>
      <c r="I657">
        <v>2099</v>
      </c>
      <c r="J657" t="s">
        <v>14</v>
      </c>
      <c r="K657" s="4">
        <f>IF(AND(ISNUMBER(Raw_Data[[#This Row],[Opening_Stock]]),ISNUMBER(Raw_Data[[#This Row],[Units_Sold]]),Raw_Data[[#This Row],[Opening_Stock]]&gt;0),Raw_Data[[#This Row],[Units_Sold]]/Raw_Data[[#This Row],[Opening_Stock]],"")</f>
        <v>9.7285067873303169E-2</v>
      </c>
      <c r="L657" t="str">
        <f>IF(NOT(ISNUMBER(Raw_Data[[#This Row],[Sell_through%]])),"Check",IF(Raw_Data[[#This Row],[Sell_through%]]=0,"Non-moving",IF(Raw_Data[[#This Row],[Sell_through%]]&gt;=0.6,"Fast","Slow")))</f>
        <v>Slow</v>
      </c>
      <c r="M657">
        <f>IF(AND(ISNUMBER(Raw_Data[[#This Row],[Closing_Stock]]),ISNUMBER(Raw_Data[[#This Row],[Unit_Cost]])),Raw_Data[[#This Row],[Closing_Stock]]*Raw_Data[[#This Row],[Unit_Cost]],"")</f>
        <v>837501</v>
      </c>
      <c r="N65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58" spans="1:14" x14ac:dyDescent="0.3">
      <c r="A658" t="s">
        <v>974</v>
      </c>
      <c r="B658" t="s">
        <v>243</v>
      </c>
      <c r="C658" t="s">
        <v>28</v>
      </c>
      <c r="D658" t="s">
        <v>32</v>
      </c>
      <c r="E658" s="3"/>
      <c r="F658">
        <v>317</v>
      </c>
      <c r="G658">
        <v>0</v>
      </c>
      <c r="H658">
        <v>317</v>
      </c>
      <c r="I658">
        <v>290</v>
      </c>
      <c r="J658" t="s">
        <v>14</v>
      </c>
      <c r="K658" s="4">
        <f>IF(AND(ISNUMBER(Raw_Data[[#This Row],[Opening_Stock]]),ISNUMBER(Raw_Data[[#This Row],[Units_Sold]]),Raw_Data[[#This Row],[Opening_Stock]]&gt;0),Raw_Data[[#This Row],[Units_Sold]]/Raw_Data[[#This Row],[Opening_Stock]],"")</f>
        <v>0</v>
      </c>
      <c r="L658" t="str">
        <f>IF(NOT(ISNUMBER(Raw_Data[[#This Row],[Sell_through%]])),"Check",IF(Raw_Data[[#This Row],[Sell_through%]]=0,"Non-moving",IF(Raw_Data[[#This Row],[Sell_through%]]&gt;=0.6,"Fast","Slow")))</f>
        <v>Non-moving</v>
      </c>
      <c r="M658">
        <f>IF(AND(ISNUMBER(Raw_Data[[#This Row],[Closing_Stock]]),ISNUMBER(Raw_Data[[#This Row],[Unit_Cost]])),Raw_Data[[#This Row],[Closing_Stock]]*Raw_Data[[#This Row],[Unit_Cost]],"")</f>
        <v>91930</v>
      </c>
      <c r="N65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59" spans="1:14" x14ac:dyDescent="0.3">
      <c r="A659" t="s">
        <v>975</v>
      </c>
      <c r="B659" t="s">
        <v>224</v>
      </c>
      <c r="C659" t="s">
        <v>49</v>
      </c>
      <c r="D659" t="s">
        <v>13</v>
      </c>
      <c r="E659" s="3">
        <v>46093</v>
      </c>
      <c r="F659">
        <v>432</v>
      </c>
      <c r="G659">
        <v>31</v>
      </c>
      <c r="H659">
        <v>401</v>
      </c>
      <c r="I659">
        <v>731</v>
      </c>
      <c r="J659" t="s">
        <v>14</v>
      </c>
      <c r="K659" s="4">
        <f>IF(AND(ISNUMBER(Raw_Data[[#This Row],[Opening_Stock]]),ISNUMBER(Raw_Data[[#This Row],[Units_Sold]]),Raw_Data[[#This Row],[Opening_Stock]]&gt;0),Raw_Data[[#This Row],[Units_Sold]]/Raw_Data[[#This Row],[Opening_Stock]],"")</f>
        <v>7.1759259259259259E-2</v>
      </c>
      <c r="L659" t="str">
        <f>IF(NOT(ISNUMBER(Raw_Data[[#This Row],[Sell_through%]])),"Check",IF(Raw_Data[[#This Row],[Sell_through%]]=0,"Non-moving",IF(Raw_Data[[#This Row],[Sell_through%]]&gt;=0.6,"Fast","Slow")))</f>
        <v>Slow</v>
      </c>
      <c r="M659">
        <f>IF(AND(ISNUMBER(Raw_Data[[#This Row],[Closing_Stock]]),ISNUMBER(Raw_Data[[#This Row],[Unit_Cost]])),Raw_Data[[#This Row],[Closing_Stock]]*Raw_Data[[#This Row],[Unit_Cost]],"")</f>
        <v>293131</v>
      </c>
      <c r="N65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60" spans="1:14" x14ac:dyDescent="0.3">
      <c r="A660" t="s">
        <v>976</v>
      </c>
      <c r="B660" t="s">
        <v>101</v>
      </c>
      <c r="C660" t="s">
        <v>12</v>
      </c>
      <c r="D660" t="s">
        <v>36</v>
      </c>
      <c r="E660" s="3"/>
      <c r="F660">
        <v>65</v>
      </c>
      <c r="G660">
        <v>0</v>
      </c>
      <c r="H660">
        <v>65</v>
      </c>
      <c r="I660">
        <v>990</v>
      </c>
      <c r="J660" t="s">
        <v>14</v>
      </c>
      <c r="K660" s="4">
        <f>IF(AND(ISNUMBER(Raw_Data[[#This Row],[Opening_Stock]]),ISNUMBER(Raw_Data[[#This Row],[Units_Sold]]),Raw_Data[[#This Row],[Opening_Stock]]&gt;0),Raw_Data[[#This Row],[Units_Sold]]/Raw_Data[[#This Row],[Opening_Stock]],"")</f>
        <v>0</v>
      </c>
      <c r="L660" t="str">
        <f>IF(NOT(ISNUMBER(Raw_Data[[#This Row],[Sell_through%]])),"Check",IF(Raw_Data[[#This Row],[Sell_through%]]=0,"Non-moving",IF(Raw_Data[[#This Row],[Sell_through%]]&gt;=0.6,"Fast","Slow")))</f>
        <v>Non-moving</v>
      </c>
      <c r="M660">
        <f>IF(AND(ISNUMBER(Raw_Data[[#This Row],[Closing_Stock]]),ISNUMBER(Raw_Data[[#This Row],[Unit_Cost]])),Raw_Data[[#This Row],[Closing_Stock]]*Raw_Data[[#This Row],[Unit_Cost]],"")</f>
        <v>64350</v>
      </c>
      <c r="N66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61" spans="1:14" x14ac:dyDescent="0.3">
      <c r="A661" t="s">
        <v>977</v>
      </c>
      <c r="B661" t="s">
        <v>34</v>
      </c>
      <c r="C661" t="s">
        <v>35</v>
      </c>
      <c r="D661" t="s">
        <v>21</v>
      </c>
      <c r="E661" s="3">
        <v>46118</v>
      </c>
      <c r="F661">
        <v>226</v>
      </c>
      <c r="G661">
        <v>61</v>
      </c>
      <c r="H661">
        <v>165</v>
      </c>
      <c r="I661">
        <v>1664</v>
      </c>
      <c r="J661" t="s">
        <v>14</v>
      </c>
      <c r="K661" s="4">
        <f>IF(AND(ISNUMBER(Raw_Data[[#This Row],[Opening_Stock]]),ISNUMBER(Raw_Data[[#This Row],[Units_Sold]]),Raw_Data[[#This Row],[Opening_Stock]]&gt;0),Raw_Data[[#This Row],[Units_Sold]]/Raw_Data[[#This Row],[Opening_Stock]],"")</f>
        <v>0.26991150442477874</v>
      </c>
      <c r="L661" t="str">
        <f>IF(NOT(ISNUMBER(Raw_Data[[#This Row],[Sell_through%]])),"Check",IF(Raw_Data[[#This Row],[Sell_through%]]=0,"Non-moving",IF(Raw_Data[[#This Row],[Sell_through%]]&gt;=0.6,"Fast","Slow")))</f>
        <v>Slow</v>
      </c>
      <c r="M661">
        <f>IF(AND(ISNUMBER(Raw_Data[[#This Row],[Closing_Stock]]),ISNUMBER(Raw_Data[[#This Row],[Unit_Cost]])),Raw_Data[[#This Row],[Closing_Stock]]*Raw_Data[[#This Row],[Unit_Cost]],"")</f>
        <v>274560</v>
      </c>
      <c r="N66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62" spans="1:14" x14ac:dyDescent="0.3">
      <c r="A662" t="s">
        <v>979</v>
      </c>
      <c r="B662" t="s">
        <v>262</v>
      </c>
      <c r="C662" t="s">
        <v>12</v>
      </c>
      <c r="D662" t="s">
        <v>13</v>
      </c>
      <c r="E662" s="3">
        <v>46205</v>
      </c>
      <c r="F662">
        <v>153</v>
      </c>
      <c r="G662">
        <v>45</v>
      </c>
      <c r="H662">
        <v>108</v>
      </c>
      <c r="I662">
        <v>1189</v>
      </c>
      <c r="J662" t="s">
        <v>14</v>
      </c>
      <c r="K662" s="4">
        <f>IF(AND(ISNUMBER(Raw_Data[[#This Row],[Opening_Stock]]),ISNUMBER(Raw_Data[[#This Row],[Units_Sold]]),Raw_Data[[#This Row],[Opening_Stock]]&gt;0),Raw_Data[[#This Row],[Units_Sold]]/Raw_Data[[#This Row],[Opening_Stock]],"")</f>
        <v>0.29411764705882354</v>
      </c>
      <c r="L662" t="str">
        <f>IF(NOT(ISNUMBER(Raw_Data[[#This Row],[Sell_through%]])),"Check",IF(Raw_Data[[#This Row],[Sell_through%]]=0,"Non-moving",IF(Raw_Data[[#This Row],[Sell_through%]]&gt;=0.6,"Fast","Slow")))</f>
        <v>Slow</v>
      </c>
      <c r="M662">
        <f>IF(AND(ISNUMBER(Raw_Data[[#This Row],[Closing_Stock]]),ISNUMBER(Raw_Data[[#This Row],[Unit_Cost]])),Raw_Data[[#This Row],[Closing_Stock]]*Raw_Data[[#This Row],[Unit_Cost]],"")</f>
        <v>128412</v>
      </c>
      <c r="N66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63" spans="1:14" x14ac:dyDescent="0.3">
      <c r="A663" t="s">
        <v>981</v>
      </c>
      <c r="B663" t="s">
        <v>48</v>
      </c>
      <c r="C663" t="s">
        <v>49</v>
      </c>
      <c r="D663" t="s">
        <v>21</v>
      </c>
      <c r="E663" s="3">
        <v>46008</v>
      </c>
      <c r="F663">
        <v>61</v>
      </c>
      <c r="G663">
        <v>45</v>
      </c>
      <c r="H663">
        <v>16</v>
      </c>
      <c r="I663">
        <v>1449</v>
      </c>
      <c r="J663" t="s">
        <v>17</v>
      </c>
      <c r="K663" s="4">
        <f>IF(AND(ISNUMBER(Raw_Data[[#This Row],[Opening_Stock]]),ISNUMBER(Raw_Data[[#This Row],[Units_Sold]]),Raw_Data[[#This Row],[Opening_Stock]]&gt;0),Raw_Data[[#This Row],[Units_Sold]]/Raw_Data[[#This Row],[Opening_Stock]],"")</f>
        <v>0.73770491803278693</v>
      </c>
      <c r="L663" t="str">
        <f>IF(NOT(ISNUMBER(Raw_Data[[#This Row],[Sell_through%]])),"Check",IF(Raw_Data[[#This Row],[Sell_through%]]=0,"Non-moving",IF(Raw_Data[[#This Row],[Sell_through%]]&gt;=0.6,"Fast","Slow")))</f>
        <v>Fast</v>
      </c>
      <c r="M663">
        <f>IF(AND(ISNUMBER(Raw_Data[[#This Row],[Closing_Stock]]),ISNUMBER(Raw_Data[[#This Row],[Unit_Cost]])),Raw_Data[[#This Row],[Closing_Stock]]*Raw_Data[[#This Row],[Unit_Cost]],"")</f>
        <v>23184</v>
      </c>
      <c r="N663"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64" spans="1:14" x14ac:dyDescent="0.3">
      <c r="A664" t="s">
        <v>982</v>
      </c>
      <c r="B664" t="s">
        <v>238</v>
      </c>
      <c r="D664" t="s">
        <v>21</v>
      </c>
      <c r="E664" s="3">
        <v>46208</v>
      </c>
      <c r="F664">
        <v>392</v>
      </c>
      <c r="G664">
        <v>305</v>
      </c>
      <c r="H664">
        <v>87</v>
      </c>
      <c r="I664">
        <v>2447</v>
      </c>
      <c r="J664" t="s">
        <v>14</v>
      </c>
      <c r="K664" s="4">
        <f>IF(AND(ISNUMBER(Raw_Data[[#This Row],[Opening_Stock]]),ISNUMBER(Raw_Data[[#This Row],[Units_Sold]]),Raw_Data[[#This Row],[Opening_Stock]]&gt;0),Raw_Data[[#This Row],[Units_Sold]]/Raw_Data[[#This Row],[Opening_Stock]],"")</f>
        <v>0.77806122448979587</v>
      </c>
      <c r="L664" t="str">
        <f>IF(NOT(ISNUMBER(Raw_Data[[#This Row],[Sell_through%]])),"Check",IF(Raw_Data[[#This Row],[Sell_through%]]=0,"Non-moving",IF(Raw_Data[[#This Row],[Sell_through%]]&gt;=0.6,"Fast","Slow")))</f>
        <v>Fast</v>
      </c>
      <c r="M664">
        <f>IF(AND(ISNUMBER(Raw_Data[[#This Row],[Closing_Stock]]),ISNUMBER(Raw_Data[[#This Row],[Unit_Cost]])),Raw_Data[[#This Row],[Closing_Stock]]*Raw_Data[[#This Row],[Unit_Cost]],"")</f>
        <v>212889</v>
      </c>
      <c r="N66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65" spans="1:14" x14ac:dyDescent="0.3">
      <c r="A665" t="s">
        <v>983</v>
      </c>
      <c r="B665" t="s">
        <v>51</v>
      </c>
      <c r="C665" t="s">
        <v>49</v>
      </c>
      <c r="D665" t="s">
        <v>36</v>
      </c>
      <c r="E665" s="3">
        <v>46144</v>
      </c>
      <c r="F665">
        <v>65</v>
      </c>
      <c r="G665">
        <v>22</v>
      </c>
      <c r="H665">
        <v>43</v>
      </c>
      <c r="I665">
        <v>298</v>
      </c>
      <c r="J665" t="s">
        <v>17</v>
      </c>
      <c r="K665" s="4">
        <f>IF(AND(ISNUMBER(Raw_Data[[#This Row],[Opening_Stock]]),ISNUMBER(Raw_Data[[#This Row],[Units_Sold]]),Raw_Data[[#This Row],[Opening_Stock]]&gt;0),Raw_Data[[#This Row],[Units_Sold]]/Raw_Data[[#This Row],[Opening_Stock]],"")</f>
        <v>0.33846153846153848</v>
      </c>
      <c r="L665" t="str">
        <f>IF(NOT(ISNUMBER(Raw_Data[[#This Row],[Sell_through%]])),"Check",IF(Raw_Data[[#This Row],[Sell_through%]]=0,"Non-moving",IF(Raw_Data[[#This Row],[Sell_through%]]&gt;=0.6,"Fast","Slow")))</f>
        <v>Slow</v>
      </c>
      <c r="M665">
        <f>IF(AND(ISNUMBER(Raw_Data[[#This Row],[Closing_Stock]]),ISNUMBER(Raw_Data[[#This Row],[Unit_Cost]])),Raw_Data[[#This Row],[Closing_Stock]]*Raw_Data[[#This Row],[Unit_Cost]],"")</f>
        <v>12814</v>
      </c>
      <c r="N66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66" spans="1:14" x14ac:dyDescent="0.3">
      <c r="A666" t="s">
        <v>984</v>
      </c>
      <c r="B666" t="s">
        <v>131</v>
      </c>
      <c r="C666" t="s">
        <v>49</v>
      </c>
      <c r="D666" t="s">
        <v>36</v>
      </c>
      <c r="E666" s="3">
        <v>46252</v>
      </c>
      <c r="F666">
        <v>378</v>
      </c>
      <c r="G666">
        <v>294</v>
      </c>
      <c r="I666">
        <v>2245</v>
      </c>
      <c r="J666" t="s">
        <v>14</v>
      </c>
      <c r="K666" s="4">
        <f>IF(AND(ISNUMBER(Raw_Data[[#This Row],[Opening_Stock]]),ISNUMBER(Raw_Data[[#This Row],[Units_Sold]]),Raw_Data[[#This Row],[Opening_Stock]]&gt;0),Raw_Data[[#This Row],[Units_Sold]]/Raw_Data[[#This Row],[Opening_Stock]],"")</f>
        <v>0.77777777777777779</v>
      </c>
      <c r="L666" t="str">
        <f>IF(NOT(ISNUMBER(Raw_Data[[#This Row],[Sell_through%]])),"Check",IF(Raw_Data[[#This Row],[Sell_through%]]=0,"Non-moving",IF(Raw_Data[[#This Row],[Sell_through%]]&gt;=0.6,"Fast","Slow")))</f>
        <v>Fast</v>
      </c>
      <c r="M666" t="str">
        <f>IF(AND(ISNUMBER(Raw_Data[[#This Row],[Closing_Stock]]),ISNUMBER(Raw_Data[[#This Row],[Unit_Cost]])),Raw_Data[[#This Row],[Closing_Stock]]*Raw_Data[[#This Row],[Unit_Cost]],"")</f>
        <v/>
      </c>
      <c r="N666"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67" spans="1:14" x14ac:dyDescent="0.3">
      <c r="A667" t="s">
        <v>985</v>
      </c>
      <c r="B667" t="s">
        <v>73</v>
      </c>
      <c r="C667" t="s">
        <v>49</v>
      </c>
      <c r="D667" t="s">
        <v>13</v>
      </c>
      <c r="E667" s="3">
        <v>46255</v>
      </c>
      <c r="F667">
        <v>489</v>
      </c>
      <c r="G667">
        <v>418</v>
      </c>
      <c r="H667">
        <v>71</v>
      </c>
      <c r="I667">
        <v>681</v>
      </c>
      <c r="J667" t="s">
        <v>14</v>
      </c>
      <c r="K667" s="4">
        <f>IF(AND(ISNUMBER(Raw_Data[[#This Row],[Opening_Stock]]),ISNUMBER(Raw_Data[[#This Row],[Units_Sold]]),Raw_Data[[#This Row],[Opening_Stock]]&gt;0),Raw_Data[[#This Row],[Units_Sold]]/Raw_Data[[#This Row],[Opening_Stock]],"")</f>
        <v>0.85480572597137017</v>
      </c>
      <c r="L667" t="str">
        <f>IF(NOT(ISNUMBER(Raw_Data[[#This Row],[Sell_through%]])),"Check",IF(Raw_Data[[#This Row],[Sell_through%]]=0,"Non-moving",IF(Raw_Data[[#This Row],[Sell_through%]]&gt;=0.6,"Fast","Slow")))</f>
        <v>Fast</v>
      </c>
      <c r="M667">
        <f>IF(AND(ISNUMBER(Raw_Data[[#This Row],[Closing_Stock]]),ISNUMBER(Raw_Data[[#This Row],[Unit_Cost]])),Raw_Data[[#This Row],[Closing_Stock]]*Raw_Data[[#This Row],[Unit_Cost]],"")</f>
        <v>48351</v>
      </c>
      <c r="N667"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68" spans="1:14" x14ac:dyDescent="0.3">
      <c r="A668" t="s">
        <v>986</v>
      </c>
      <c r="B668" t="s">
        <v>142</v>
      </c>
      <c r="C668" t="s">
        <v>49</v>
      </c>
      <c r="D668" t="s">
        <v>32</v>
      </c>
      <c r="E668" s="3">
        <v>46268</v>
      </c>
      <c r="F668">
        <v>52</v>
      </c>
      <c r="G668">
        <v>50</v>
      </c>
      <c r="I668">
        <v>2571</v>
      </c>
      <c r="J668" t="s">
        <v>17</v>
      </c>
      <c r="K668" s="4">
        <f>IF(AND(ISNUMBER(Raw_Data[[#This Row],[Opening_Stock]]),ISNUMBER(Raw_Data[[#This Row],[Units_Sold]]),Raw_Data[[#This Row],[Opening_Stock]]&gt;0),Raw_Data[[#This Row],[Units_Sold]]/Raw_Data[[#This Row],[Opening_Stock]],"")</f>
        <v>0.96153846153846156</v>
      </c>
      <c r="L668" t="str">
        <f>IF(NOT(ISNUMBER(Raw_Data[[#This Row],[Sell_through%]])),"Check",IF(Raw_Data[[#This Row],[Sell_through%]]=0,"Non-moving",IF(Raw_Data[[#This Row],[Sell_through%]]&gt;=0.6,"Fast","Slow")))</f>
        <v>Fast</v>
      </c>
      <c r="M668" t="str">
        <f>IF(AND(ISNUMBER(Raw_Data[[#This Row],[Closing_Stock]]),ISNUMBER(Raw_Data[[#This Row],[Unit_Cost]])),Raw_Data[[#This Row],[Closing_Stock]]*Raw_Data[[#This Row],[Unit_Cost]],"")</f>
        <v/>
      </c>
      <c r="N66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69" spans="1:14" x14ac:dyDescent="0.3">
      <c r="A669" t="s">
        <v>987</v>
      </c>
      <c r="B669" t="s">
        <v>455</v>
      </c>
      <c r="C669" t="s">
        <v>35</v>
      </c>
      <c r="D669" t="s">
        <v>32</v>
      </c>
      <c r="E669" s="3">
        <v>46111</v>
      </c>
      <c r="F669">
        <v>310</v>
      </c>
      <c r="G669">
        <v>50</v>
      </c>
      <c r="H669">
        <v>260</v>
      </c>
      <c r="I669">
        <v>1734</v>
      </c>
      <c r="J669" t="s">
        <v>14</v>
      </c>
      <c r="K669" s="4">
        <f>IF(AND(ISNUMBER(Raw_Data[[#This Row],[Opening_Stock]]),ISNUMBER(Raw_Data[[#This Row],[Units_Sold]]),Raw_Data[[#This Row],[Opening_Stock]]&gt;0),Raw_Data[[#This Row],[Units_Sold]]/Raw_Data[[#This Row],[Opening_Stock]],"")</f>
        <v>0.16129032258064516</v>
      </c>
      <c r="L669" t="str">
        <f>IF(NOT(ISNUMBER(Raw_Data[[#This Row],[Sell_through%]])),"Check",IF(Raw_Data[[#This Row],[Sell_through%]]=0,"Non-moving",IF(Raw_Data[[#This Row],[Sell_through%]]&gt;=0.6,"Fast","Slow")))</f>
        <v>Slow</v>
      </c>
      <c r="M669">
        <f>IF(AND(ISNUMBER(Raw_Data[[#This Row],[Closing_Stock]]),ISNUMBER(Raw_Data[[#This Row],[Unit_Cost]])),Raw_Data[[#This Row],[Closing_Stock]]*Raw_Data[[#This Row],[Unit_Cost]],"")</f>
        <v>450840</v>
      </c>
      <c r="N66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70" spans="1:14" x14ac:dyDescent="0.3">
      <c r="A670" t="s">
        <v>988</v>
      </c>
      <c r="B670" t="s">
        <v>95</v>
      </c>
      <c r="C670" t="s">
        <v>31</v>
      </c>
      <c r="D670" t="s">
        <v>13</v>
      </c>
      <c r="E670" s="3"/>
      <c r="F670">
        <v>259</v>
      </c>
      <c r="G670">
        <v>0</v>
      </c>
      <c r="H670">
        <v>259</v>
      </c>
      <c r="I670">
        <v>1961</v>
      </c>
      <c r="J670" t="s">
        <v>14</v>
      </c>
      <c r="K670" s="4">
        <f>IF(AND(ISNUMBER(Raw_Data[[#This Row],[Opening_Stock]]),ISNUMBER(Raw_Data[[#This Row],[Units_Sold]]),Raw_Data[[#This Row],[Opening_Stock]]&gt;0),Raw_Data[[#This Row],[Units_Sold]]/Raw_Data[[#This Row],[Opening_Stock]],"")</f>
        <v>0</v>
      </c>
      <c r="L670" t="str">
        <f>IF(NOT(ISNUMBER(Raw_Data[[#This Row],[Sell_through%]])),"Check",IF(Raw_Data[[#This Row],[Sell_through%]]=0,"Non-moving",IF(Raw_Data[[#This Row],[Sell_through%]]&gt;=0.6,"Fast","Slow")))</f>
        <v>Non-moving</v>
      </c>
      <c r="M670">
        <f>IF(AND(ISNUMBER(Raw_Data[[#This Row],[Closing_Stock]]),ISNUMBER(Raw_Data[[#This Row],[Unit_Cost]])),Raw_Data[[#This Row],[Closing_Stock]]*Raw_Data[[#This Row],[Unit_Cost]],"")</f>
        <v>507899</v>
      </c>
      <c r="N67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71" spans="1:14" x14ac:dyDescent="0.3">
      <c r="A671" t="s">
        <v>989</v>
      </c>
      <c r="B671" t="s">
        <v>95</v>
      </c>
      <c r="C671" t="s">
        <v>31</v>
      </c>
      <c r="D671" t="s">
        <v>21</v>
      </c>
      <c r="E671" s="3"/>
      <c r="G671">
        <v>0</v>
      </c>
      <c r="H671">
        <v>388</v>
      </c>
      <c r="I671">
        <v>458</v>
      </c>
      <c r="J671" t="s">
        <v>14</v>
      </c>
      <c r="K671" s="4" t="str">
        <f>IF(AND(ISNUMBER(Raw_Data[[#This Row],[Opening_Stock]]),ISNUMBER(Raw_Data[[#This Row],[Units_Sold]]),Raw_Data[[#This Row],[Opening_Stock]]&gt;0),Raw_Data[[#This Row],[Units_Sold]]/Raw_Data[[#This Row],[Opening_Stock]],"")</f>
        <v/>
      </c>
      <c r="L671" t="str">
        <f>IF(NOT(ISNUMBER(Raw_Data[[#This Row],[Sell_through%]])),"Check",IF(Raw_Data[[#This Row],[Sell_through%]]=0,"Non-moving",IF(Raw_Data[[#This Row],[Sell_through%]]&gt;=0.6,"Fast","Slow")))</f>
        <v>Check</v>
      </c>
      <c r="M671">
        <f>IF(AND(ISNUMBER(Raw_Data[[#This Row],[Closing_Stock]]),ISNUMBER(Raw_Data[[#This Row],[Unit_Cost]])),Raw_Data[[#This Row],[Closing_Stock]]*Raw_Data[[#This Row],[Unit_Cost]],"")</f>
        <v>177704</v>
      </c>
      <c r="N67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72" spans="1:14" x14ac:dyDescent="0.3">
      <c r="A672" t="s">
        <v>990</v>
      </c>
      <c r="B672" t="s">
        <v>387</v>
      </c>
      <c r="D672" t="s">
        <v>13</v>
      </c>
      <c r="E672" s="3"/>
      <c r="F672">
        <v>261</v>
      </c>
      <c r="G672">
        <v>0</v>
      </c>
      <c r="I672">
        <v>1226</v>
      </c>
      <c r="J672" t="s">
        <v>14</v>
      </c>
      <c r="K672" s="4">
        <f>IF(AND(ISNUMBER(Raw_Data[[#This Row],[Opening_Stock]]),ISNUMBER(Raw_Data[[#This Row],[Units_Sold]]),Raw_Data[[#This Row],[Opening_Stock]]&gt;0),Raw_Data[[#This Row],[Units_Sold]]/Raw_Data[[#This Row],[Opening_Stock]],"")</f>
        <v>0</v>
      </c>
      <c r="L672" t="str">
        <f>IF(NOT(ISNUMBER(Raw_Data[[#This Row],[Sell_through%]])),"Check",IF(Raw_Data[[#This Row],[Sell_through%]]=0,"Non-moving",IF(Raw_Data[[#This Row],[Sell_through%]]&gt;=0.6,"Fast","Slow")))</f>
        <v>Non-moving</v>
      </c>
      <c r="M672" t="str">
        <f>IF(AND(ISNUMBER(Raw_Data[[#This Row],[Closing_Stock]]),ISNUMBER(Raw_Data[[#This Row],[Unit_Cost]])),Raw_Data[[#This Row],[Closing_Stock]]*Raw_Data[[#This Row],[Unit_Cost]],"")</f>
        <v/>
      </c>
      <c r="N67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73" spans="1:14" x14ac:dyDescent="0.3">
      <c r="A673" t="s">
        <v>991</v>
      </c>
      <c r="B673" t="s">
        <v>158</v>
      </c>
      <c r="C673" t="s">
        <v>31</v>
      </c>
      <c r="D673" t="s">
        <v>36</v>
      </c>
      <c r="E673" s="3"/>
      <c r="F673">
        <v>232</v>
      </c>
      <c r="H673">
        <v>232</v>
      </c>
      <c r="I673">
        <v>2974</v>
      </c>
      <c r="J673" t="s">
        <v>14</v>
      </c>
      <c r="K673" s="4" t="str">
        <f>IF(AND(ISNUMBER(Raw_Data[[#This Row],[Opening_Stock]]),ISNUMBER(Raw_Data[[#This Row],[Units_Sold]]),Raw_Data[[#This Row],[Opening_Stock]]&gt;0),Raw_Data[[#This Row],[Units_Sold]]/Raw_Data[[#This Row],[Opening_Stock]],"")</f>
        <v/>
      </c>
      <c r="L673" t="str">
        <f>IF(NOT(ISNUMBER(Raw_Data[[#This Row],[Sell_through%]])),"Check",IF(Raw_Data[[#This Row],[Sell_through%]]=0,"Non-moving",IF(Raw_Data[[#This Row],[Sell_through%]]&gt;=0.6,"Fast","Slow")))</f>
        <v>Check</v>
      </c>
      <c r="M673">
        <f>IF(AND(ISNUMBER(Raw_Data[[#This Row],[Closing_Stock]]),ISNUMBER(Raw_Data[[#This Row],[Unit_Cost]])),Raw_Data[[#This Row],[Closing_Stock]]*Raw_Data[[#This Row],[Unit_Cost]],"")</f>
        <v>689968</v>
      </c>
      <c r="N67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74" spans="1:14" x14ac:dyDescent="0.3">
      <c r="A674" t="s">
        <v>992</v>
      </c>
      <c r="B674" t="s">
        <v>73</v>
      </c>
      <c r="C674" t="s">
        <v>49</v>
      </c>
      <c r="D674" t="s">
        <v>21</v>
      </c>
      <c r="E674" s="3">
        <v>46164</v>
      </c>
      <c r="F674">
        <v>362</v>
      </c>
      <c r="G674">
        <v>302</v>
      </c>
      <c r="H674">
        <v>60</v>
      </c>
      <c r="I674">
        <v>926</v>
      </c>
      <c r="J674" t="s">
        <v>14</v>
      </c>
      <c r="K674" s="4">
        <f>IF(AND(ISNUMBER(Raw_Data[[#This Row],[Opening_Stock]]),ISNUMBER(Raw_Data[[#This Row],[Units_Sold]]),Raw_Data[[#This Row],[Opening_Stock]]&gt;0),Raw_Data[[#This Row],[Units_Sold]]/Raw_Data[[#This Row],[Opening_Stock]],"")</f>
        <v>0.83425414364640882</v>
      </c>
      <c r="L674" t="str">
        <f>IF(NOT(ISNUMBER(Raw_Data[[#This Row],[Sell_through%]])),"Check",IF(Raw_Data[[#This Row],[Sell_through%]]=0,"Non-moving",IF(Raw_Data[[#This Row],[Sell_through%]]&gt;=0.6,"Fast","Slow")))</f>
        <v>Fast</v>
      </c>
      <c r="M674">
        <f>IF(AND(ISNUMBER(Raw_Data[[#This Row],[Closing_Stock]]),ISNUMBER(Raw_Data[[#This Row],[Unit_Cost]])),Raw_Data[[#This Row],[Closing_Stock]]*Raw_Data[[#This Row],[Unit_Cost]],"")</f>
        <v>55560</v>
      </c>
      <c r="N67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75" spans="1:14" x14ac:dyDescent="0.3">
      <c r="A675" t="s">
        <v>993</v>
      </c>
      <c r="B675" t="s">
        <v>48</v>
      </c>
      <c r="C675" t="s">
        <v>49</v>
      </c>
      <c r="D675" t="s">
        <v>32</v>
      </c>
      <c r="E675" s="3">
        <v>46043</v>
      </c>
      <c r="F675">
        <v>445</v>
      </c>
      <c r="G675">
        <v>101</v>
      </c>
      <c r="H675">
        <v>344</v>
      </c>
      <c r="I675">
        <v>2789</v>
      </c>
      <c r="J675" t="s">
        <v>14</v>
      </c>
      <c r="K675" s="4">
        <f>IF(AND(ISNUMBER(Raw_Data[[#This Row],[Opening_Stock]]),ISNUMBER(Raw_Data[[#This Row],[Units_Sold]]),Raw_Data[[#This Row],[Opening_Stock]]&gt;0),Raw_Data[[#This Row],[Units_Sold]]/Raw_Data[[#This Row],[Opening_Stock]],"")</f>
        <v>0.22696629213483147</v>
      </c>
      <c r="L675" t="str">
        <f>IF(NOT(ISNUMBER(Raw_Data[[#This Row],[Sell_through%]])),"Check",IF(Raw_Data[[#This Row],[Sell_through%]]=0,"Non-moving",IF(Raw_Data[[#This Row],[Sell_through%]]&gt;=0.6,"Fast","Slow")))</f>
        <v>Slow</v>
      </c>
      <c r="M675">
        <f>IF(AND(ISNUMBER(Raw_Data[[#This Row],[Closing_Stock]]),ISNUMBER(Raw_Data[[#This Row],[Unit_Cost]])),Raw_Data[[#This Row],[Closing_Stock]]*Raw_Data[[#This Row],[Unit_Cost]],"")</f>
        <v>959416</v>
      </c>
      <c r="N67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76" spans="1:14" x14ac:dyDescent="0.3">
      <c r="A676" t="s">
        <v>996</v>
      </c>
      <c r="B676" t="s">
        <v>27</v>
      </c>
      <c r="D676" t="s">
        <v>21</v>
      </c>
      <c r="E676" s="3">
        <v>46018</v>
      </c>
      <c r="F676">
        <v>353</v>
      </c>
      <c r="G676">
        <v>273</v>
      </c>
      <c r="H676">
        <v>80</v>
      </c>
      <c r="I676">
        <v>2178</v>
      </c>
      <c r="J676" t="s">
        <v>14</v>
      </c>
      <c r="K676" s="4">
        <f>IF(AND(ISNUMBER(Raw_Data[[#This Row],[Opening_Stock]]),ISNUMBER(Raw_Data[[#This Row],[Units_Sold]]),Raw_Data[[#This Row],[Opening_Stock]]&gt;0),Raw_Data[[#This Row],[Units_Sold]]/Raw_Data[[#This Row],[Opening_Stock]],"")</f>
        <v>0.77337110481586402</v>
      </c>
      <c r="L676" t="str">
        <f>IF(NOT(ISNUMBER(Raw_Data[[#This Row],[Sell_through%]])),"Check",IF(Raw_Data[[#This Row],[Sell_through%]]=0,"Non-moving",IF(Raw_Data[[#This Row],[Sell_through%]]&gt;=0.6,"Fast","Slow")))</f>
        <v>Fast</v>
      </c>
      <c r="M676">
        <f>IF(AND(ISNUMBER(Raw_Data[[#This Row],[Closing_Stock]]),ISNUMBER(Raw_Data[[#This Row],[Unit_Cost]])),Raw_Data[[#This Row],[Closing_Stock]]*Raw_Data[[#This Row],[Unit_Cost]],"")</f>
        <v>174240</v>
      </c>
      <c r="N676"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77" spans="1:14" x14ac:dyDescent="0.3">
      <c r="A677" t="s">
        <v>997</v>
      </c>
      <c r="B677" t="s">
        <v>1343</v>
      </c>
      <c r="D677" t="s">
        <v>32</v>
      </c>
      <c r="E677" s="3">
        <v>46224</v>
      </c>
      <c r="F677">
        <v>245</v>
      </c>
      <c r="G677">
        <v>71</v>
      </c>
      <c r="H677">
        <v>174</v>
      </c>
      <c r="I677">
        <v>2513</v>
      </c>
      <c r="J677" t="s">
        <v>14</v>
      </c>
      <c r="K677" s="4">
        <f>IF(AND(ISNUMBER(Raw_Data[[#This Row],[Opening_Stock]]),ISNUMBER(Raw_Data[[#This Row],[Units_Sold]]),Raw_Data[[#This Row],[Opening_Stock]]&gt;0),Raw_Data[[#This Row],[Units_Sold]]/Raw_Data[[#This Row],[Opening_Stock]],"")</f>
        <v>0.28979591836734692</v>
      </c>
      <c r="L677" t="str">
        <f>IF(NOT(ISNUMBER(Raw_Data[[#This Row],[Sell_through%]])),"Check",IF(Raw_Data[[#This Row],[Sell_through%]]=0,"Non-moving",IF(Raw_Data[[#This Row],[Sell_through%]]&gt;=0.6,"Fast","Slow")))</f>
        <v>Slow</v>
      </c>
      <c r="M677">
        <f>IF(AND(ISNUMBER(Raw_Data[[#This Row],[Closing_Stock]]),ISNUMBER(Raw_Data[[#This Row],[Unit_Cost]])),Raw_Data[[#This Row],[Closing_Stock]]*Raw_Data[[#This Row],[Unit_Cost]],"")</f>
        <v>437262</v>
      </c>
      <c r="N67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78" spans="1:14" x14ac:dyDescent="0.3">
      <c r="A678" t="s">
        <v>998</v>
      </c>
      <c r="B678" t="s">
        <v>136</v>
      </c>
      <c r="C678" t="s">
        <v>35</v>
      </c>
      <c r="D678" t="s">
        <v>13</v>
      </c>
      <c r="E678" s="3">
        <v>46070</v>
      </c>
      <c r="G678">
        <v>231</v>
      </c>
      <c r="H678">
        <v>75</v>
      </c>
      <c r="I678">
        <v>2787</v>
      </c>
      <c r="J678" t="s">
        <v>14</v>
      </c>
      <c r="K678" s="4" t="str">
        <f>IF(AND(ISNUMBER(Raw_Data[[#This Row],[Opening_Stock]]),ISNUMBER(Raw_Data[[#This Row],[Units_Sold]]),Raw_Data[[#This Row],[Opening_Stock]]&gt;0),Raw_Data[[#This Row],[Units_Sold]]/Raw_Data[[#This Row],[Opening_Stock]],"")</f>
        <v/>
      </c>
      <c r="L678" t="str">
        <f>IF(NOT(ISNUMBER(Raw_Data[[#This Row],[Sell_through%]])),"Check",IF(Raw_Data[[#This Row],[Sell_through%]]=0,"Non-moving",IF(Raw_Data[[#This Row],[Sell_through%]]&gt;=0.6,"Fast","Slow")))</f>
        <v>Check</v>
      </c>
      <c r="M678">
        <f>IF(AND(ISNUMBER(Raw_Data[[#This Row],[Closing_Stock]]),ISNUMBER(Raw_Data[[#This Row],[Unit_Cost]])),Raw_Data[[#This Row],[Closing_Stock]]*Raw_Data[[#This Row],[Unit_Cost]],"")</f>
        <v>209025</v>
      </c>
      <c r="N678"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79" spans="1:14" x14ac:dyDescent="0.3">
      <c r="A679" t="s">
        <v>999</v>
      </c>
      <c r="B679" t="s">
        <v>1344</v>
      </c>
      <c r="C679" t="s">
        <v>28</v>
      </c>
      <c r="D679" t="s">
        <v>32</v>
      </c>
      <c r="E679" s="3">
        <v>46007</v>
      </c>
      <c r="F679">
        <v>308</v>
      </c>
      <c r="G679">
        <v>283</v>
      </c>
      <c r="H679">
        <v>25</v>
      </c>
      <c r="I679">
        <v>2650</v>
      </c>
      <c r="J679" t="s">
        <v>17</v>
      </c>
      <c r="K679" s="4">
        <f>IF(AND(ISNUMBER(Raw_Data[[#This Row],[Opening_Stock]]),ISNUMBER(Raw_Data[[#This Row],[Units_Sold]]),Raw_Data[[#This Row],[Opening_Stock]]&gt;0),Raw_Data[[#This Row],[Units_Sold]]/Raw_Data[[#This Row],[Opening_Stock]],"")</f>
        <v>0.91883116883116878</v>
      </c>
      <c r="L679" t="str">
        <f>IF(NOT(ISNUMBER(Raw_Data[[#This Row],[Sell_through%]])),"Check",IF(Raw_Data[[#This Row],[Sell_through%]]=0,"Non-moving",IF(Raw_Data[[#This Row],[Sell_through%]]&gt;=0.6,"Fast","Slow")))</f>
        <v>Fast</v>
      </c>
      <c r="M679">
        <f>IF(AND(ISNUMBER(Raw_Data[[#This Row],[Closing_Stock]]),ISNUMBER(Raw_Data[[#This Row],[Unit_Cost]])),Raw_Data[[#This Row],[Closing_Stock]]*Raw_Data[[#This Row],[Unit_Cost]],"")</f>
        <v>66250</v>
      </c>
      <c r="N67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80" spans="1:14" x14ac:dyDescent="0.3">
      <c r="A680" t="s">
        <v>1000</v>
      </c>
      <c r="B680" t="s">
        <v>499</v>
      </c>
      <c r="C680" t="s">
        <v>28</v>
      </c>
      <c r="D680" t="s">
        <v>32</v>
      </c>
      <c r="E680" s="3">
        <v>46291</v>
      </c>
      <c r="F680">
        <v>352</v>
      </c>
      <c r="G680">
        <v>260</v>
      </c>
      <c r="H680">
        <v>92</v>
      </c>
      <c r="I680">
        <v>2972</v>
      </c>
      <c r="J680" t="s">
        <v>14</v>
      </c>
      <c r="K680" s="4">
        <f>IF(AND(ISNUMBER(Raw_Data[[#This Row],[Opening_Stock]]),ISNUMBER(Raw_Data[[#This Row],[Units_Sold]]),Raw_Data[[#This Row],[Opening_Stock]]&gt;0),Raw_Data[[#This Row],[Units_Sold]]/Raw_Data[[#This Row],[Opening_Stock]],"")</f>
        <v>0.73863636363636365</v>
      </c>
      <c r="L680" t="str">
        <f>IF(NOT(ISNUMBER(Raw_Data[[#This Row],[Sell_through%]])),"Check",IF(Raw_Data[[#This Row],[Sell_through%]]=0,"Non-moving",IF(Raw_Data[[#This Row],[Sell_through%]]&gt;=0.6,"Fast","Slow")))</f>
        <v>Fast</v>
      </c>
      <c r="M680">
        <f>IF(AND(ISNUMBER(Raw_Data[[#This Row],[Closing_Stock]]),ISNUMBER(Raw_Data[[#This Row],[Unit_Cost]])),Raw_Data[[#This Row],[Closing_Stock]]*Raw_Data[[#This Row],[Unit_Cost]],"")</f>
        <v>273424</v>
      </c>
      <c r="N680"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81" spans="1:14" x14ac:dyDescent="0.3">
      <c r="A681" t="s">
        <v>1001</v>
      </c>
      <c r="B681" t="s">
        <v>48</v>
      </c>
      <c r="C681" t="s">
        <v>49</v>
      </c>
      <c r="D681" t="s">
        <v>21</v>
      </c>
      <c r="E681" s="3">
        <v>46175</v>
      </c>
      <c r="F681">
        <v>276</v>
      </c>
      <c r="G681">
        <v>196</v>
      </c>
      <c r="H681">
        <v>80</v>
      </c>
      <c r="I681">
        <v>2971</v>
      </c>
      <c r="J681" t="s">
        <v>14</v>
      </c>
      <c r="K681" s="4">
        <f>IF(AND(ISNUMBER(Raw_Data[[#This Row],[Opening_Stock]]),ISNUMBER(Raw_Data[[#This Row],[Units_Sold]]),Raw_Data[[#This Row],[Opening_Stock]]&gt;0),Raw_Data[[#This Row],[Units_Sold]]/Raw_Data[[#This Row],[Opening_Stock]],"")</f>
        <v>0.71014492753623193</v>
      </c>
      <c r="L681" t="str">
        <f>IF(NOT(ISNUMBER(Raw_Data[[#This Row],[Sell_through%]])),"Check",IF(Raw_Data[[#This Row],[Sell_through%]]=0,"Non-moving",IF(Raw_Data[[#This Row],[Sell_through%]]&gt;=0.6,"Fast","Slow")))</f>
        <v>Fast</v>
      </c>
      <c r="M681">
        <f>IF(AND(ISNUMBER(Raw_Data[[#This Row],[Closing_Stock]]),ISNUMBER(Raw_Data[[#This Row],[Unit_Cost]])),Raw_Data[[#This Row],[Closing_Stock]]*Raw_Data[[#This Row],[Unit_Cost]],"")</f>
        <v>237680</v>
      </c>
      <c r="N68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82" spans="1:14" x14ac:dyDescent="0.3">
      <c r="A682" t="s">
        <v>1003</v>
      </c>
      <c r="B682" t="s">
        <v>240</v>
      </c>
      <c r="C682" t="s">
        <v>49</v>
      </c>
      <c r="D682" t="s">
        <v>13</v>
      </c>
      <c r="E682" s="3">
        <v>46068</v>
      </c>
      <c r="F682">
        <v>310</v>
      </c>
      <c r="G682">
        <v>87</v>
      </c>
      <c r="H682">
        <v>223</v>
      </c>
      <c r="I682">
        <v>2049</v>
      </c>
      <c r="J682" t="s">
        <v>14</v>
      </c>
      <c r="K682" s="4">
        <f>IF(AND(ISNUMBER(Raw_Data[[#This Row],[Opening_Stock]]),ISNUMBER(Raw_Data[[#This Row],[Units_Sold]]),Raw_Data[[#This Row],[Opening_Stock]]&gt;0),Raw_Data[[#This Row],[Units_Sold]]/Raw_Data[[#This Row],[Opening_Stock]],"")</f>
        <v>0.28064516129032258</v>
      </c>
      <c r="L682" t="str">
        <f>IF(NOT(ISNUMBER(Raw_Data[[#This Row],[Sell_through%]])),"Check",IF(Raw_Data[[#This Row],[Sell_through%]]=0,"Non-moving",IF(Raw_Data[[#This Row],[Sell_through%]]&gt;=0.6,"Fast","Slow")))</f>
        <v>Slow</v>
      </c>
      <c r="M682">
        <f>IF(AND(ISNUMBER(Raw_Data[[#This Row],[Closing_Stock]]),ISNUMBER(Raw_Data[[#This Row],[Unit_Cost]])),Raw_Data[[#This Row],[Closing_Stock]]*Raw_Data[[#This Row],[Unit_Cost]],"")</f>
        <v>456927</v>
      </c>
      <c r="N68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83" spans="1:14" x14ac:dyDescent="0.3">
      <c r="A683" t="s">
        <v>1004</v>
      </c>
      <c r="B683" t="s">
        <v>238</v>
      </c>
      <c r="C683" t="s">
        <v>28</v>
      </c>
      <c r="D683" t="s">
        <v>13</v>
      </c>
      <c r="E683" s="3">
        <v>46248</v>
      </c>
      <c r="F683">
        <v>378</v>
      </c>
      <c r="G683">
        <v>54</v>
      </c>
      <c r="H683">
        <v>324</v>
      </c>
      <c r="I683">
        <v>1149</v>
      </c>
      <c r="J683" t="s">
        <v>14</v>
      </c>
      <c r="K683" s="4">
        <f>IF(AND(ISNUMBER(Raw_Data[[#This Row],[Opening_Stock]]),ISNUMBER(Raw_Data[[#This Row],[Units_Sold]]),Raw_Data[[#This Row],[Opening_Stock]]&gt;0),Raw_Data[[#This Row],[Units_Sold]]/Raw_Data[[#This Row],[Opening_Stock]],"")</f>
        <v>0.14285714285714285</v>
      </c>
      <c r="L683" t="str">
        <f>IF(NOT(ISNUMBER(Raw_Data[[#This Row],[Sell_through%]])),"Check",IF(Raw_Data[[#This Row],[Sell_through%]]=0,"Non-moving",IF(Raw_Data[[#This Row],[Sell_through%]]&gt;=0.6,"Fast","Slow")))</f>
        <v>Slow</v>
      </c>
      <c r="M683">
        <f>IF(AND(ISNUMBER(Raw_Data[[#This Row],[Closing_Stock]]),ISNUMBER(Raw_Data[[#This Row],[Unit_Cost]])),Raw_Data[[#This Row],[Closing_Stock]]*Raw_Data[[#This Row],[Unit_Cost]],"")</f>
        <v>372276</v>
      </c>
      <c r="N68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84" spans="1:14" x14ac:dyDescent="0.3">
      <c r="A684" t="s">
        <v>1006</v>
      </c>
      <c r="B684" t="s">
        <v>455</v>
      </c>
      <c r="C684" t="s">
        <v>35</v>
      </c>
      <c r="D684" t="s">
        <v>21</v>
      </c>
      <c r="E684" s="3">
        <v>46175</v>
      </c>
      <c r="F684">
        <v>356</v>
      </c>
      <c r="G684">
        <v>140</v>
      </c>
      <c r="H684">
        <v>216</v>
      </c>
      <c r="I684">
        <v>692</v>
      </c>
      <c r="J684" t="s">
        <v>14</v>
      </c>
      <c r="K684" s="4">
        <f>IF(AND(ISNUMBER(Raw_Data[[#This Row],[Opening_Stock]]),ISNUMBER(Raw_Data[[#This Row],[Units_Sold]]),Raw_Data[[#This Row],[Opening_Stock]]&gt;0),Raw_Data[[#This Row],[Units_Sold]]/Raw_Data[[#This Row],[Opening_Stock]],"")</f>
        <v>0.39325842696629215</v>
      </c>
      <c r="L684" t="str">
        <f>IF(NOT(ISNUMBER(Raw_Data[[#This Row],[Sell_through%]])),"Check",IF(Raw_Data[[#This Row],[Sell_through%]]=0,"Non-moving",IF(Raw_Data[[#This Row],[Sell_through%]]&gt;=0.6,"Fast","Slow")))</f>
        <v>Slow</v>
      </c>
      <c r="M684">
        <f>IF(AND(ISNUMBER(Raw_Data[[#This Row],[Closing_Stock]]),ISNUMBER(Raw_Data[[#This Row],[Unit_Cost]])),Raw_Data[[#This Row],[Closing_Stock]]*Raw_Data[[#This Row],[Unit_Cost]],"")</f>
        <v>149472</v>
      </c>
      <c r="N68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85" spans="1:14" x14ac:dyDescent="0.3">
      <c r="A685" t="s">
        <v>1007</v>
      </c>
      <c r="B685" t="s">
        <v>151</v>
      </c>
      <c r="C685" t="s">
        <v>35</v>
      </c>
      <c r="D685" t="s">
        <v>36</v>
      </c>
      <c r="E685" s="3">
        <v>46180</v>
      </c>
      <c r="F685">
        <v>224</v>
      </c>
      <c r="G685">
        <v>22</v>
      </c>
      <c r="H685">
        <v>202</v>
      </c>
      <c r="I685">
        <v>2458</v>
      </c>
      <c r="J685" t="s">
        <v>14</v>
      </c>
      <c r="K685" s="4">
        <f>IF(AND(ISNUMBER(Raw_Data[[#This Row],[Opening_Stock]]),ISNUMBER(Raw_Data[[#This Row],[Units_Sold]]),Raw_Data[[#This Row],[Opening_Stock]]&gt;0),Raw_Data[[#This Row],[Units_Sold]]/Raw_Data[[#This Row],[Opening_Stock]],"")</f>
        <v>9.8214285714285712E-2</v>
      </c>
      <c r="L685" t="str">
        <f>IF(NOT(ISNUMBER(Raw_Data[[#This Row],[Sell_through%]])),"Check",IF(Raw_Data[[#This Row],[Sell_through%]]=0,"Non-moving",IF(Raw_Data[[#This Row],[Sell_through%]]&gt;=0.6,"Fast","Slow")))</f>
        <v>Slow</v>
      </c>
      <c r="M685">
        <f>IF(AND(ISNUMBER(Raw_Data[[#This Row],[Closing_Stock]]),ISNUMBER(Raw_Data[[#This Row],[Unit_Cost]])),Raw_Data[[#This Row],[Closing_Stock]]*Raw_Data[[#This Row],[Unit_Cost]],"")</f>
        <v>496516</v>
      </c>
      <c r="N68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86" spans="1:14" x14ac:dyDescent="0.3">
      <c r="A686" t="s">
        <v>1008</v>
      </c>
      <c r="B686" t="s">
        <v>164</v>
      </c>
      <c r="C686" t="s">
        <v>49</v>
      </c>
      <c r="D686" t="s">
        <v>36</v>
      </c>
      <c r="E686" s="3">
        <v>46155</v>
      </c>
      <c r="F686">
        <v>308</v>
      </c>
      <c r="G686">
        <v>289</v>
      </c>
      <c r="H686">
        <v>19</v>
      </c>
      <c r="I686">
        <v>2882</v>
      </c>
      <c r="J686" t="s">
        <v>17</v>
      </c>
      <c r="K686" s="4">
        <f>IF(AND(ISNUMBER(Raw_Data[[#This Row],[Opening_Stock]]),ISNUMBER(Raw_Data[[#This Row],[Units_Sold]]),Raw_Data[[#This Row],[Opening_Stock]]&gt;0),Raw_Data[[#This Row],[Units_Sold]]/Raw_Data[[#This Row],[Opening_Stock]],"")</f>
        <v>0.93831168831168832</v>
      </c>
      <c r="L686" t="str">
        <f>IF(NOT(ISNUMBER(Raw_Data[[#This Row],[Sell_through%]])),"Check",IF(Raw_Data[[#This Row],[Sell_through%]]=0,"Non-moving",IF(Raw_Data[[#This Row],[Sell_through%]]&gt;=0.6,"Fast","Slow")))</f>
        <v>Fast</v>
      </c>
      <c r="M686">
        <f>IF(AND(ISNUMBER(Raw_Data[[#This Row],[Closing_Stock]]),ISNUMBER(Raw_Data[[#This Row],[Unit_Cost]])),Raw_Data[[#This Row],[Closing_Stock]]*Raw_Data[[#This Row],[Unit_Cost]],"")</f>
        <v>54758</v>
      </c>
      <c r="N686"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87" spans="1:14" x14ac:dyDescent="0.3">
      <c r="A687" t="s">
        <v>1009</v>
      </c>
      <c r="B687" t="s">
        <v>164</v>
      </c>
      <c r="C687" t="s">
        <v>49</v>
      </c>
      <c r="D687" t="s">
        <v>13</v>
      </c>
      <c r="E687" s="3"/>
      <c r="F687">
        <v>90</v>
      </c>
      <c r="G687">
        <v>0</v>
      </c>
      <c r="H687">
        <v>90</v>
      </c>
      <c r="I687">
        <v>424</v>
      </c>
      <c r="J687" t="s">
        <v>14</v>
      </c>
      <c r="K687" s="4">
        <f>IF(AND(ISNUMBER(Raw_Data[[#This Row],[Opening_Stock]]),ISNUMBER(Raw_Data[[#This Row],[Units_Sold]]),Raw_Data[[#This Row],[Opening_Stock]]&gt;0),Raw_Data[[#This Row],[Units_Sold]]/Raw_Data[[#This Row],[Opening_Stock]],"")</f>
        <v>0</v>
      </c>
      <c r="L687" t="str">
        <f>IF(NOT(ISNUMBER(Raw_Data[[#This Row],[Sell_through%]])),"Check",IF(Raw_Data[[#This Row],[Sell_through%]]=0,"Non-moving",IF(Raw_Data[[#This Row],[Sell_through%]]&gt;=0.6,"Fast","Slow")))</f>
        <v>Non-moving</v>
      </c>
      <c r="M687">
        <f>IF(AND(ISNUMBER(Raw_Data[[#This Row],[Closing_Stock]]),ISNUMBER(Raw_Data[[#This Row],[Unit_Cost]])),Raw_Data[[#This Row],[Closing_Stock]]*Raw_Data[[#This Row],[Unit_Cost]],"")</f>
        <v>38160</v>
      </c>
      <c r="N68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88" spans="1:14" x14ac:dyDescent="0.3">
      <c r="A688" t="s">
        <v>1010</v>
      </c>
      <c r="B688" t="s">
        <v>236</v>
      </c>
      <c r="C688" t="s">
        <v>12</v>
      </c>
      <c r="D688" t="s">
        <v>13</v>
      </c>
      <c r="E688" s="3">
        <v>46124</v>
      </c>
      <c r="F688">
        <v>321</v>
      </c>
      <c r="G688">
        <v>253</v>
      </c>
      <c r="H688">
        <v>68</v>
      </c>
      <c r="I688">
        <v>2724</v>
      </c>
      <c r="J688" t="s">
        <v>14</v>
      </c>
      <c r="K688" s="4">
        <f>IF(AND(ISNUMBER(Raw_Data[[#This Row],[Opening_Stock]]),ISNUMBER(Raw_Data[[#This Row],[Units_Sold]]),Raw_Data[[#This Row],[Opening_Stock]]&gt;0),Raw_Data[[#This Row],[Units_Sold]]/Raw_Data[[#This Row],[Opening_Stock]],"")</f>
        <v>0.78816199376947038</v>
      </c>
      <c r="L688" t="str">
        <f>IF(NOT(ISNUMBER(Raw_Data[[#This Row],[Sell_through%]])),"Check",IF(Raw_Data[[#This Row],[Sell_through%]]=0,"Non-moving",IF(Raw_Data[[#This Row],[Sell_through%]]&gt;=0.6,"Fast","Slow")))</f>
        <v>Fast</v>
      </c>
      <c r="M688">
        <f>IF(AND(ISNUMBER(Raw_Data[[#This Row],[Closing_Stock]]),ISNUMBER(Raw_Data[[#This Row],[Unit_Cost]])),Raw_Data[[#This Row],[Closing_Stock]]*Raw_Data[[#This Row],[Unit_Cost]],"")</f>
        <v>185232</v>
      </c>
      <c r="N688"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89" spans="1:14" x14ac:dyDescent="0.3">
      <c r="A689" t="s">
        <v>1011</v>
      </c>
      <c r="B689" t="s">
        <v>234</v>
      </c>
      <c r="C689" t="s">
        <v>28</v>
      </c>
      <c r="D689" t="s">
        <v>32</v>
      </c>
      <c r="E689" s="3">
        <v>46161</v>
      </c>
      <c r="F689">
        <v>64</v>
      </c>
      <c r="G689">
        <v>10</v>
      </c>
      <c r="H689">
        <v>54</v>
      </c>
      <c r="I689">
        <v>2173</v>
      </c>
      <c r="J689" t="s">
        <v>17</v>
      </c>
      <c r="K689" s="4">
        <f>IF(AND(ISNUMBER(Raw_Data[[#This Row],[Opening_Stock]]),ISNUMBER(Raw_Data[[#This Row],[Units_Sold]]),Raw_Data[[#This Row],[Opening_Stock]]&gt;0),Raw_Data[[#This Row],[Units_Sold]]/Raw_Data[[#This Row],[Opening_Stock]],"")</f>
        <v>0.15625</v>
      </c>
      <c r="L689" t="str">
        <f>IF(NOT(ISNUMBER(Raw_Data[[#This Row],[Sell_through%]])),"Check",IF(Raw_Data[[#This Row],[Sell_through%]]=0,"Non-moving",IF(Raw_Data[[#This Row],[Sell_through%]]&gt;=0.6,"Fast","Slow")))</f>
        <v>Slow</v>
      </c>
      <c r="M689">
        <f>IF(AND(ISNUMBER(Raw_Data[[#This Row],[Closing_Stock]]),ISNUMBER(Raw_Data[[#This Row],[Unit_Cost]])),Raw_Data[[#This Row],[Closing_Stock]]*Raw_Data[[#This Row],[Unit_Cost]],"")</f>
        <v>117342</v>
      </c>
      <c r="N68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90" spans="1:14" x14ac:dyDescent="0.3">
      <c r="A690" t="s">
        <v>1012</v>
      </c>
      <c r="B690" t="s">
        <v>240</v>
      </c>
      <c r="C690" t="s">
        <v>49</v>
      </c>
      <c r="D690" t="s">
        <v>21</v>
      </c>
      <c r="E690" s="3"/>
      <c r="F690">
        <v>395</v>
      </c>
      <c r="G690">
        <v>0</v>
      </c>
      <c r="H690">
        <v>395</v>
      </c>
      <c r="I690">
        <v>2216</v>
      </c>
      <c r="J690" t="s">
        <v>14</v>
      </c>
      <c r="K690" s="4">
        <f>IF(AND(ISNUMBER(Raw_Data[[#This Row],[Opening_Stock]]),ISNUMBER(Raw_Data[[#This Row],[Units_Sold]]),Raw_Data[[#This Row],[Opening_Stock]]&gt;0),Raw_Data[[#This Row],[Units_Sold]]/Raw_Data[[#This Row],[Opening_Stock]],"")</f>
        <v>0</v>
      </c>
      <c r="L690" t="str">
        <f>IF(NOT(ISNUMBER(Raw_Data[[#This Row],[Sell_through%]])),"Check",IF(Raw_Data[[#This Row],[Sell_through%]]=0,"Non-moving",IF(Raw_Data[[#This Row],[Sell_through%]]&gt;=0.6,"Fast","Slow")))</f>
        <v>Non-moving</v>
      </c>
      <c r="M690">
        <f>IF(AND(ISNUMBER(Raw_Data[[#This Row],[Closing_Stock]]),ISNUMBER(Raw_Data[[#This Row],[Unit_Cost]])),Raw_Data[[#This Row],[Closing_Stock]]*Raw_Data[[#This Row],[Unit_Cost]],"")</f>
        <v>875320</v>
      </c>
      <c r="N69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91" spans="1:14" x14ac:dyDescent="0.3">
      <c r="A691" t="s">
        <v>1013</v>
      </c>
      <c r="B691" t="s">
        <v>296</v>
      </c>
      <c r="C691" t="s">
        <v>31</v>
      </c>
      <c r="D691" t="s">
        <v>36</v>
      </c>
      <c r="E691" s="3"/>
      <c r="F691">
        <v>51</v>
      </c>
      <c r="G691">
        <v>0</v>
      </c>
      <c r="H691">
        <v>51</v>
      </c>
      <c r="I691">
        <v>160</v>
      </c>
      <c r="J691" t="s">
        <v>17</v>
      </c>
      <c r="K691" s="4">
        <f>IF(AND(ISNUMBER(Raw_Data[[#This Row],[Opening_Stock]]),ISNUMBER(Raw_Data[[#This Row],[Units_Sold]]),Raw_Data[[#This Row],[Opening_Stock]]&gt;0),Raw_Data[[#This Row],[Units_Sold]]/Raw_Data[[#This Row],[Opening_Stock]],"")</f>
        <v>0</v>
      </c>
      <c r="L691" t="str">
        <f>IF(NOT(ISNUMBER(Raw_Data[[#This Row],[Sell_through%]])),"Check",IF(Raw_Data[[#This Row],[Sell_through%]]=0,"Non-moving",IF(Raw_Data[[#This Row],[Sell_through%]]&gt;=0.6,"Fast","Slow")))</f>
        <v>Non-moving</v>
      </c>
      <c r="M691">
        <f>IF(AND(ISNUMBER(Raw_Data[[#This Row],[Closing_Stock]]),ISNUMBER(Raw_Data[[#This Row],[Unit_Cost]])),Raw_Data[[#This Row],[Closing_Stock]]*Raw_Data[[#This Row],[Unit_Cost]],"")</f>
        <v>8160</v>
      </c>
      <c r="N69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92" spans="1:14" x14ac:dyDescent="0.3">
      <c r="A692" t="s">
        <v>1014</v>
      </c>
      <c r="B692" t="s">
        <v>16</v>
      </c>
      <c r="C692" t="s">
        <v>12</v>
      </c>
      <c r="D692" t="s">
        <v>13</v>
      </c>
      <c r="E692" s="3">
        <v>45998</v>
      </c>
      <c r="F692">
        <v>184</v>
      </c>
      <c r="G692">
        <v>64</v>
      </c>
      <c r="H692">
        <v>120</v>
      </c>
      <c r="I692">
        <v>2405</v>
      </c>
      <c r="J692" t="s">
        <v>14</v>
      </c>
      <c r="K692" s="4">
        <f>IF(AND(ISNUMBER(Raw_Data[[#This Row],[Opening_Stock]]),ISNUMBER(Raw_Data[[#This Row],[Units_Sold]]),Raw_Data[[#This Row],[Opening_Stock]]&gt;0),Raw_Data[[#This Row],[Units_Sold]]/Raw_Data[[#This Row],[Opening_Stock]],"")</f>
        <v>0.34782608695652173</v>
      </c>
      <c r="L692" t="str">
        <f>IF(NOT(ISNUMBER(Raw_Data[[#This Row],[Sell_through%]])),"Check",IF(Raw_Data[[#This Row],[Sell_through%]]=0,"Non-moving",IF(Raw_Data[[#This Row],[Sell_through%]]&gt;=0.6,"Fast","Slow")))</f>
        <v>Slow</v>
      </c>
      <c r="M692">
        <f>IF(AND(ISNUMBER(Raw_Data[[#This Row],[Closing_Stock]]),ISNUMBER(Raw_Data[[#This Row],[Unit_Cost]])),Raw_Data[[#This Row],[Closing_Stock]]*Raw_Data[[#This Row],[Unit_Cost]],"")</f>
        <v>288600</v>
      </c>
      <c r="N69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93" spans="1:14" x14ac:dyDescent="0.3">
      <c r="A693" t="s">
        <v>1015</v>
      </c>
      <c r="B693" t="s">
        <v>73</v>
      </c>
      <c r="C693" t="s">
        <v>49</v>
      </c>
      <c r="D693" t="s">
        <v>32</v>
      </c>
      <c r="E693" s="3"/>
      <c r="F693">
        <v>118</v>
      </c>
      <c r="G693">
        <v>0</v>
      </c>
      <c r="H693">
        <v>118</v>
      </c>
      <c r="I693">
        <v>103</v>
      </c>
      <c r="J693" t="s">
        <v>14</v>
      </c>
      <c r="K693" s="4">
        <f>IF(AND(ISNUMBER(Raw_Data[[#This Row],[Opening_Stock]]),ISNUMBER(Raw_Data[[#This Row],[Units_Sold]]),Raw_Data[[#This Row],[Opening_Stock]]&gt;0),Raw_Data[[#This Row],[Units_Sold]]/Raw_Data[[#This Row],[Opening_Stock]],"")</f>
        <v>0</v>
      </c>
      <c r="L693" t="str">
        <f>IF(NOT(ISNUMBER(Raw_Data[[#This Row],[Sell_through%]])),"Check",IF(Raw_Data[[#This Row],[Sell_through%]]=0,"Non-moving",IF(Raw_Data[[#This Row],[Sell_through%]]&gt;=0.6,"Fast","Slow")))</f>
        <v>Non-moving</v>
      </c>
      <c r="M693">
        <f>IF(AND(ISNUMBER(Raw_Data[[#This Row],[Closing_Stock]]),ISNUMBER(Raw_Data[[#This Row],[Unit_Cost]])),Raw_Data[[#This Row],[Closing_Stock]]*Raw_Data[[#This Row],[Unit_Cost]],"")</f>
        <v>12154</v>
      </c>
      <c r="N69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94" spans="1:14" x14ac:dyDescent="0.3">
      <c r="A694" t="s">
        <v>1016</v>
      </c>
      <c r="B694" t="s">
        <v>60</v>
      </c>
      <c r="C694" t="s">
        <v>28</v>
      </c>
      <c r="D694" t="s">
        <v>36</v>
      </c>
      <c r="E694" s="3">
        <v>46042</v>
      </c>
      <c r="F694">
        <v>204</v>
      </c>
      <c r="G694">
        <v>37</v>
      </c>
      <c r="H694">
        <v>167</v>
      </c>
      <c r="I694">
        <v>2910</v>
      </c>
      <c r="J694" t="s">
        <v>14</v>
      </c>
      <c r="K694" s="4">
        <f>IF(AND(ISNUMBER(Raw_Data[[#This Row],[Opening_Stock]]),ISNUMBER(Raw_Data[[#This Row],[Units_Sold]]),Raw_Data[[#This Row],[Opening_Stock]]&gt;0),Raw_Data[[#This Row],[Units_Sold]]/Raw_Data[[#This Row],[Opening_Stock]],"")</f>
        <v>0.18137254901960784</v>
      </c>
      <c r="L694" t="str">
        <f>IF(NOT(ISNUMBER(Raw_Data[[#This Row],[Sell_through%]])),"Check",IF(Raw_Data[[#This Row],[Sell_through%]]=0,"Non-moving",IF(Raw_Data[[#This Row],[Sell_through%]]&gt;=0.6,"Fast","Slow")))</f>
        <v>Slow</v>
      </c>
      <c r="M694">
        <f>IF(AND(ISNUMBER(Raw_Data[[#This Row],[Closing_Stock]]),ISNUMBER(Raw_Data[[#This Row],[Unit_Cost]])),Raw_Data[[#This Row],[Closing_Stock]]*Raw_Data[[#This Row],[Unit_Cost]],"")</f>
        <v>485970</v>
      </c>
      <c r="N69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95" spans="1:14" x14ac:dyDescent="0.3">
      <c r="A695" t="s">
        <v>1017</v>
      </c>
      <c r="B695" t="s">
        <v>184</v>
      </c>
      <c r="C695" t="s">
        <v>31</v>
      </c>
      <c r="D695" t="s">
        <v>32</v>
      </c>
      <c r="E695" s="3">
        <v>46031</v>
      </c>
      <c r="F695">
        <v>226</v>
      </c>
      <c r="H695">
        <v>7</v>
      </c>
      <c r="I695">
        <v>2959</v>
      </c>
      <c r="J695" t="s">
        <v>17</v>
      </c>
      <c r="K695" s="4" t="str">
        <f>IF(AND(ISNUMBER(Raw_Data[[#This Row],[Opening_Stock]]),ISNUMBER(Raw_Data[[#This Row],[Units_Sold]]),Raw_Data[[#This Row],[Opening_Stock]]&gt;0),Raw_Data[[#This Row],[Units_Sold]]/Raw_Data[[#This Row],[Opening_Stock]],"")</f>
        <v/>
      </c>
      <c r="L695" t="str">
        <f>IF(NOT(ISNUMBER(Raw_Data[[#This Row],[Sell_through%]])),"Check",IF(Raw_Data[[#This Row],[Sell_through%]]=0,"Non-moving",IF(Raw_Data[[#This Row],[Sell_through%]]&gt;=0.6,"Fast","Slow")))</f>
        <v>Check</v>
      </c>
      <c r="M695">
        <f>IF(AND(ISNUMBER(Raw_Data[[#This Row],[Closing_Stock]]),ISNUMBER(Raw_Data[[#This Row],[Unit_Cost]])),Raw_Data[[#This Row],[Closing_Stock]]*Raw_Data[[#This Row],[Unit_Cost]],"")</f>
        <v>20713</v>
      </c>
      <c r="N69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696" spans="1:14" x14ac:dyDescent="0.3">
      <c r="A696" t="s">
        <v>1018</v>
      </c>
      <c r="B696" t="s">
        <v>211</v>
      </c>
      <c r="D696" t="s">
        <v>36</v>
      </c>
      <c r="E696" s="3"/>
      <c r="F696">
        <v>358</v>
      </c>
      <c r="G696">
        <v>0</v>
      </c>
      <c r="H696">
        <v>358</v>
      </c>
      <c r="I696">
        <v>807</v>
      </c>
      <c r="J696" t="s">
        <v>14</v>
      </c>
      <c r="K696" s="4">
        <f>IF(AND(ISNUMBER(Raw_Data[[#This Row],[Opening_Stock]]),ISNUMBER(Raw_Data[[#This Row],[Units_Sold]]),Raw_Data[[#This Row],[Opening_Stock]]&gt;0),Raw_Data[[#This Row],[Units_Sold]]/Raw_Data[[#This Row],[Opening_Stock]],"")</f>
        <v>0</v>
      </c>
      <c r="L696" t="str">
        <f>IF(NOT(ISNUMBER(Raw_Data[[#This Row],[Sell_through%]])),"Check",IF(Raw_Data[[#This Row],[Sell_through%]]=0,"Non-moving",IF(Raw_Data[[#This Row],[Sell_through%]]&gt;=0.6,"Fast","Slow")))</f>
        <v>Non-moving</v>
      </c>
      <c r="M696">
        <f>IF(AND(ISNUMBER(Raw_Data[[#This Row],[Closing_Stock]]),ISNUMBER(Raw_Data[[#This Row],[Unit_Cost]])),Raw_Data[[#This Row],[Closing_Stock]]*Raw_Data[[#This Row],[Unit_Cost]],"")</f>
        <v>288906</v>
      </c>
      <c r="N69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97" spans="1:14" x14ac:dyDescent="0.3">
      <c r="A697" t="s">
        <v>1019</v>
      </c>
      <c r="B697" t="s">
        <v>262</v>
      </c>
      <c r="C697" t="s">
        <v>12</v>
      </c>
      <c r="D697" t="s">
        <v>13</v>
      </c>
      <c r="E697" s="3">
        <v>46078</v>
      </c>
      <c r="F697">
        <v>477</v>
      </c>
      <c r="G697">
        <v>442</v>
      </c>
      <c r="I697">
        <v>2603</v>
      </c>
      <c r="J697" t="s">
        <v>17</v>
      </c>
      <c r="K697" s="4">
        <f>IF(AND(ISNUMBER(Raw_Data[[#This Row],[Opening_Stock]]),ISNUMBER(Raw_Data[[#This Row],[Units_Sold]]),Raw_Data[[#This Row],[Opening_Stock]]&gt;0),Raw_Data[[#This Row],[Units_Sold]]/Raw_Data[[#This Row],[Opening_Stock]],"")</f>
        <v>0.92662473794549272</v>
      </c>
      <c r="L697" t="str">
        <f>IF(NOT(ISNUMBER(Raw_Data[[#This Row],[Sell_through%]])),"Check",IF(Raw_Data[[#This Row],[Sell_through%]]=0,"Non-moving",IF(Raw_Data[[#This Row],[Sell_through%]]&gt;=0.6,"Fast","Slow")))</f>
        <v>Fast</v>
      </c>
      <c r="M697" t="str">
        <f>IF(AND(ISNUMBER(Raw_Data[[#This Row],[Closing_Stock]]),ISNUMBER(Raw_Data[[#This Row],[Unit_Cost]])),Raw_Data[[#This Row],[Closing_Stock]]*Raw_Data[[#This Row],[Unit_Cost]],"")</f>
        <v/>
      </c>
      <c r="N69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698" spans="1:14" x14ac:dyDescent="0.3">
      <c r="A698" t="s">
        <v>1020</v>
      </c>
      <c r="B698" t="s">
        <v>284</v>
      </c>
      <c r="C698" t="s">
        <v>49</v>
      </c>
      <c r="D698" t="s">
        <v>13</v>
      </c>
      <c r="E698" s="3">
        <v>46162</v>
      </c>
      <c r="F698">
        <v>125</v>
      </c>
      <c r="G698">
        <v>12</v>
      </c>
      <c r="H698">
        <v>113</v>
      </c>
      <c r="I698">
        <v>2957</v>
      </c>
      <c r="J698" t="s">
        <v>14</v>
      </c>
      <c r="K698" s="4">
        <f>IF(AND(ISNUMBER(Raw_Data[[#This Row],[Opening_Stock]]),ISNUMBER(Raw_Data[[#This Row],[Units_Sold]]),Raw_Data[[#This Row],[Opening_Stock]]&gt;0),Raw_Data[[#This Row],[Units_Sold]]/Raw_Data[[#This Row],[Opening_Stock]],"")</f>
        <v>9.6000000000000002E-2</v>
      </c>
      <c r="L698" t="str">
        <f>IF(NOT(ISNUMBER(Raw_Data[[#This Row],[Sell_through%]])),"Check",IF(Raw_Data[[#This Row],[Sell_through%]]=0,"Non-moving",IF(Raw_Data[[#This Row],[Sell_through%]]&gt;=0.6,"Fast","Slow")))</f>
        <v>Slow</v>
      </c>
      <c r="M698">
        <f>IF(AND(ISNUMBER(Raw_Data[[#This Row],[Closing_Stock]]),ISNUMBER(Raw_Data[[#This Row],[Unit_Cost]])),Raw_Data[[#This Row],[Closing_Stock]]*Raw_Data[[#This Row],[Unit_Cost]],"")</f>
        <v>334141</v>
      </c>
      <c r="N69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699" spans="1:14" x14ac:dyDescent="0.3">
      <c r="A699" t="s">
        <v>1023</v>
      </c>
      <c r="B699" t="s">
        <v>243</v>
      </c>
      <c r="C699" t="s">
        <v>28</v>
      </c>
      <c r="D699" t="s">
        <v>32</v>
      </c>
      <c r="E699" s="3"/>
      <c r="F699">
        <v>332</v>
      </c>
      <c r="G699">
        <v>0</v>
      </c>
      <c r="H699">
        <v>332</v>
      </c>
      <c r="I699">
        <v>1471</v>
      </c>
      <c r="J699" t="s">
        <v>14</v>
      </c>
      <c r="K699" s="4">
        <f>IF(AND(ISNUMBER(Raw_Data[[#This Row],[Opening_Stock]]),ISNUMBER(Raw_Data[[#This Row],[Units_Sold]]),Raw_Data[[#This Row],[Opening_Stock]]&gt;0),Raw_Data[[#This Row],[Units_Sold]]/Raw_Data[[#This Row],[Opening_Stock]],"")</f>
        <v>0</v>
      </c>
      <c r="L699" t="str">
        <f>IF(NOT(ISNUMBER(Raw_Data[[#This Row],[Sell_through%]])),"Check",IF(Raw_Data[[#This Row],[Sell_through%]]=0,"Non-moving",IF(Raw_Data[[#This Row],[Sell_through%]]&gt;=0.6,"Fast","Slow")))</f>
        <v>Non-moving</v>
      </c>
      <c r="M699">
        <f>IF(AND(ISNUMBER(Raw_Data[[#This Row],[Closing_Stock]]),ISNUMBER(Raw_Data[[#This Row],[Unit_Cost]])),Raw_Data[[#This Row],[Closing_Stock]]*Raw_Data[[#This Row],[Unit_Cost]],"")</f>
        <v>488372</v>
      </c>
      <c r="N69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00" spans="1:14" x14ac:dyDescent="0.3">
      <c r="A700" t="s">
        <v>1025</v>
      </c>
      <c r="B700" t="s">
        <v>434</v>
      </c>
      <c r="C700" t="s">
        <v>31</v>
      </c>
      <c r="D700" t="s">
        <v>13</v>
      </c>
      <c r="E700" s="3">
        <v>45998</v>
      </c>
      <c r="F700">
        <v>193</v>
      </c>
      <c r="G700">
        <v>147</v>
      </c>
      <c r="H700">
        <v>46</v>
      </c>
      <c r="I700">
        <v>125</v>
      </c>
      <c r="J700" t="s">
        <v>17</v>
      </c>
      <c r="K700" s="4">
        <f>IF(AND(ISNUMBER(Raw_Data[[#This Row],[Opening_Stock]]),ISNUMBER(Raw_Data[[#This Row],[Units_Sold]]),Raw_Data[[#This Row],[Opening_Stock]]&gt;0),Raw_Data[[#This Row],[Units_Sold]]/Raw_Data[[#This Row],[Opening_Stock]],"")</f>
        <v>0.76165803108808294</v>
      </c>
      <c r="L700" t="str">
        <f>IF(NOT(ISNUMBER(Raw_Data[[#This Row],[Sell_through%]])),"Check",IF(Raw_Data[[#This Row],[Sell_through%]]=0,"Non-moving",IF(Raw_Data[[#This Row],[Sell_through%]]&gt;=0.6,"Fast","Slow")))</f>
        <v>Fast</v>
      </c>
      <c r="M700">
        <f>IF(AND(ISNUMBER(Raw_Data[[#This Row],[Closing_Stock]]),ISNUMBER(Raw_Data[[#This Row],[Unit_Cost]])),Raw_Data[[#This Row],[Closing_Stock]]*Raw_Data[[#This Row],[Unit_Cost]],"")</f>
        <v>5750</v>
      </c>
      <c r="N70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01" spans="1:14" x14ac:dyDescent="0.3">
      <c r="A701" t="s">
        <v>1026</v>
      </c>
      <c r="B701" t="s">
        <v>80</v>
      </c>
      <c r="C701" t="s">
        <v>12</v>
      </c>
      <c r="D701" t="s">
        <v>32</v>
      </c>
      <c r="E701" s="3"/>
      <c r="F701">
        <v>303</v>
      </c>
      <c r="G701">
        <v>0</v>
      </c>
      <c r="H701">
        <v>303</v>
      </c>
      <c r="I701">
        <v>2547</v>
      </c>
      <c r="J701" t="s">
        <v>14</v>
      </c>
      <c r="K701" s="4">
        <f>IF(AND(ISNUMBER(Raw_Data[[#This Row],[Opening_Stock]]),ISNUMBER(Raw_Data[[#This Row],[Units_Sold]]),Raw_Data[[#This Row],[Opening_Stock]]&gt;0),Raw_Data[[#This Row],[Units_Sold]]/Raw_Data[[#This Row],[Opening_Stock]],"")</f>
        <v>0</v>
      </c>
      <c r="L701" t="str">
        <f>IF(NOT(ISNUMBER(Raw_Data[[#This Row],[Sell_through%]])),"Check",IF(Raw_Data[[#This Row],[Sell_through%]]=0,"Non-moving",IF(Raw_Data[[#This Row],[Sell_through%]]&gt;=0.6,"Fast","Slow")))</f>
        <v>Non-moving</v>
      </c>
      <c r="M701">
        <f>IF(AND(ISNUMBER(Raw_Data[[#This Row],[Closing_Stock]]),ISNUMBER(Raw_Data[[#This Row],[Unit_Cost]])),Raw_Data[[#This Row],[Closing_Stock]]*Raw_Data[[#This Row],[Unit_Cost]],"")</f>
        <v>771741</v>
      </c>
      <c r="N70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02" spans="1:14" x14ac:dyDescent="0.3">
      <c r="A702" t="s">
        <v>1028</v>
      </c>
      <c r="B702" t="s">
        <v>479</v>
      </c>
      <c r="C702" t="s">
        <v>31</v>
      </c>
      <c r="D702" t="s">
        <v>32</v>
      </c>
      <c r="E702" s="3">
        <v>46188</v>
      </c>
      <c r="F702">
        <v>151</v>
      </c>
      <c r="G702">
        <v>22</v>
      </c>
      <c r="H702">
        <v>129</v>
      </c>
      <c r="I702">
        <v>1175</v>
      </c>
      <c r="J702" t="s">
        <v>14</v>
      </c>
      <c r="K702" s="4">
        <f>IF(AND(ISNUMBER(Raw_Data[[#This Row],[Opening_Stock]]),ISNUMBER(Raw_Data[[#This Row],[Units_Sold]]),Raw_Data[[#This Row],[Opening_Stock]]&gt;0),Raw_Data[[#This Row],[Units_Sold]]/Raw_Data[[#This Row],[Opening_Stock]],"")</f>
        <v>0.14569536423841059</v>
      </c>
      <c r="L702" t="str">
        <f>IF(NOT(ISNUMBER(Raw_Data[[#This Row],[Sell_through%]])),"Check",IF(Raw_Data[[#This Row],[Sell_through%]]=0,"Non-moving",IF(Raw_Data[[#This Row],[Sell_through%]]&gt;=0.6,"Fast","Slow")))</f>
        <v>Slow</v>
      </c>
      <c r="M702">
        <f>IF(AND(ISNUMBER(Raw_Data[[#This Row],[Closing_Stock]]),ISNUMBER(Raw_Data[[#This Row],[Unit_Cost]])),Raw_Data[[#This Row],[Closing_Stock]]*Raw_Data[[#This Row],[Unit_Cost]],"")</f>
        <v>151575</v>
      </c>
      <c r="N70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03" spans="1:14" x14ac:dyDescent="0.3">
      <c r="A703" t="s">
        <v>1029</v>
      </c>
      <c r="B703" t="s">
        <v>284</v>
      </c>
      <c r="C703" t="s">
        <v>49</v>
      </c>
      <c r="D703" t="s">
        <v>21</v>
      </c>
      <c r="E703" s="3"/>
      <c r="F703">
        <v>413</v>
      </c>
      <c r="G703">
        <v>0</v>
      </c>
      <c r="H703">
        <v>413</v>
      </c>
      <c r="I703">
        <v>64</v>
      </c>
      <c r="J703" t="s">
        <v>14</v>
      </c>
      <c r="K703" s="4">
        <f>IF(AND(ISNUMBER(Raw_Data[[#This Row],[Opening_Stock]]),ISNUMBER(Raw_Data[[#This Row],[Units_Sold]]),Raw_Data[[#This Row],[Opening_Stock]]&gt;0),Raw_Data[[#This Row],[Units_Sold]]/Raw_Data[[#This Row],[Opening_Stock]],"")</f>
        <v>0</v>
      </c>
      <c r="L703" t="str">
        <f>IF(NOT(ISNUMBER(Raw_Data[[#This Row],[Sell_through%]])),"Check",IF(Raw_Data[[#This Row],[Sell_through%]]=0,"Non-moving",IF(Raw_Data[[#This Row],[Sell_through%]]&gt;=0.6,"Fast","Slow")))</f>
        <v>Non-moving</v>
      </c>
      <c r="M703">
        <f>IF(AND(ISNUMBER(Raw_Data[[#This Row],[Closing_Stock]]),ISNUMBER(Raw_Data[[#This Row],[Unit_Cost]])),Raw_Data[[#This Row],[Closing_Stock]]*Raw_Data[[#This Row],[Unit_Cost]],"")</f>
        <v>26432</v>
      </c>
      <c r="N70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04" spans="1:14" x14ac:dyDescent="0.3">
      <c r="A704" t="s">
        <v>1030</v>
      </c>
      <c r="B704" t="s">
        <v>479</v>
      </c>
      <c r="C704" t="s">
        <v>31</v>
      </c>
      <c r="D704" t="s">
        <v>32</v>
      </c>
      <c r="E704" s="3"/>
      <c r="F704">
        <v>317</v>
      </c>
      <c r="G704">
        <v>0</v>
      </c>
      <c r="H704">
        <v>317</v>
      </c>
      <c r="J704" t="s">
        <v>14</v>
      </c>
      <c r="K704" s="4">
        <f>IF(AND(ISNUMBER(Raw_Data[[#This Row],[Opening_Stock]]),ISNUMBER(Raw_Data[[#This Row],[Units_Sold]]),Raw_Data[[#This Row],[Opening_Stock]]&gt;0),Raw_Data[[#This Row],[Units_Sold]]/Raw_Data[[#This Row],[Opening_Stock]],"")</f>
        <v>0</v>
      </c>
      <c r="L704" t="str">
        <f>IF(NOT(ISNUMBER(Raw_Data[[#This Row],[Sell_through%]])),"Check",IF(Raw_Data[[#This Row],[Sell_through%]]=0,"Non-moving",IF(Raw_Data[[#This Row],[Sell_through%]]&gt;=0.6,"Fast","Slow")))</f>
        <v>Non-moving</v>
      </c>
      <c r="M704" t="str">
        <f>IF(AND(ISNUMBER(Raw_Data[[#This Row],[Closing_Stock]]),ISNUMBER(Raw_Data[[#This Row],[Unit_Cost]])),Raw_Data[[#This Row],[Closing_Stock]]*Raw_Data[[#This Row],[Unit_Cost]],"")</f>
        <v/>
      </c>
      <c r="N70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05" spans="1:14" x14ac:dyDescent="0.3">
      <c r="A705" t="s">
        <v>1031</v>
      </c>
      <c r="B705" t="s">
        <v>177</v>
      </c>
      <c r="C705" t="s">
        <v>31</v>
      </c>
      <c r="D705" t="s">
        <v>13</v>
      </c>
      <c r="E705" s="3"/>
      <c r="F705">
        <v>183</v>
      </c>
      <c r="G705">
        <v>0</v>
      </c>
      <c r="H705">
        <v>183</v>
      </c>
      <c r="I705">
        <v>2252</v>
      </c>
      <c r="J705" t="s">
        <v>14</v>
      </c>
      <c r="K705" s="4">
        <f>IF(AND(ISNUMBER(Raw_Data[[#This Row],[Opening_Stock]]),ISNUMBER(Raw_Data[[#This Row],[Units_Sold]]),Raw_Data[[#This Row],[Opening_Stock]]&gt;0),Raw_Data[[#This Row],[Units_Sold]]/Raw_Data[[#This Row],[Opening_Stock]],"")</f>
        <v>0</v>
      </c>
      <c r="L705" t="str">
        <f>IF(NOT(ISNUMBER(Raw_Data[[#This Row],[Sell_through%]])),"Check",IF(Raw_Data[[#This Row],[Sell_through%]]=0,"Non-moving",IF(Raw_Data[[#This Row],[Sell_through%]]&gt;=0.6,"Fast","Slow")))</f>
        <v>Non-moving</v>
      </c>
      <c r="M705">
        <f>IF(AND(ISNUMBER(Raw_Data[[#This Row],[Closing_Stock]]),ISNUMBER(Raw_Data[[#This Row],[Unit_Cost]])),Raw_Data[[#This Row],[Closing_Stock]]*Raw_Data[[#This Row],[Unit_Cost]],"")</f>
        <v>412116</v>
      </c>
      <c r="N70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06" spans="1:14" x14ac:dyDescent="0.3">
      <c r="A706" t="s">
        <v>1032</v>
      </c>
      <c r="B706" t="s">
        <v>34</v>
      </c>
      <c r="C706" t="s">
        <v>35</v>
      </c>
      <c r="D706" t="s">
        <v>32</v>
      </c>
      <c r="E706" s="3"/>
      <c r="F706">
        <v>496</v>
      </c>
      <c r="G706">
        <v>0</v>
      </c>
      <c r="H706">
        <v>496</v>
      </c>
      <c r="I706">
        <v>110</v>
      </c>
      <c r="J706" t="s">
        <v>14</v>
      </c>
      <c r="K706" s="4">
        <f>IF(AND(ISNUMBER(Raw_Data[[#This Row],[Opening_Stock]]),ISNUMBER(Raw_Data[[#This Row],[Units_Sold]]),Raw_Data[[#This Row],[Opening_Stock]]&gt;0),Raw_Data[[#This Row],[Units_Sold]]/Raw_Data[[#This Row],[Opening_Stock]],"")</f>
        <v>0</v>
      </c>
      <c r="L706" t="str">
        <f>IF(NOT(ISNUMBER(Raw_Data[[#This Row],[Sell_through%]])),"Check",IF(Raw_Data[[#This Row],[Sell_through%]]=0,"Non-moving",IF(Raw_Data[[#This Row],[Sell_through%]]&gt;=0.6,"Fast","Slow")))</f>
        <v>Non-moving</v>
      </c>
      <c r="M706">
        <f>IF(AND(ISNUMBER(Raw_Data[[#This Row],[Closing_Stock]]),ISNUMBER(Raw_Data[[#This Row],[Unit_Cost]])),Raw_Data[[#This Row],[Closing_Stock]]*Raw_Data[[#This Row],[Unit_Cost]],"")</f>
        <v>54560</v>
      </c>
      <c r="N70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07" spans="1:14" x14ac:dyDescent="0.3">
      <c r="A707" t="s">
        <v>1033</v>
      </c>
      <c r="B707" t="s">
        <v>243</v>
      </c>
      <c r="C707" t="s">
        <v>28</v>
      </c>
      <c r="D707" t="s">
        <v>13</v>
      </c>
      <c r="E707" s="3">
        <v>46063</v>
      </c>
      <c r="F707">
        <v>310</v>
      </c>
      <c r="G707">
        <v>244</v>
      </c>
      <c r="H707">
        <v>66</v>
      </c>
      <c r="I707">
        <v>890</v>
      </c>
      <c r="J707" t="s">
        <v>14</v>
      </c>
      <c r="K707" s="4">
        <f>IF(AND(ISNUMBER(Raw_Data[[#This Row],[Opening_Stock]]),ISNUMBER(Raw_Data[[#This Row],[Units_Sold]]),Raw_Data[[#This Row],[Opening_Stock]]&gt;0),Raw_Data[[#This Row],[Units_Sold]]/Raw_Data[[#This Row],[Opening_Stock]],"")</f>
        <v>0.7870967741935484</v>
      </c>
      <c r="L707" t="str">
        <f>IF(NOT(ISNUMBER(Raw_Data[[#This Row],[Sell_through%]])),"Check",IF(Raw_Data[[#This Row],[Sell_through%]]=0,"Non-moving",IF(Raw_Data[[#This Row],[Sell_through%]]&gt;=0.6,"Fast","Slow")))</f>
        <v>Fast</v>
      </c>
      <c r="M707">
        <f>IF(AND(ISNUMBER(Raw_Data[[#This Row],[Closing_Stock]]),ISNUMBER(Raw_Data[[#This Row],[Unit_Cost]])),Raw_Data[[#This Row],[Closing_Stock]]*Raw_Data[[#This Row],[Unit_Cost]],"")</f>
        <v>58740</v>
      </c>
      <c r="N707"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708" spans="1:14" x14ac:dyDescent="0.3">
      <c r="A708" t="s">
        <v>1034</v>
      </c>
      <c r="B708" t="s">
        <v>177</v>
      </c>
      <c r="C708" t="s">
        <v>31</v>
      </c>
      <c r="D708" t="s">
        <v>36</v>
      </c>
      <c r="E708" s="3">
        <v>46237</v>
      </c>
      <c r="F708">
        <v>282</v>
      </c>
      <c r="G708">
        <v>38</v>
      </c>
      <c r="I708">
        <v>831</v>
      </c>
      <c r="J708" t="s">
        <v>14</v>
      </c>
      <c r="K708" s="4">
        <f>IF(AND(ISNUMBER(Raw_Data[[#This Row],[Opening_Stock]]),ISNUMBER(Raw_Data[[#This Row],[Units_Sold]]),Raw_Data[[#This Row],[Opening_Stock]]&gt;0),Raw_Data[[#This Row],[Units_Sold]]/Raw_Data[[#This Row],[Opening_Stock]],"")</f>
        <v>0.13475177304964539</v>
      </c>
      <c r="L708" t="str">
        <f>IF(NOT(ISNUMBER(Raw_Data[[#This Row],[Sell_through%]])),"Check",IF(Raw_Data[[#This Row],[Sell_through%]]=0,"Non-moving",IF(Raw_Data[[#This Row],[Sell_through%]]&gt;=0.6,"Fast","Slow")))</f>
        <v>Slow</v>
      </c>
      <c r="M708" t="str">
        <f>IF(AND(ISNUMBER(Raw_Data[[#This Row],[Closing_Stock]]),ISNUMBER(Raw_Data[[#This Row],[Unit_Cost]])),Raw_Data[[#This Row],[Closing_Stock]]*Raw_Data[[#This Row],[Unit_Cost]],"")</f>
        <v/>
      </c>
      <c r="N70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09" spans="1:14" x14ac:dyDescent="0.3">
      <c r="A709" t="s">
        <v>1036</v>
      </c>
      <c r="B709" t="s">
        <v>308</v>
      </c>
      <c r="C709" t="s">
        <v>12</v>
      </c>
      <c r="D709" t="s">
        <v>32</v>
      </c>
      <c r="E709" s="3">
        <v>46021</v>
      </c>
      <c r="F709">
        <v>316</v>
      </c>
      <c r="G709">
        <v>118</v>
      </c>
      <c r="H709">
        <v>198</v>
      </c>
      <c r="I709">
        <v>87</v>
      </c>
      <c r="J709" t="s">
        <v>14</v>
      </c>
      <c r="K709" s="4">
        <f>IF(AND(ISNUMBER(Raw_Data[[#This Row],[Opening_Stock]]),ISNUMBER(Raw_Data[[#This Row],[Units_Sold]]),Raw_Data[[#This Row],[Opening_Stock]]&gt;0),Raw_Data[[#This Row],[Units_Sold]]/Raw_Data[[#This Row],[Opening_Stock]],"")</f>
        <v>0.37341772151898733</v>
      </c>
      <c r="L709" t="str">
        <f>IF(NOT(ISNUMBER(Raw_Data[[#This Row],[Sell_through%]])),"Check",IF(Raw_Data[[#This Row],[Sell_through%]]=0,"Non-moving",IF(Raw_Data[[#This Row],[Sell_through%]]&gt;=0.6,"Fast","Slow")))</f>
        <v>Slow</v>
      </c>
      <c r="M709">
        <f>IF(AND(ISNUMBER(Raw_Data[[#This Row],[Closing_Stock]]),ISNUMBER(Raw_Data[[#This Row],[Unit_Cost]])),Raw_Data[[#This Row],[Closing_Stock]]*Raw_Data[[#This Row],[Unit_Cost]],"")</f>
        <v>17226</v>
      </c>
      <c r="N70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10" spans="1:14" x14ac:dyDescent="0.3">
      <c r="A710" t="s">
        <v>1038</v>
      </c>
      <c r="B710" t="s">
        <v>189</v>
      </c>
      <c r="C710" t="s">
        <v>49</v>
      </c>
      <c r="D710" t="s">
        <v>13</v>
      </c>
      <c r="E710" s="3"/>
      <c r="F710">
        <v>248</v>
      </c>
      <c r="G710">
        <v>0</v>
      </c>
      <c r="H710">
        <v>248</v>
      </c>
      <c r="I710">
        <v>494</v>
      </c>
      <c r="J710" t="s">
        <v>14</v>
      </c>
      <c r="K710" s="4">
        <f>IF(AND(ISNUMBER(Raw_Data[[#This Row],[Opening_Stock]]),ISNUMBER(Raw_Data[[#This Row],[Units_Sold]]),Raw_Data[[#This Row],[Opening_Stock]]&gt;0),Raw_Data[[#This Row],[Units_Sold]]/Raw_Data[[#This Row],[Opening_Stock]],"")</f>
        <v>0</v>
      </c>
      <c r="L710" t="str">
        <f>IF(NOT(ISNUMBER(Raw_Data[[#This Row],[Sell_through%]])),"Check",IF(Raw_Data[[#This Row],[Sell_through%]]=0,"Non-moving",IF(Raw_Data[[#This Row],[Sell_through%]]&gt;=0.6,"Fast","Slow")))</f>
        <v>Non-moving</v>
      </c>
      <c r="M710">
        <f>IF(AND(ISNUMBER(Raw_Data[[#This Row],[Closing_Stock]]),ISNUMBER(Raw_Data[[#This Row],[Unit_Cost]])),Raw_Data[[#This Row],[Closing_Stock]]*Raw_Data[[#This Row],[Unit_Cost]],"")</f>
        <v>122512</v>
      </c>
      <c r="N71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11" spans="1:14" x14ac:dyDescent="0.3">
      <c r="A711" t="s">
        <v>1039</v>
      </c>
      <c r="B711" t="s">
        <v>93</v>
      </c>
      <c r="C711" t="s">
        <v>12</v>
      </c>
      <c r="D711" t="s">
        <v>21</v>
      </c>
      <c r="E711" s="3">
        <v>46018</v>
      </c>
      <c r="F711">
        <v>87</v>
      </c>
      <c r="G711">
        <v>30</v>
      </c>
      <c r="H711">
        <v>57</v>
      </c>
      <c r="I711">
        <v>2076</v>
      </c>
      <c r="J711" t="s">
        <v>17</v>
      </c>
      <c r="K711" s="4">
        <f>IF(AND(ISNUMBER(Raw_Data[[#This Row],[Opening_Stock]]),ISNUMBER(Raw_Data[[#This Row],[Units_Sold]]),Raw_Data[[#This Row],[Opening_Stock]]&gt;0),Raw_Data[[#This Row],[Units_Sold]]/Raw_Data[[#This Row],[Opening_Stock]],"")</f>
        <v>0.34482758620689657</v>
      </c>
      <c r="L711" t="str">
        <f>IF(NOT(ISNUMBER(Raw_Data[[#This Row],[Sell_through%]])),"Check",IF(Raw_Data[[#This Row],[Sell_through%]]=0,"Non-moving",IF(Raw_Data[[#This Row],[Sell_through%]]&gt;=0.6,"Fast","Slow")))</f>
        <v>Slow</v>
      </c>
      <c r="M711">
        <f>IF(AND(ISNUMBER(Raw_Data[[#This Row],[Closing_Stock]]),ISNUMBER(Raw_Data[[#This Row],[Unit_Cost]])),Raw_Data[[#This Row],[Closing_Stock]]*Raw_Data[[#This Row],[Unit_Cost]],"")</f>
        <v>118332</v>
      </c>
      <c r="N71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712" spans="1:14" x14ac:dyDescent="0.3">
      <c r="A712" t="s">
        <v>1040</v>
      </c>
      <c r="B712" t="s">
        <v>243</v>
      </c>
      <c r="C712" t="s">
        <v>28</v>
      </c>
      <c r="D712" t="s">
        <v>13</v>
      </c>
      <c r="E712" s="3"/>
      <c r="F712">
        <v>297</v>
      </c>
      <c r="G712">
        <v>0</v>
      </c>
      <c r="H712">
        <v>297</v>
      </c>
      <c r="I712">
        <v>378</v>
      </c>
      <c r="J712" t="s">
        <v>14</v>
      </c>
      <c r="K712" s="4">
        <f>IF(AND(ISNUMBER(Raw_Data[[#This Row],[Opening_Stock]]),ISNUMBER(Raw_Data[[#This Row],[Units_Sold]]),Raw_Data[[#This Row],[Opening_Stock]]&gt;0),Raw_Data[[#This Row],[Units_Sold]]/Raw_Data[[#This Row],[Opening_Stock]],"")</f>
        <v>0</v>
      </c>
      <c r="L712" t="str">
        <f>IF(NOT(ISNUMBER(Raw_Data[[#This Row],[Sell_through%]])),"Check",IF(Raw_Data[[#This Row],[Sell_through%]]=0,"Non-moving",IF(Raw_Data[[#This Row],[Sell_through%]]&gt;=0.6,"Fast","Slow")))</f>
        <v>Non-moving</v>
      </c>
      <c r="M712">
        <f>IF(AND(ISNUMBER(Raw_Data[[#This Row],[Closing_Stock]]),ISNUMBER(Raw_Data[[#This Row],[Unit_Cost]])),Raw_Data[[#This Row],[Closing_Stock]]*Raw_Data[[#This Row],[Unit_Cost]],"")</f>
        <v>112266</v>
      </c>
      <c r="N71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13" spans="1:14" x14ac:dyDescent="0.3">
      <c r="A713" t="s">
        <v>1042</v>
      </c>
      <c r="B713" t="s">
        <v>315</v>
      </c>
      <c r="C713" t="s">
        <v>49</v>
      </c>
      <c r="D713" t="s">
        <v>32</v>
      </c>
      <c r="E713" s="3"/>
      <c r="F713">
        <v>462</v>
      </c>
      <c r="G713">
        <v>0</v>
      </c>
      <c r="H713">
        <v>462</v>
      </c>
      <c r="I713">
        <v>1384</v>
      </c>
      <c r="J713" t="s">
        <v>14</v>
      </c>
      <c r="K713" s="4">
        <f>IF(AND(ISNUMBER(Raw_Data[[#This Row],[Opening_Stock]]),ISNUMBER(Raw_Data[[#This Row],[Units_Sold]]),Raw_Data[[#This Row],[Opening_Stock]]&gt;0),Raw_Data[[#This Row],[Units_Sold]]/Raw_Data[[#This Row],[Opening_Stock]],"")</f>
        <v>0</v>
      </c>
      <c r="L713" t="str">
        <f>IF(NOT(ISNUMBER(Raw_Data[[#This Row],[Sell_through%]])),"Check",IF(Raw_Data[[#This Row],[Sell_through%]]=0,"Non-moving",IF(Raw_Data[[#This Row],[Sell_through%]]&gt;=0.6,"Fast","Slow")))</f>
        <v>Non-moving</v>
      </c>
      <c r="M713">
        <f>IF(AND(ISNUMBER(Raw_Data[[#This Row],[Closing_Stock]]),ISNUMBER(Raw_Data[[#This Row],[Unit_Cost]])),Raw_Data[[#This Row],[Closing_Stock]]*Raw_Data[[#This Row],[Unit_Cost]],"")</f>
        <v>639408</v>
      </c>
      <c r="N71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14" spans="1:14" x14ac:dyDescent="0.3">
      <c r="A714" t="s">
        <v>1044</v>
      </c>
      <c r="B714" t="s">
        <v>324</v>
      </c>
      <c r="C714" t="s">
        <v>31</v>
      </c>
      <c r="D714" t="s">
        <v>32</v>
      </c>
      <c r="E714" s="3">
        <v>46201</v>
      </c>
      <c r="F714">
        <v>230</v>
      </c>
      <c r="G714">
        <v>28</v>
      </c>
      <c r="H714">
        <v>202</v>
      </c>
      <c r="I714">
        <v>1169</v>
      </c>
      <c r="J714" t="s">
        <v>14</v>
      </c>
      <c r="K714" s="4">
        <f>IF(AND(ISNUMBER(Raw_Data[[#This Row],[Opening_Stock]]),ISNUMBER(Raw_Data[[#This Row],[Units_Sold]]),Raw_Data[[#This Row],[Opening_Stock]]&gt;0),Raw_Data[[#This Row],[Units_Sold]]/Raw_Data[[#This Row],[Opening_Stock]],"")</f>
        <v>0.12173913043478261</v>
      </c>
      <c r="L714" t="str">
        <f>IF(NOT(ISNUMBER(Raw_Data[[#This Row],[Sell_through%]])),"Check",IF(Raw_Data[[#This Row],[Sell_through%]]=0,"Non-moving",IF(Raw_Data[[#This Row],[Sell_through%]]&gt;=0.6,"Fast","Slow")))</f>
        <v>Slow</v>
      </c>
      <c r="M714">
        <f>IF(AND(ISNUMBER(Raw_Data[[#This Row],[Closing_Stock]]),ISNUMBER(Raw_Data[[#This Row],[Unit_Cost]])),Raw_Data[[#This Row],[Closing_Stock]]*Raw_Data[[#This Row],[Unit_Cost]],"")</f>
        <v>236138</v>
      </c>
      <c r="N71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15" spans="1:14" x14ac:dyDescent="0.3">
      <c r="A715" t="s">
        <v>1045</v>
      </c>
      <c r="B715" t="s">
        <v>184</v>
      </c>
      <c r="C715" t="s">
        <v>31</v>
      </c>
      <c r="D715" t="s">
        <v>32</v>
      </c>
      <c r="E715" s="3">
        <v>46255</v>
      </c>
      <c r="G715">
        <v>419</v>
      </c>
      <c r="H715">
        <v>24</v>
      </c>
      <c r="I715">
        <v>2401</v>
      </c>
      <c r="J715" t="s">
        <v>17</v>
      </c>
      <c r="K715" s="4" t="str">
        <f>IF(AND(ISNUMBER(Raw_Data[[#This Row],[Opening_Stock]]),ISNUMBER(Raw_Data[[#This Row],[Units_Sold]]),Raw_Data[[#This Row],[Opening_Stock]]&gt;0),Raw_Data[[#This Row],[Units_Sold]]/Raw_Data[[#This Row],[Opening_Stock]],"")</f>
        <v/>
      </c>
      <c r="L715" t="str">
        <f>IF(NOT(ISNUMBER(Raw_Data[[#This Row],[Sell_through%]])),"Check",IF(Raw_Data[[#This Row],[Sell_through%]]=0,"Non-moving",IF(Raw_Data[[#This Row],[Sell_through%]]&gt;=0.6,"Fast","Slow")))</f>
        <v>Check</v>
      </c>
      <c r="M715">
        <f>IF(AND(ISNUMBER(Raw_Data[[#This Row],[Closing_Stock]]),ISNUMBER(Raw_Data[[#This Row],[Unit_Cost]])),Raw_Data[[#This Row],[Closing_Stock]]*Raw_Data[[#This Row],[Unit_Cost]],"")</f>
        <v>57624</v>
      </c>
      <c r="N71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716" spans="1:14" x14ac:dyDescent="0.3">
      <c r="A716" t="s">
        <v>1046</v>
      </c>
      <c r="B716" t="s">
        <v>11</v>
      </c>
      <c r="C716" t="s">
        <v>12</v>
      </c>
      <c r="D716" t="s">
        <v>21</v>
      </c>
      <c r="E716" s="3">
        <v>46026</v>
      </c>
      <c r="F716">
        <v>337</v>
      </c>
      <c r="G716">
        <v>254</v>
      </c>
      <c r="H716">
        <v>83</v>
      </c>
      <c r="I716">
        <v>212</v>
      </c>
      <c r="J716" t="s">
        <v>14</v>
      </c>
      <c r="K716" s="4">
        <f>IF(AND(ISNUMBER(Raw_Data[[#This Row],[Opening_Stock]]),ISNUMBER(Raw_Data[[#This Row],[Units_Sold]]),Raw_Data[[#This Row],[Opening_Stock]]&gt;0),Raw_Data[[#This Row],[Units_Sold]]/Raw_Data[[#This Row],[Opening_Stock]],"")</f>
        <v>0.75370919881305642</v>
      </c>
      <c r="L716" t="str">
        <f>IF(NOT(ISNUMBER(Raw_Data[[#This Row],[Sell_through%]])),"Check",IF(Raw_Data[[#This Row],[Sell_through%]]=0,"Non-moving",IF(Raw_Data[[#This Row],[Sell_through%]]&gt;=0.6,"Fast","Slow")))</f>
        <v>Fast</v>
      </c>
      <c r="M716">
        <f>IF(AND(ISNUMBER(Raw_Data[[#This Row],[Closing_Stock]]),ISNUMBER(Raw_Data[[#This Row],[Unit_Cost]])),Raw_Data[[#This Row],[Closing_Stock]]*Raw_Data[[#This Row],[Unit_Cost]],"")</f>
        <v>17596</v>
      </c>
      <c r="N716"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717" spans="1:14" x14ac:dyDescent="0.3">
      <c r="A717" t="s">
        <v>1047</v>
      </c>
      <c r="B717" t="s">
        <v>324</v>
      </c>
      <c r="C717" t="s">
        <v>31</v>
      </c>
      <c r="D717" t="s">
        <v>13</v>
      </c>
      <c r="E717" s="3">
        <v>46180</v>
      </c>
      <c r="F717">
        <v>280</v>
      </c>
      <c r="G717">
        <v>83</v>
      </c>
      <c r="H717">
        <v>197</v>
      </c>
      <c r="I717">
        <v>2268</v>
      </c>
      <c r="J717" t="s">
        <v>14</v>
      </c>
      <c r="K717" s="4">
        <f>IF(AND(ISNUMBER(Raw_Data[[#This Row],[Opening_Stock]]),ISNUMBER(Raw_Data[[#This Row],[Units_Sold]]),Raw_Data[[#This Row],[Opening_Stock]]&gt;0),Raw_Data[[#This Row],[Units_Sold]]/Raw_Data[[#This Row],[Opening_Stock]],"")</f>
        <v>0.29642857142857143</v>
      </c>
      <c r="L717" t="str">
        <f>IF(NOT(ISNUMBER(Raw_Data[[#This Row],[Sell_through%]])),"Check",IF(Raw_Data[[#This Row],[Sell_through%]]=0,"Non-moving",IF(Raw_Data[[#This Row],[Sell_through%]]&gt;=0.6,"Fast","Slow")))</f>
        <v>Slow</v>
      </c>
      <c r="M717">
        <f>IF(AND(ISNUMBER(Raw_Data[[#This Row],[Closing_Stock]]),ISNUMBER(Raw_Data[[#This Row],[Unit_Cost]])),Raw_Data[[#This Row],[Closing_Stock]]*Raw_Data[[#This Row],[Unit_Cost]],"")</f>
        <v>446796</v>
      </c>
      <c r="N71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18" spans="1:14" x14ac:dyDescent="0.3">
      <c r="A718" t="s">
        <v>1048</v>
      </c>
      <c r="B718" t="s">
        <v>262</v>
      </c>
      <c r="C718" t="s">
        <v>12</v>
      </c>
      <c r="D718" t="s">
        <v>13</v>
      </c>
      <c r="E718" s="3">
        <v>46092</v>
      </c>
      <c r="F718">
        <v>290</v>
      </c>
      <c r="G718">
        <v>88</v>
      </c>
      <c r="H718">
        <v>202</v>
      </c>
      <c r="I718">
        <v>2565</v>
      </c>
      <c r="J718" t="s">
        <v>14</v>
      </c>
      <c r="K718" s="4">
        <f>IF(AND(ISNUMBER(Raw_Data[[#This Row],[Opening_Stock]]),ISNUMBER(Raw_Data[[#This Row],[Units_Sold]]),Raw_Data[[#This Row],[Opening_Stock]]&gt;0),Raw_Data[[#This Row],[Units_Sold]]/Raw_Data[[#This Row],[Opening_Stock]],"")</f>
        <v>0.30344827586206896</v>
      </c>
      <c r="L718" t="str">
        <f>IF(NOT(ISNUMBER(Raw_Data[[#This Row],[Sell_through%]])),"Check",IF(Raw_Data[[#This Row],[Sell_through%]]=0,"Non-moving",IF(Raw_Data[[#This Row],[Sell_through%]]&gt;=0.6,"Fast","Slow")))</f>
        <v>Slow</v>
      </c>
      <c r="M718">
        <f>IF(AND(ISNUMBER(Raw_Data[[#This Row],[Closing_Stock]]),ISNUMBER(Raw_Data[[#This Row],[Unit_Cost]])),Raw_Data[[#This Row],[Closing_Stock]]*Raw_Data[[#This Row],[Unit_Cost]],"")</f>
        <v>518130</v>
      </c>
      <c r="N71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19" spans="1:14" x14ac:dyDescent="0.3">
      <c r="A719" t="s">
        <v>1049</v>
      </c>
      <c r="B719" t="s">
        <v>138</v>
      </c>
      <c r="C719" t="s">
        <v>31</v>
      </c>
      <c r="D719" t="s">
        <v>32</v>
      </c>
      <c r="E719" s="3">
        <v>46182</v>
      </c>
      <c r="F719">
        <v>450</v>
      </c>
      <c r="G719">
        <v>415</v>
      </c>
      <c r="H719">
        <v>35</v>
      </c>
      <c r="J719" t="s">
        <v>17</v>
      </c>
      <c r="K719" s="4">
        <f>IF(AND(ISNUMBER(Raw_Data[[#This Row],[Opening_Stock]]),ISNUMBER(Raw_Data[[#This Row],[Units_Sold]]),Raw_Data[[#This Row],[Opening_Stock]]&gt;0),Raw_Data[[#This Row],[Units_Sold]]/Raw_Data[[#This Row],[Opening_Stock]],"")</f>
        <v>0.92222222222222228</v>
      </c>
      <c r="L719" t="str">
        <f>IF(NOT(ISNUMBER(Raw_Data[[#This Row],[Sell_through%]])),"Check",IF(Raw_Data[[#This Row],[Sell_through%]]=0,"Non-moving",IF(Raw_Data[[#This Row],[Sell_through%]]&gt;=0.6,"Fast","Slow")))</f>
        <v>Fast</v>
      </c>
      <c r="M719" t="str">
        <f>IF(AND(ISNUMBER(Raw_Data[[#This Row],[Closing_Stock]]),ISNUMBER(Raw_Data[[#This Row],[Unit_Cost]])),Raw_Data[[#This Row],[Closing_Stock]]*Raw_Data[[#This Row],[Unit_Cost]],"")</f>
        <v/>
      </c>
      <c r="N71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20" spans="1:14" x14ac:dyDescent="0.3">
      <c r="A720" t="s">
        <v>1050</v>
      </c>
      <c r="B720" t="s">
        <v>124</v>
      </c>
      <c r="C720" t="s">
        <v>28</v>
      </c>
      <c r="D720" t="s">
        <v>32</v>
      </c>
      <c r="E720" s="3">
        <v>46100</v>
      </c>
      <c r="F720">
        <v>199</v>
      </c>
      <c r="G720">
        <v>45</v>
      </c>
      <c r="I720">
        <v>2733</v>
      </c>
      <c r="J720" t="s">
        <v>14</v>
      </c>
      <c r="K720" s="4">
        <f>IF(AND(ISNUMBER(Raw_Data[[#This Row],[Opening_Stock]]),ISNUMBER(Raw_Data[[#This Row],[Units_Sold]]),Raw_Data[[#This Row],[Opening_Stock]]&gt;0),Raw_Data[[#This Row],[Units_Sold]]/Raw_Data[[#This Row],[Opening_Stock]],"")</f>
        <v>0.22613065326633167</v>
      </c>
      <c r="L720" t="str">
        <f>IF(NOT(ISNUMBER(Raw_Data[[#This Row],[Sell_through%]])),"Check",IF(Raw_Data[[#This Row],[Sell_through%]]=0,"Non-moving",IF(Raw_Data[[#This Row],[Sell_through%]]&gt;=0.6,"Fast","Slow")))</f>
        <v>Slow</v>
      </c>
      <c r="M720" t="str">
        <f>IF(AND(ISNUMBER(Raw_Data[[#This Row],[Closing_Stock]]),ISNUMBER(Raw_Data[[#This Row],[Unit_Cost]])),Raw_Data[[#This Row],[Closing_Stock]]*Raw_Data[[#This Row],[Unit_Cost]],"")</f>
        <v/>
      </c>
      <c r="N72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21" spans="1:14" x14ac:dyDescent="0.3">
      <c r="A721" t="s">
        <v>1052</v>
      </c>
      <c r="B721" t="s">
        <v>65</v>
      </c>
      <c r="C721" t="s">
        <v>49</v>
      </c>
      <c r="D721" t="s">
        <v>13</v>
      </c>
      <c r="E721" s="3">
        <v>46084</v>
      </c>
      <c r="F721">
        <v>175</v>
      </c>
      <c r="G721">
        <v>28</v>
      </c>
      <c r="H721">
        <v>147</v>
      </c>
      <c r="I721">
        <v>2806</v>
      </c>
      <c r="J721" t="s">
        <v>14</v>
      </c>
      <c r="K721" s="4">
        <f>IF(AND(ISNUMBER(Raw_Data[[#This Row],[Opening_Stock]]),ISNUMBER(Raw_Data[[#This Row],[Units_Sold]]),Raw_Data[[#This Row],[Opening_Stock]]&gt;0),Raw_Data[[#This Row],[Units_Sold]]/Raw_Data[[#This Row],[Opening_Stock]],"")</f>
        <v>0.16</v>
      </c>
      <c r="L721" t="str">
        <f>IF(NOT(ISNUMBER(Raw_Data[[#This Row],[Sell_through%]])),"Check",IF(Raw_Data[[#This Row],[Sell_through%]]=0,"Non-moving",IF(Raw_Data[[#This Row],[Sell_through%]]&gt;=0.6,"Fast","Slow")))</f>
        <v>Slow</v>
      </c>
      <c r="M721">
        <f>IF(AND(ISNUMBER(Raw_Data[[#This Row],[Closing_Stock]]),ISNUMBER(Raw_Data[[#This Row],[Unit_Cost]])),Raw_Data[[#This Row],[Closing_Stock]]*Raw_Data[[#This Row],[Unit_Cost]],"")</f>
        <v>412482</v>
      </c>
      <c r="N72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22" spans="1:14" x14ac:dyDescent="0.3">
      <c r="A722" t="s">
        <v>1053</v>
      </c>
      <c r="B722" t="s">
        <v>78</v>
      </c>
      <c r="C722" t="s">
        <v>35</v>
      </c>
      <c r="D722" t="s">
        <v>32</v>
      </c>
      <c r="E722" s="3">
        <v>46113</v>
      </c>
      <c r="G722">
        <v>113</v>
      </c>
      <c r="H722">
        <v>306</v>
      </c>
      <c r="I722">
        <v>1134</v>
      </c>
      <c r="J722" t="s">
        <v>14</v>
      </c>
      <c r="K722" s="4" t="str">
        <f>IF(AND(ISNUMBER(Raw_Data[[#This Row],[Opening_Stock]]),ISNUMBER(Raw_Data[[#This Row],[Units_Sold]]),Raw_Data[[#This Row],[Opening_Stock]]&gt;0),Raw_Data[[#This Row],[Units_Sold]]/Raw_Data[[#This Row],[Opening_Stock]],"")</f>
        <v/>
      </c>
      <c r="L722" t="str">
        <f>IF(NOT(ISNUMBER(Raw_Data[[#This Row],[Sell_through%]])),"Check",IF(Raw_Data[[#This Row],[Sell_through%]]=0,"Non-moving",IF(Raw_Data[[#This Row],[Sell_through%]]&gt;=0.6,"Fast","Slow")))</f>
        <v>Check</v>
      </c>
      <c r="M722">
        <f>IF(AND(ISNUMBER(Raw_Data[[#This Row],[Closing_Stock]]),ISNUMBER(Raw_Data[[#This Row],[Unit_Cost]])),Raw_Data[[#This Row],[Closing_Stock]]*Raw_Data[[#This Row],[Unit_Cost]],"")</f>
        <v>347004</v>
      </c>
      <c r="N722"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723" spans="1:14" x14ac:dyDescent="0.3">
      <c r="A723" t="s">
        <v>1054</v>
      </c>
      <c r="B723" t="s">
        <v>308</v>
      </c>
      <c r="C723" t="s">
        <v>12</v>
      </c>
      <c r="D723" t="s">
        <v>36</v>
      </c>
      <c r="E723" s="3">
        <v>46116</v>
      </c>
      <c r="F723">
        <v>57</v>
      </c>
      <c r="G723">
        <v>17</v>
      </c>
      <c r="H723">
        <v>40</v>
      </c>
      <c r="I723">
        <v>185</v>
      </c>
      <c r="J723" t="s">
        <v>17</v>
      </c>
      <c r="K723" s="4">
        <f>IF(AND(ISNUMBER(Raw_Data[[#This Row],[Opening_Stock]]),ISNUMBER(Raw_Data[[#This Row],[Units_Sold]]),Raw_Data[[#This Row],[Opening_Stock]]&gt;0),Raw_Data[[#This Row],[Units_Sold]]/Raw_Data[[#This Row],[Opening_Stock]],"")</f>
        <v>0.2982456140350877</v>
      </c>
      <c r="L723" t="str">
        <f>IF(NOT(ISNUMBER(Raw_Data[[#This Row],[Sell_through%]])),"Check",IF(Raw_Data[[#This Row],[Sell_through%]]=0,"Non-moving",IF(Raw_Data[[#This Row],[Sell_through%]]&gt;=0.6,"Fast","Slow")))</f>
        <v>Slow</v>
      </c>
      <c r="M723">
        <f>IF(AND(ISNUMBER(Raw_Data[[#This Row],[Closing_Stock]]),ISNUMBER(Raw_Data[[#This Row],[Unit_Cost]])),Raw_Data[[#This Row],[Closing_Stock]]*Raw_Data[[#This Row],[Unit_Cost]],"")</f>
        <v>7400</v>
      </c>
      <c r="N72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724" spans="1:14" x14ac:dyDescent="0.3">
      <c r="A724" t="s">
        <v>1055</v>
      </c>
      <c r="B724" t="s">
        <v>164</v>
      </c>
      <c r="C724" t="s">
        <v>49</v>
      </c>
      <c r="D724" t="s">
        <v>32</v>
      </c>
      <c r="E724" s="3">
        <v>46088</v>
      </c>
      <c r="F724">
        <v>445</v>
      </c>
      <c r="G724">
        <v>411</v>
      </c>
      <c r="H724">
        <v>34</v>
      </c>
      <c r="I724">
        <v>1923</v>
      </c>
      <c r="J724" t="s">
        <v>17</v>
      </c>
      <c r="K724" s="4">
        <f>IF(AND(ISNUMBER(Raw_Data[[#This Row],[Opening_Stock]]),ISNUMBER(Raw_Data[[#This Row],[Units_Sold]]),Raw_Data[[#This Row],[Opening_Stock]]&gt;0),Raw_Data[[#This Row],[Units_Sold]]/Raw_Data[[#This Row],[Opening_Stock]],"")</f>
        <v>0.92359550561797754</v>
      </c>
      <c r="L724" t="str">
        <f>IF(NOT(ISNUMBER(Raw_Data[[#This Row],[Sell_through%]])),"Check",IF(Raw_Data[[#This Row],[Sell_through%]]=0,"Non-moving",IF(Raw_Data[[#This Row],[Sell_through%]]&gt;=0.6,"Fast","Slow")))</f>
        <v>Fast</v>
      </c>
      <c r="M724">
        <f>IF(AND(ISNUMBER(Raw_Data[[#This Row],[Closing_Stock]]),ISNUMBER(Raw_Data[[#This Row],[Unit_Cost]])),Raw_Data[[#This Row],[Closing_Stock]]*Raw_Data[[#This Row],[Unit_Cost]],"")</f>
        <v>65382</v>
      </c>
      <c r="N72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25" spans="1:14" x14ac:dyDescent="0.3">
      <c r="A725" t="s">
        <v>1057</v>
      </c>
      <c r="B725" t="s">
        <v>1343</v>
      </c>
      <c r="C725" t="s">
        <v>28</v>
      </c>
      <c r="D725" t="s">
        <v>13</v>
      </c>
      <c r="E725" s="3">
        <v>46238</v>
      </c>
      <c r="F725">
        <v>336</v>
      </c>
      <c r="G725">
        <v>283</v>
      </c>
      <c r="H725">
        <v>53</v>
      </c>
      <c r="I725">
        <v>1597</v>
      </c>
      <c r="J725" t="s">
        <v>17</v>
      </c>
      <c r="K725" s="4">
        <f>IF(AND(ISNUMBER(Raw_Data[[#This Row],[Opening_Stock]]),ISNUMBER(Raw_Data[[#This Row],[Units_Sold]]),Raw_Data[[#This Row],[Opening_Stock]]&gt;0),Raw_Data[[#This Row],[Units_Sold]]/Raw_Data[[#This Row],[Opening_Stock]],"")</f>
        <v>0.84226190476190477</v>
      </c>
      <c r="L725" t="str">
        <f>IF(NOT(ISNUMBER(Raw_Data[[#This Row],[Sell_through%]])),"Check",IF(Raw_Data[[#This Row],[Sell_through%]]=0,"Non-moving",IF(Raw_Data[[#This Row],[Sell_through%]]&gt;=0.6,"Fast","Slow")))</f>
        <v>Fast</v>
      </c>
      <c r="M725">
        <f>IF(AND(ISNUMBER(Raw_Data[[#This Row],[Closing_Stock]]),ISNUMBER(Raw_Data[[#This Row],[Unit_Cost]])),Raw_Data[[#This Row],[Closing_Stock]]*Raw_Data[[#This Row],[Unit_Cost]],"")</f>
        <v>84641</v>
      </c>
      <c r="N725"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26" spans="1:14" x14ac:dyDescent="0.3">
      <c r="A726" t="s">
        <v>1058</v>
      </c>
      <c r="B726" t="s">
        <v>224</v>
      </c>
      <c r="C726" t="s">
        <v>49</v>
      </c>
      <c r="D726" t="s">
        <v>21</v>
      </c>
      <c r="E726" s="3"/>
      <c r="F726">
        <v>63</v>
      </c>
      <c r="G726">
        <v>0</v>
      </c>
      <c r="H726">
        <v>63</v>
      </c>
      <c r="I726">
        <v>2933</v>
      </c>
      <c r="J726" t="s">
        <v>14</v>
      </c>
      <c r="K726" s="4">
        <f>IF(AND(ISNUMBER(Raw_Data[[#This Row],[Opening_Stock]]),ISNUMBER(Raw_Data[[#This Row],[Units_Sold]]),Raw_Data[[#This Row],[Opening_Stock]]&gt;0),Raw_Data[[#This Row],[Units_Sold]]/Raw_Data[[#This Row],[Opening_Stock]],"")</f>
        <v>0</v>
      </c>
      <c r="L726" t="str">
        <f>IF(NOT(ISNUMBER(Raw_Data[[#This Row],[Sell_through%]])),"Check",IF(Raw_Data[[#This Row],[Sell_through%]]=0,"Non-moving",IF(Raw_Data[[#This Row],[Sell_through%]]&gt;=0.6,"Fast","Slow")))</f>
        <v>Non-moving</v>
      </c>
      <c r="M726">
        <f>IF(AND(ISNUMBER(Raw_Data[[#This Row],[Closing_Stock]]),ISNUMBER(Raw_Data[[#This Row],[Unit_Cost]])),Raw_Data[[#This Row],[Closing_Stock]]*Raw_Data[[#This Row],[Unit_Cost]],"")</f>
        <v>184779</v>
      </c>
      <c r="N72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27" spans="1:14" x14ac:dyDescent="0.3">
      <c r="A727" t="s">
        <v>1059</v>
      </c>
      <c r="B727" t="s">
        <v>84</v>
      </c>
      <c r="C727" t="s">
        <v>28</v>
      </c>
      <c r="D727" t="s">
        <v>13</v>
      </c>
      <c r="E727" s="3"/>
      <c r="F727">
        <v>386</v>
      </c>
      <c r="G727">
        <v>0</v>
      </c>
      <c r="H727">
        <v>386</v>
      </c>
      <c r="I727">
        <v>2093</v>
      </c>
      <c r="J727" t="s">
        <v>14</v>
      </c>
      <c r="K727" s="4">
        <f>IF(AND(ISNUMBER(Raw_Data[[#This Row],[Opening_Stock]]),ISNUMBER(Raw_Data[[#This Row],[Units_Sold]]),Raw_Data[[#This Row],[Opening_Stock]]&gt;0),Raw_Data[[#This Row],[Units_Sold]]/Raw_Data[[#This Row],[Opening_Stock]],"")</f>
        <v>0</v>
      </c>
      <c r="L727" t="str">
        <f>IF(NOT(ISNUMBER(Raw_Data[[#This Row],[Sell_through%]])),"Check",IF(Raw_Data[[#This Row],[Sell_through%]]=0,"Non-moving",IF(Raw_Data[[#This Row],[Sell_through%]]&gt;=0.6,"Fast","Slow")))</f>
        <v>Non-moving</v>
      </c>
      <c r="M727">
        <f>IF(AND(ISNUMBER(Raw_Data[[#This Row],[Closing_Stock]]),ISNUMBER(Raw_Data[[#This Row],[Unit_Cost]])),Raw_Data[[#This Row],[Closing_Stock]]*Raw_Data[[#This Row],[Unit_Cost]],"")</f>
        <v>807898</v>
      </c>
      <c r="N72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28" spans="1:14" x14ac:dyDescent="0.3">
      <c r="A728" t="s">
        <v>1061</v>
      </c>
      <c r="B728" t="s">
        <v>198</v>
      </c>
      <c r="C728" t="s">
        <v>31</v>
      </c>
      <c r="D728" t="s">
        <v>36</v>
      </c>
      <c r="E728" s="3">
        <v>46134</v>
      </c>
      <c r="F728">
        <v>260</v>
      </c>
      <c r="G728">
        <v>78</v>
      </c>
      <c r="H728">
        <v>182</v>
      </c>
      <c r="I728">
        <v>1593</v>
      </c>
      <c r="J728" t="s">
        <v>14</v>
      </c>
      <c r="K728" s="4">
        <f>IF(AND(ISNUMBER(Raw_Data[[#This Row],[Opening_Stock]]),ISNUMBER(Raw_Data[[#This Row],[Units_Sold]]),Raw_Data[[#This Row],[Opening_Stock]]&gt;0),Raw_Data[[#This Row],[Units_Sold]]/Raw_Data[[#This Row],[Opening_Stock]],"")</f>
        <v>0.3</v>
      </c>
      <c r="L728" t="str">
        <f>IF(NOT(ISNUMBER(Raw_Data[[#This Row],[Sell_through%]])),"Check",IF(Raw_Data[[#This Row],[Sell_through%]]=0,"Non-moving",IF(Raw_Data[[#This Row],[Sell_through%]]&gt;=0.6,"Fast","Slow")))</f>
        <v>Slow</v>
      </c>
      <c r="M728">
        <f>IF(AND(ISNUMBER(Raw_Data[[#This Row],[Closing_Stock]]),ISNUMBER(Raw_Data[[#This Row],[Unit_Cost]])),Raw_Data[[#This Row],[Closing_Stock]]*Raw_Data[[#This Row],[Unit_Cost]],"")</f>
        <v>289926</v>
      </c>
      <c r="N72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29" spans="1:14" x14ac:dyDescent="0.3">
      <c r="A729" t="s">
        <v>1062</v>
      </c>
      <c r="B729" t="s">
        <v>84</v>
      </c>
      <c r="C729" t="s">
        <v>28</v>
      </c>
      <c r="D729" t="s">
        <v>21</v>
      </c>
      <c r="E729" s="3"/>
      <c r="F729">
        <v>125</v>
      </c>
      <c r="G729">
        <v>0</v>
      </c>
      <c r="H729">
        <v>125</v>
      </c>
      <c r="I729">
        <v>1537</v>
      </c>
      <c r="J729" t="s">
        <v>14</v>
      </c>
      <c r="K729" s="4">
        <f>IF(AND(ISNUMBER(Raw_Data[[#This Row],[Opening_Stock]]),ISNUMBER(Raw_Data[[#This Row],[Units_Sold]]),Raw_Data[[#This Row],[Opening_Stock]]&gt;0),Raw_Data[[#This Row],[Units_Sold]]/Raw_Data[[#This Row],[Opening_Stock]],"")</f>
        <v>0</v>
      </c>
      <c r="L729" t="str">
        <f>IF(NOT(ISNUMBER(Raw_Data[[#This Row],[Sell_through%]])),"Check",IF(Raw_Data[[#This Row],[Sell_through%]]=0,"Non-moving",IF(Raw_Data[[#This Row],[Sell_through%]]&gt;=0.6,"Fast","Slow")))</f>
        <v>Non-moving</v>
      </c>
      <c r="M729">
        <f>IF(AND(ISNUMBER(Raw_Data[[#This Row],[Closing_Stock]]),ISNUMBER(Raw_Data[[#This Row],[Unit_Cost]])),Raw_Data[[#This Row],[Closing_Stock]]*Raw_Data[[#This Row],[Unit_Cost]],"")</f>
        <v>192125</v>
      </c>
      <c r="N72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30" spans="1:14" x14ac:dyDescent="0.3">
      <c r="A730" t="s">
        <v>1063</v>
      </c>
      <c r="B730" t="s">
        <v>78</v>
      </c>
      <c r="C730" t="s">
        <v>35</v>
      </c>
      <c r="D730" t="s">
        <v>32</v>
      </c>
      <c r="E730" s="3"/>
      <c r="F730">
        <v>475</v>
      </c>
      <c r="G730">
        <v>0</v>
      </c>
      <c r="H730">
        <v>475</v>
      </c>
      <c r="I730">
        <v>680</v>
      </c>
      <c r="J730" t="s">
        <v>14</v>
      </c>
      <c r="K730" s="4">
        <f>IF(AND(ISNUMBER(Raw_Data[[#This Row],[Opening_Stock]]),ISNUMBER(Raw_Data[[#This Row],[Units_Sold]]),Raw_Data[[#This Row],[Opening_Stock]]&gt;0),Raw_Data[[#This Row],[Units_Sold]]/Raw_Data[[#This Row],[Opening_Stock]],"")</f>
        <v>0</v>
      </c>
      <c r="L730" t="str">
        <f>IF(NOT(ISNUMBER(Raw_Data[[#This Row],[Sell_through%]])),"Check",IF(Raw_Data[[#This Row],[Sell_through%]]=0,"Non-moving",IF(Raw_Data[[#This Row],[Sell_through%]]&gt;=0.6,"Fast","Slow")))</f>
        <v>Non-moving</v>
      </c>
      <c r="M730">
        <f>IF(AND(ISNUMBER(Raw_Data[[#This Row],[Closing_Stock]]),ISNUMBER(Raw_Data[[#This Row],[Unit_Cost]])),Raw_Data[[#This Row],[Closing_Stock]]*Raw_Data[[#This Row],[Unit_Cost]],"")</f>
        <v>323000</v>
      </c>
      <c r="N73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31" spans="1:14" x14ac:dyDescent="0.3">
      <c r="A731" t="s">
        <v>1065</v>
      </c>
      <c r="B731" t="s">
        <v>434</v>
      </c>
      <c r="C731" t="s">
        <v>31</v>
      </c>
      <c r="D731" t="s">
        <v>13</v>
      </c>
      <c r="E731" s="3">
        <v>46066</v>
      </c>
      <c r="F731">
        <v>203</v>
      </c>
      <c r="G731">
        <v>184</v>
      </c>
      <c r="H731">
        <v>19</v>
      </c>
      <c r="I731">
        <v>2132</v>
      </c>
      <c r="J731" t="s">
        <v>17</v>
      </c>
      <c r="K731" s="4">
        <f>IF(AND(ISNUMBER(Raw_Data[[#This Row],[Opening_Stock]]),ISNUMBER(Raw_Data[[#This Row],[Units_Sold]]),Raw_Data[[#This Row],[Opening_Stock]]&gt;0),Raw_Data[[#This Row],[Units_Sold]]/Raw_Data[[#This Row],[Opening_Stock]],"")</f>
        <v>0.90640394088669951</v>
      </c>
      <c r="L731" t="str">
        <f>IF(NOT(ISNUMBER(Raw_Data[[#This Row],[Sell_through%]])),"Check",IF(Raw_Data[[#This Row],[Sell_through%]]=0,"Non-moving",IF(Raw_Data[[#This Row],[Sell_through%]]&gt;=0.6,"Fast","Slow")))</f>
        <v>Fast</v>
      </c>
      <c r="M731">
        <f>IF(AND(ISNUMBER(Raw_Data[[#This Row],[Closing_Stock]]),ISNUMBER(Raw_Data[[#This Row],[Unit_Cost]])),Raw_Data[[#This Row],[Closing_Stock]]*Raw_Data[[#This Row],[Unit_Cost]],"")</f>
        <v>40508</v>
      </c>
      <c r="N73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32" spans="1:14" x14ac:dyDescent="0.3">
      <c r="A732" t="s">
        <v>1066</v>
      </c>
      <c r="B732" t="s">
        <v>562</v>
      </c>
      <c r="C732" t="s">
        <v>35</v>
      </c>
      <c r="D732" t="s">
        <v>21</v>
      </c>
      <c r="E732" s="3">
        <v>46291</v>
      </c>
      <c r="F732">
        <v>193</v>
      </c>
      <c r="G732">
        <v>157</v>
      </c>
      <c r="H732">
        <v>36</v>
      </c>
      <c r="I732">
        <v>502</v>
      </c>
      <c r="J732" t="s">
        <v>17</v>
      </c>
      <c r="K732" s="4">
        <f>IF(AND(ISNUMBER(Raw_Data[[#This Row],[Opening_Stock]]),ISNUMBER(Raw_Data[[#This Row],[Units_Sold]]),Raw_Data[[#This Row],[Opening_Stock]]&gt;0),Raw_Data[[#This Row],[Units_Sold]]/Raw_Data[[#This Row],[Opening_Stock]],"")</f>
        <v>0.81347150259067358</v>
      </c>
      <c r="L732" t="str">
        <f>IF(NOT(ISNUMBER(Raw_Data[[#This Row],[Sell_through%]])),"Check",IF(Raw_Data[[#This Row],[Sell_through%]]=0,"Non-moving",IF(Raw_Data[[#This Row],[Sell_through%]]&gt;=0.6,"Fast","Slow")))</f>
        <v>Fast</v>
      </c>
      <c r="M732">
        <f>IF(AND(ISNUMBER(Raw_Data[[#This Row],[Closing_Stock]]),ISNUMBER(Raw_Data[[#This Row],[Unit_Cost]])),Raw_Data[[#This Row],[Closing_Stock]]*Raw_Data[[#This Row],[Unit_Cost]],"")</f>
        <v>18072</v>
      </c>
      <c r="N732"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33" spans="1:14" x14ac:dyDescent="0.3">
      <c r="A733" t="s">
        <v>1067</v>
      </c>
      <c r="B733" t="s">
        <v>200</v>
      </c>
      <c r="C733" t="s">
        <v>35</v>
      </c>
      <c r="D733" t="s">
        <v>13</v>
      </c>
      <c r="E733" s="3"/>
      <c r="F733">
        <v>317</v>
      </c>
      <c r="G733">
        <v>5</v>
      </c>
      <c r="H733">
        <v>317</v>
      </c>
      <c r="I733">
        <v>1040</v>
      </c>
      <c r="J733" t="s">
        <v>14</v>
      </c>
      <c r="K733" s="4">
        <f>IF(AND(ISNUMBER(Raw_Data[[#This Row],[Opening_Stock]]),ISNUMBER(Raw_Data[[#This Row],[Units_Sold]]),Raw_Data[[#This Row],[Opening_Stock]]&gt;0),Raw_Data[[#This Row],[Units_Sold]]/Raw_Data[[#This Row],[Opening_Stock]],"")</f>
        <v>1.5772870662460567E-2</v>
      </c>
      <c r="L733" t="str">
        <f>IF(NOT(ISNUMBER(Raw_Data[[#This Row],[Sell_through%]])),"Check",IF(Raw_Data[[#This Row],[Sell_through%]]=0,"Non-moving",IF(Raw_Data[[#This Row],[Sell_through%]]&gt;=0.6,"Fast","Slow")))</f>
        <v>Slow</v>
      </c>
      <c r="M733">
        <f>IF(AND(ISNUMBER(Raw_Data[[#This Row],[Closing_Stock]]),ISNUMBER(Raw_Data[[#This Row],[Unit_Cost]])),Raw_Data[[#This Row],[Closing_Stock]]*Raw_Data[[#This Row],[Unit_Cost]],"")</f>
        <v>329680</v>
      </c>
      <c r="N73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34" spans="1:14" x14ac:dyDescent="0.3">
      <c r="A734" t="s">
        <v>1068</v>
      </c>
      <c r="B734" t="s">
        <v>308</v>
      </c>
      <c r="C734" t="s">
        <v>12</v>
      </c>
      <c r="D734" t="s">
        <v>13</v>
      </c>
      <c r="E734" s="3">
        <v>46047</v>
      </c>
      <c r="F734">
        <v>82</v>
      </c>
      <c r="G734">
        <v>76</v>
      </c>
      <c r="H734">
        <v>6</v>
      </c>
      <c r="I734">
        <v>1854</v>
      </c>
      <c r="J734" t="s">
        <v>17</v>
      </c>
      <c r="K734" s="4">
        <f>IF(AND(ISNUMBER(Raw_Data[[#This Row],[Opening_Stock]]),ISNUMBER(Raw_Data[[#This Row],[Units_Sold]]),Raw_Data[[#This Row],[Opening_Stock]]&gt;0),Raw_Data[[#This Row],[Units_Sold]]/Raw_Data[[#This Row],[Opening_Stock]],"")</f>
        <v>0.92682926829268297</v>
      </c>
      <c r="L734" t="str">
        <f>IF(NOT(ISNUMBER(Raw_Data[[#This Row],[Sell_through%]])),"Check",IF(Raw_Data[[#This Row],[Sell_through%]]=0,"Non-moving",IF(Raw_Data[[#This Row],[Sell_through%]]&gt;=0.6,"Fast","Slow")))</f>
        <v>Fast</v>
      </c>
      <c r="M734">
        <f>IF(AND(ISNUMBER(Raw_Data[[#This Row],[Closing_Stock]]),ISNUMBER(Raw_Data[[#This Row],[Unit_Cost]])),Raw_Data[[#This Row],[Closing_Stock]]*Raw_Data[[#This Row],[Unit_Cost]],"")</f>
        <v>11124</v>
      </c>
      <c r="N73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35" spans="1:14" x14ac:dyDescent="0.3">
      <c r="A735" t="s">
        <v>1069</v>
      </c>
      <c r="B735" t="s">
        <v>1342</v>
      </c>
      <c r="C735" t="s">
        <v>28</v>
      </c>
      <c r="D735" t="s">
        <v>21</v>
      </c>
      <c r="E735" s="3">
        <v>46081</v>
      </c>
      <c r="F735">
        <v>302</v>
      </c>
      <c r="G735">
        <v>277</v>
      </c>
      <c r="H735">
        <v>25</v>
      </c>
      <c r="I735">
        <v>1491</v>
      </c>
      <c r="J735" t="s">
        <v>17</v>
      </c>
      <c r="K735" s="4">
        <f>IF(AND(ISNUMBER(Raw_Data[[#This Row],[Opening_Stock]]),ISNUMBER(Raw_Data[[#This Row],[Units_Sold]]),Raw_Data[[#This Row],[Opening_Stock]]&gt;0),Raw_Data[[#This Row],[Units_Sold]]/Raw_Data[[#This Row],[Opening_Stock]],"")</f>
        <v>0.91721854304635764</v>
      </c>
      <c r="L735" t="str">
        <f>IF(NOT(ISNUMBER(Raw_Data[[#This Row],[Sell_through%]])),"Check",IF(Raw_Data[[#This Row],[Sell_through%]]=0,"Non-moving",IF(Raw_Data[[#This Row],[Sell_through%]]&gt;=0.6,"Fast","Slow")))</f>
        <v>Fast</v>
      </c>
      <c r="M735">
        <f>IF(AND(ISNUMBER(Raw_Data[[#This Row],[Closing_Stock]]),ISNUMBER(Raw_Data[[#This Row],[Unit_Cost]])),Raw_Data[[#This Row],[Closing_Stock]]*Raw_Data[[#This Row],[Unit_Cost]],"")</f>
        <v>37275</v>
      </c>
      <c r="N735"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36" spans="1:14" x14ac:dyDescent="0.3">
      <c r="A736" t="s">
        <v>1070</v>
      </c>
      <c r="B736" t="s">
        <v>23</v>
      </c>
      <c r="C736" t="s">
        <v>35</v>
      </c>
      <c r="D736" t="s">
        <v>21</v>
      </c>
      <c r="E736" s="3">
        <v>46127</v>
      </c>
      <c r="F736">
        <v>299</v>
      </c>
      <c r="G736">
        <v>47</v>
      </c>
      <c r="H736">
        <v>252</v>
      </c>
      <c r="I736">
        <v>1183</v>
      </c>
      <c r="J736" t="s">
        <v>14</v>
      </c>
      <c r="K736" s="4">
        <f>IF(AND(ISNUMBER(Raw_Data[[#This Row],[Opening_Stock]]),ISNUMBER(Raw_Data[[#This Row],[Units_Sold]]),Raw_Data[[#This Row],[Opening_Stock]]&gt;0),Raw_Data[[#This Row],[Units_Sold]]/Raw_Data[[#This Row],[Opening_Stock]],"")</f>
        <v>0.15719063545150502</v>
      </c>
      <c r="L736" t="str">
        <f>IF(NOT(ISNUMBER(Raw_Data[[#This Row],[Sell_through%]])),"Check",IF(Raw_Data[[#This Row],[Sell_through%]]=0,"Non-moving",IF(Raw_Data[[#This Row],[Sell_through%]]&gt;=0.6,"Fast","Slow")))</f>
        <v>Slow</v>
      </c>
      <c r="M736">
        <f>IF(AND(ISNUMBER(Raw_Data[[#This Row],[Closing_Stock]]),ISNUMBER(Raw_Data[[#This Row],[Unit_Cost]])),Raw_Data[[#This Row],[Closing_Stock]]*Raw_Data[[#This Row],[Unit_Cost]],"")</f>
        <v>298116</v>
      </c>
      <c r="N73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37" spans="1:14" x14ac:dyDescent="0.3">
      <c r="A737" t="s">
        <v>1071</v>
      </c>
      <c r="B737" t="s">
        <v>146</v>
      </c>
      <c r="C737" t="s">
        <v>35</v>
      </c>
      <c r="D737" t="s">
        <v>36</v>
      </c>
      <c r="E737" s="3"/>
      <c r="F737">
        <v>203</v>
      </c>
      <c r="G737">
        <v>0</v>
      </c>
      <c r="H737">
        <v>203</v>
      </c>
      <c r="I737">
        <v>2465</v>
      </c>
      <c r="J737" t="s">
        <v>14</v>
      </c>
      <c r="K737" s="4">
        <f>IF(AND(ISNUMBER(Raw_Data[[#This Row],[Opening_Stock]]),ISNUMBER(Raw_Data[[#This Row],[Units_Sold]]),Raw_Data[[#This Row],[Opening_Stock]]&gt;0),Raw_Data[[#This Row],[Units_Sold]]/Raw_Data[[#This Row],[Opening_Stock]],"")</f>
        <v>0</v>
      </c>
      <c r="L737" t="str">
        <f>IF(NOT(ISNUMBER(Raw_Data[[#This Row],[Sell_through%]])),"Check",IF(Raw_Data[[#This Row],[Sell_through%]]=0,"Non-moving",IF(Raw_Data[[#This Row],[Sell_through%]]&gt;=0.6,"Fast","Slow")))</f>
        <v>Non-moving</v>
      </c>
      <c r="M737">
        <f>IF(AND(ISNUMBER(Raw_Data[[#This Row],[Closing_Stock]]),ISNUMBER(Raw_Data[[#This Row],[Unit_Cost]])),Raw_Data[[#This Row],[Closing_Stock]]*Raw_Data[[#This Row],[Unit_Cost]],"")</f>
        <v>500395</v>
      </c>
      <c r="N73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38" spans="1:14" x14ac:dyDescent="0.3">
      <c r="A738" t="s">
        <v>1073</v>
      </c>
      <c r="B738" t="s">
        <v>243</v>
      </c>
      <c r="C738" t="s">
        <v>28</v>
      </c>
      <c r="D738" t="s">
        <v>13</v>
      </c>
      <c r="E738" s="3">
        <v>46055</v>
      </c>
      <c r="F738">
        <v>276</v>
      </c>
      <c r="G738">
        <v>93</v>
      </c>
      <c r="H738">
        <v>183</v>
      </c>
      <c r="I738">
        <v>1173</v>
      </c>
      <c r="J738" t="s">
        <v>14</v>
      </c>
      <c r="K738" s="4">
        <f>IF(AND(ISNUMBER(Raw_Data[[#This Row],[Opening_Stock]]),ISNUMBER(Raw_Data[[#This Row],[Units_Sold]]),Raw_Data[[#This Row],[Opening_Stock]]&gt;0),Raw_Data[[#This Row],[Units_Sold]]/Raw_Data[[#This Row],[Opening_Stock]],"")</f>
        <v>0.33695652173913043</v>
      </c>
      <c r="L738" t="str">
        <f>IF(NOT(ISNUMBER(Raw_Data[[#This Row],[Sell_through%]])),"Check",IF(Raw_Data[[#This Row],[Sell_through%]]=0,"Non-moving",IF(Raw_Data[[#This Row],[Sell_through%]]&gt;=0.6,"Fast","Slow")))</f>
        <v>Slow</v>
      </c>
      <c r="M738">
        <f>IF(AND(ISNUMBER(Raw_Data[[#This Row],[Closing_Stock]]),ISNUMBER(Raw_Data[[#This Row],[Unit_Cost]])),Raw_Data[[#This Row],[Closing_Stock]]*Raw_Data[[#This Row],[Unit_Cost]],"")</f>
        <v>214659</v>
      </c>
      <c r="N73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39" spans="1:14" x14ac:dyDescent="0.3">
      <c r="A739" t="s">
        <v>1074</v>
      </c>
      <c r="B739" t="s">
        <v>158</v>
      </c>
      <c r="C739" t="s">
        <v>31</v>
      </c>
      <c r="D739" t="s">
        <v>36</v>
      </c>
      <c r="E739" s="3"/>
      <c r="F739">
        <v>99</v>
      </c>
      <c r="G739">
        <v>0</v>
      </c>
      <c r="H739">
        <v>99</v>
      </c>
      <c r="I739">
        <v>1923</v>
      </c>
      <c r="J739" t="s">
        <v>14</v>
      </c>
      <c r="K739" s="4">
        <f>IF(AND(ISNUMBER(Raw_Data[[#This Row],[Opening_Stock]]),ISNUMBER(Raw_Data[[#This Row],[Units_Sold]]),Raw_Data[[#This Row],[Opening_Stock]]&gt;0),Raw_Data[[#This Row],[Units_Sold]]/Raw_Data[[#This Row],[Opening_Stock]],"")</f>
        <v>0</v>
      </c>
      <c r="L739" t="str">
        <f>IF(NOT(ISNUMBER(Raw_Data[[#This Row],[Sell_through%]])),"Check",IF(Raw_Data[[#This Row],[Sell_through%]]=0,"Non-moving",IF(Raw_Data[[#This Row],[Sell_through%]]&gt;=0.6,"Fast","Slow")))</f>
        <v>Non-moving</v>
      </c>
      <c r="M739">
        <f>IF(AND(ISNUMBER(Raw_Data[[#This Row],[Closing_Stock]]),ISNUMBER(Raw_Data[[#This Row],[Unit_Cost]])),Raw_Data[[#This Row],[Closing_Stock]]*Raw_Data[[#This Row],[Unit_Cost]],"")</f>
        <v>190377</v>
      </c>
      <c r="N73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40" spans="1:14" x14ac:dyDescent="0.3">
      <c r="A740" t="s">
        <v>1075</v>
      </c>
      <c r="B740" t="s">
        <v>78</v>
      </c>
      <c r="C740" t="s">
        <v>35</v>
      </c>
      <c r="D740" t="s">
        <v>32</v>
      </c>
      <c r="E740" s="3"/>
      <c r="F740">
        <v>372</v>
      </c>
      <c r="G740">
        <v>0</v>
      </c>
      <c r="H740">
        <v>372</v>
      </c>
      <c r="I740">
        <v>2792</v>
      </c>
      <c r="J740" t="s">
        <v>14</v>
      </c>
      <c r="K740" s="4">
        <f>IF(AND(ISNUMBER(Raw_Data[[#This Row],[Opening_Stock]]),ISNUMBER(Raw_Data[[#This Row],[Units_Sold]]),Raw_Data[[#This Row],[Opening_Stock]]&gt;0),Raw_Data[[#This Row],[Units_Sold]]/Raw_Data[[#This Row],[Opening_Stock]],"")</f>
        <v>0</v>
      </c>
      <c r="L740" t="str">
        <f>IF(NOT(ISNUMBER(Raw_Data[[#This Row],[Sell_through%]])),"Check",IF(Raw_Data[[#This Row],[Sell_through%]]=0,"Non-moving",IF(Raw_Data[[#This Row],[Sell_through%]]&gt;=0.6,"Fast","Slow")))</f>
        <v>Non-moving</v>
      </c>
      <c r="M740">
        <f>IF(AND(ISNUMBER(Raw_Data[[#This Row],[Closing_Stock]]),ISNUMBER(Raw_Data[[#This Row],[Unit_Cost]])),Raw_Data[[#This Row],[Closing_Stock]]*Raw_Data[[#This Row],[Unit_Cost]],"")</f>
        <v>1038624</v>
      </c>
      <c r="N74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41" spans="1:14" x14ac:dyDescent="0.3">
      <c r="A741" t="s">
        <v>1077</v>
      </c>
      <c r="B741" t="s">
        <v>19</v>
      </c>
      <c r="C741" t="s">
        <v>28</v>
      </c>
      <c r="D741" t="s">
        <v>32</v>
      </c>
      <c r="E741" s="3">
        <v>46192</v>
      </c>
      <c r="F741">
        <v>74</v>
      </c>
      <c r="G741">
        <v>61</v>
      </c>
      <c r="H741">
        <v>13</v>
      </c>
      <c r="I741">
        <v>265</v>
      </c>
      <c r="J741" t="s">
        <v>17</v>
      </c>
      <c r="K741" s="4">
        <f>IF(AND(ISNUMBER(Raw_Data[[#This Row],[Opening_Stock]]),ISNUMBER(Raw_Data[[#This Row],[Units_Sold]]),Raw_Data[[#This Row],[Opening_Stock]]&gt;0),Raw_Data[[#This Row],[Units_Sold]]/Raw_Data[[#This Row],[Opening_Stock]],"")</f>
        <v>0.82432432432432434</v>
      </c>
      <c r="L741" t="str">
        <f>IF(NOT(ISNUMBER(Raw_Data[[#This Row],[Sell_through%]])),"Check",IF(Raw_Data[[#This Row],[Sell_through%]]=0,"Non-moving",IF(Raw_Data[[#This Row],[Sell_through%]]&gt;=0.6,"Fast","Slow")))</f>
        <v>Fast</v>
      </c>
      <c r="M741">
        <f>IF(AND(ISNUMBER(Raw_Data[[#This Row],[Closing_Stock]]),ISNUMBER(Raw_Data[[#This Row],[Unit_Cost]])),Raw_Data[[#This Row],[Closing_Stock]]*Raw_Data[[#This Row],[Unit_Cost]],"")</f>
        <v>3445</v>
      </c>
      <c r="N74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42" spans="1:14" x14ac:dyDescent="0.3">
      <c r="A742" t="s">
        <v>1078</v>
      </c>
      <c r="B742" t="s">
        <v>105</v>
      </c>
      <c r="C742" t="s">
        <v>28</v>
      </c>
      <c r="D742" t="s">
        <v>13</v>
      </c>
      <c r="E742" s="3">
        <v>46166</v>
      </c>
      <c r="F742">
        <v>101</v>
      </c>
      <c r="G742">
        <v>90</v>
      </c>
      <c r="H742">
        <v>11</v>
      </c>
      <c r="I742">
        <v>1134</v>
      </c>
      <c r="K742" s="4">
        <f>IF(AND(ISNUMBER(Raw_Data[[#This Row],[Opening_Stock]]),ISNUMBER(Raw_Data[[#This Row],[Units_Sold]]),Raw_Data[[#This Row],[Opening_Stock]]&gt;0),Raw_Data[[#This Row],[Units_Sold]]/Raw_Data[[#This Row],[Opening_Stock]],"")</f>
        <v>0.8910891089108911</v>
      </c>
      <c r="L742" t="str">
        <f>IF(NOT(ISNUMBER(Raw_Data[[#This Row],[Sell_through%]])),"Check",IF(Raw_Data[[#This Row],[Sell_through%]]=0,"Non-moving",IF(Raw_Data[[#This Row],[Sell_through%]]&gt;=0.6,"Fast","Slow")))</f>
        <v>Fast</v>
      </c>
      <c r="M742">
        <f>IF(AND(ISNUMBER(Raw_Data[[#This Row],[Closing_Stock]]),ISNUMBER(Raw_Data[[#This Row],[Unit_Cost]])),Raw_Data[[#This Row],[Closing_Stock]]*Raw_Data[[#This Row],[Unit_Cost]],"")</f>
        <v>12474</v>
      </c>
      <c r="N742"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743" spans="1:14" x14ac:dyDescent="0.3">
      <c r="A743" t="s">
        <v>1079</v>
      </c>
      <c r="B743" t="s">
        <v>200</v>
      </c>
      <c r="C743" t="s">
        <v>35</v>
      </c>
      <c r="D743" t="s">
        <v>21</v>
      </c>
      <c r="E743" s="3"/>
      <c r="F743">
        <v>392</v>
      </c>
      <c r="G743">
        <v>0</v>
      </c>
      <c r="H743">
        <v>392</v>
      </c>
      <c r="I743">
        <v>157</v>
      </c>
      <c r="J743" t="s">
        <v>14</v>
      </c>
      <c r="K743" s="4">
        <f>IF(AND(ISNUMBER(Raw_Data[[#This Row],[Opening_Stock]]),ISNUMBER(Raw_Data[[#This Row],[Units_Sold]]),Raw_Data[[#This Row],[Opening_Stock]]&gt;0),Raw_Data[[#This Row],[Units_Sold]]/Raw_Data[[#This Row],[Opening_Stock]],"")</f>
        <v>0</v>
      </c>
      <c r="L743" t="str">
        <f>IF(NOT(ISNUMBER(Raw_Data[[#This Row],[Sell_through%]])),"Check",IF(Raw_Data[[#This Row],[Sell_through%]]=0,"Non-moving",IF(Raw_Data[[#This Row],[Sell_through%]]&gt;=0.6,"Fast","Slow")))</f>
        <v>Non-moving</v>
      </c>
      <c r="M743">
        <f>IF(AND(ISNUMBER(Raw_Data[[#This Row],[Closing_Stock]]),ISNUMBER(Raw_Data[[#This Row],[Unit_Cost]])),Raw_Data[[#This Row],[Closing_Stock]]*Raw_Data[[#This Row],[Unit_Cost]],"")</f>
        <v>61544</v>
      </c>
      <c r="N74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44" spans="1:14" x14ac:dyDescent="0.3">
      <c r="A744" t="s">
        <v>1080</v>
      </c>
      <c r="B744" t="s">
        <v>11</v>
      </c>
      <c r="C744" t="s">
        <v>12</v>
      </c>
      <c r="D744" t="s">
        <v>32</v>
      </c>
      <c r="E744" s="3"/>
      <c r="F744">
        <v>334</v>
      </c>
      <c r="G744">
        <v>0</v>
      </c>
      <c r="H744">
        <v>334</v>
      </c>
      <c r="I744">
        <v>2072</v>
      </c>
      <c r="J744" t="s">
        <v>14</v>
      </c>
      <c r="K744" s="4">
        <f>IF(AND(ISNUMBER(Raw_Data[[#This Row],[Opening_Stock]]),ISNUMBER(Raw_Data[[#This Row],[Units_Sold]]),Raw_Data[[#This Row],[Opening_Stock]]&gt;0),Raw_Data[[#This Row],[Units_Sold]]/Raw_Data[[#This Row],[Opening_Stock]],"")</f>
        <v>0</v>
      </c>
      <c r="L744" t="str">
        <f>IF(NOT(ISNUMBER(Raw_Data[[#This Row],[Sell_through%]])),"Check",IF(Raw_Data[[#This Row],[Sell_through%]]=0,"Non-moving",IF(Raw_Data[[#This Row],[Sell_through%]]&gt;=0.6,"Fast","Slow")))</f>
        <v>Non-moving</v>
      </c>
      <c r="M744">
        <f>IF(AND(ISNUMBER(Raw_Data[[#This Row],[Closing_Stock]]),ISNUMBER(Raw_Data[[#This Row],[Unit_Cost]])),Raw_Data[[#This Row],[Closing_Stock]]*Raw_Data[[#This Row],[Unit_Cost]],"")</f>
        <v>692048</v>
      </c>
      <c r="N74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45" spans="1:14" x14ac:dyDescent="0.3">
      <c r="A745" t="s">
        <v>1081</v>
      </c>
      <c r="B745" t="s">
        <v>224</v>
      </c>
      <c r="C745" t="s">
        <v>49</v>
      </c>
      <c r="D745" t="s">
        <v>13</v>
      </c>
      <c r="E745" s="3"/>
      <c r="F745">
        <v>156</v>
      </c>
      <c r="G745">
        <v>0</v>
      </c>
      <c r="H745">
        <v>156</v>
      </c>
      <c r="I745">
        <v>2489</v>
      </c>
      <c r="J745" t="s">
        <v>14</v>
      </c>
      <c r="K745" s="4">
        <f>IF(AND(ISNUMBER(Raw_Data[[#This Row],[Opening_Stock]]),ISNUMBER(Raw_Data[[#This Row],[Units_Sold]]),Raw_Data[[#This Row],[Opening_Stock]]&gt;0),Raw_Data[[#This Row],[Units_Sold]]/Raw_Data[[#This Row],[Opening_Stock]],"")</f>
        <v>0</v>
      </c>
      <c r="L745" t="str">
        <f>IF(NOT(ISNUMBER(Raw_Data[[#This Row],[Sell_through%]])),"Check",IF(Raw_Data[[#This Row],[Sell_through%]]=0,"Non-moving",IF(Raw_Data[[#This Row],[Sell_through%]]&gt;=0.6,"Fast","Slow")))</f>
        <v>Non-moving</v>
      </c>
      <c r="M745">
        <f>IF(AND(ISNUMBER(Raw_Data[[#This Row],[Closing_Stock]]),ISNUMBER(Raw_Data[[#This Row],[Unit_Cost]])),Raw_Data[[#This Row],[Closing_Stock]]*Raw_Data[[#This Row],[Unit_Cost]],"")</f>
        <v>388284</v>
      </c>
      <c r="N74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46" spans="1:14" x14ac:dyDescent="0.3">
      <c r="A746" t="s">
        <v>1082</v>
      </c>
      <c r="B746" t="s">
        <v>479</v>
      </c>
      <c r="C746" t="s">
        <v>31</v>
      </c>
      <c r="D746" t="s">
        <v>21</v>
      </c>
      <c r="E746" s="3">
        <v>46245</v>
      </c>
      <c r="F746">
        <v>87</v>
      </c>
      <c r="G746">
        <v>21</v>
      </c>
      <c r="H746">
        <v>66</v>
      </c>
      <c r="I746">
        <v>1870</v>
      </c>
      <c r="J746" t="s">
        <v>14</v>
      </c>
      <c r="K746" s="4">
        <f>IF(AND(ISNUMBER(Raw_Data[[#This Row],[Opening_Stock]]),ISNUMBER(Raw_Data[[#This Row],[Units_Sold]]),Raw_Data[[#This Row],[Opening_Stock]]&gt;0),Raw_Data[[#This Row],[Units_Sold]]/Raw_Data[[#This Row],[Opening_Stock]],"")</f>
        <v>0.2413793103448276</v>
      </c>
      <c r="L746" t="str">
        <f>IF(NOT(ISNUMBER(Raw_Data[[#This Row],[Sell_through%]])),"Check",IF(Raw_Data[[#This Row],[Sell_through%]]=0,"Non-moving",IF(Raw_Data[[#This Row],[Sell_through%]]&gt;=0.6,"Fast","Slow")))</f>
        <v>Slow</v>
      </c>
      <c r="M746">
        <f>IF(AND(ISNUMBER(Raw_Data[[#This Row],[Closing_Stock]]),ISNUMBER(Raw_Data[[#This Row],[Unit_Cost]])),Raw_Data[[#This Row],[Closing_Stock]]*Raw_Data[[#This Row],[Unit_Cost]],"")</f>
        <v>123420</v>
      </c>
      <c r="N74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47" spans="1:14" x14ac:dyDescent="0.3">
      <c r="A747" t="s">
        <v>1083</v>
      </c>
      <c r="B747" t="s">
        <v>136</v>
      </c>
      <c r="C747" t="s">
        <v>35</v>
      </c>
      <c r="D747" t="s">
        <v>13</v>
      </c>
      <c r="E747" s="3">
        <v>46147</v>
      </c>
      <c r="F747">
        <v>200</v>
      </c>
      <c r="G747">
        <v>153</v>
      </c>
      <c r="H747">
        <v>47</v>
      </c>
      <c r="I747">
        <v>1028</v>
      </c>
      <c r="J747" t="s">
        <v>17</v>
      </c>
      <c r="K747" s="4">
        <f>IF(AND(ISNUMBER(Raw_Data[[#This Row],[Opening_Stock]]),ISNUMBER(Raw_Data[[#This Row],[Units_Sold]]),Raw_Data[[#This Row],[Opening_Stock]]&gt;0),Raw_Data[[#This Row],[Units_Sold]]/Raw_Data[[#This Row],[Opening_Stock]],"")</f>
        <v>0.76500000000000001</v>
      </c>
      <c r="L747" t="str">
        <f>IF(NOT(ISNUMBER(Raw_Data[[#This Row],[Sell_through%]])),"Check",IF(Raw_Data[[#This Row],[Sell_through%]]=0,"Non-moving",IF(Raw_Data[[#This Row],[Sell_through%]]&gt;=0.6,"Fast","Slow")))</f>
        <v>Fast</v>
      </c>
      <c r="M747">
        <f>IF(AND(ISNUMBER(Raw_Data[[#This Row],[Closing_Stock]]),ISNUMBER(Raw_Data[[#This Row],[Unit_Cost]])),Raw_Data[[#This Row],[Closing_Stock]]*Raw_Data[[#This Row],[Unit_Cost]],"")</f>
        <v>48316</v>
      </c>
      <c r="N74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48" spans="1:14" x14ac:dyDescent="0.3">
      <c r="A748" t="s">
        <v>1084</v>
      </c>
      <c r="B748" t="s">
        <v>240</v>
      </c>
      <c r="C748" t="s">
        <v>49</v>
      </c>
      <c r="D748" t="s">
        <v>13</v>
      </c>
      <c r="E748" s="3">
        <v>46206</v>
      </c>
      <c r="F748">
        <v>383</v>
      </c>
      <c r="G748">
        <v>129</v>
      </c>
      <c r="H748">
        <v>254</v>
      </c>
      <c r="I748">
        <v>889</v>
      </c>
      <c r="J748" t="s">
        <v>14</v>
      </c>
      <c r="K748" s="4">
        <f>IF(AND(ISNUMBER(Raw_Data[[#This Row],[Opening_Stock]]),ISNUMBER(Raw_Data[[#This Row],[Units_Sold]]),Raw_Data[[#This Row],[Opening_Stock]]&gt;0),Raw_Data[[#This Row],[Units_Sold]]/Raw_Data[[#This Row],[Opening_Stock]],"")</f>
        <v>0.33681462140992169</v>
      </c>
      <c r="L748" t="str">
        <f>IF(NOT(ISNUMBER(Raw_Data[[#This Row],[Sell_through%]])),"Check",IF(Raw_Data[[#This Row],[Sell_through%]]=0,"Non-moving",IF(Raw_Data[[#This Row],[Sell_through%]]&gt;=0.6,"Fast","Slow")))</f>
        <v>Slow</v>
      </c>
      <c r="M748">
        <f>IF(AND(ISNUMBER(Raw_Data[[#This Row],[Closing_Stock]]),ISNUMBER(Raw_Data[[#This Row],[Unit_Cost]])),Raw_Data[[#This Row],[Closing_Stock]]*Raw_Data[[#This Row],[Unit_Cost]],"")</f>
        <v>225806</v>
      </c>
      <c r="N74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49" spans="1:14" x14ac:dyDescent="0.3">
      <c r="A749" t="s">
        <v>1085</v>
      </c>
      <c r="B749" t="s">
        <v>1343</v>
      </c>
      <c r="C749" t="s">
        <v>28</v>
      </c>
      <c r="D749" t="s">
        <v>36</v>
      </c>
      <c r="E749" s="3">
        <v>46063</v>
      </c>
      <c r="F749">
        <v>297</v>
      </c>
      <c r="G749">
        <v>259</v>
      </c>
      <c r="H749">
        <v>38</v>
      </c>
      <c r="I749">
        <v>1498</v>
      </c>
      <c r="J749" t="s">
        <v>17</v>
      </c>
      <c r="K749" s="4">
        <f>IF(AND(ISNUMBER(Raw_Data[[#This Row],[Opening_Stock]]),ISNUMBER(Raw_Data[[#This Row],[Units_Sold]]),Raw_Data[[#This Row],[Opening_Stock]]&gt;0),Raw_Data[[#This Row],[Units_Sold]]/Raw_Data[[#This Row],[Opening_Stock]],"")</f>
        <v>0.87205387205387208</v>
      </c>
      <c r="L749" t="str">
        <f>IF(NOT(ISNUMBER(Raw_Data[[#This Row],[Sell_through%]])),"Check",IF(Raw_Data[[#This Row],[Sell_through%]]=0,"Non-moving",IF(Raw_Data[[#This Row],[Sell_through%]]&gt;=0.6,"Fast","Slow")))</f>
        <v>Fast</v>
      </c>
      <c r="M749">
        <f>IF(AND(ISNUMBER(Raw_Data[[#This Row],[Closing_Stock]]),ISNUMBER(Raw_Data[[#This Row],[Unit_Cost]])),Raw_Data[[#This Row],[Closing_Stock]]*Raw_Data[[#This Row],[Unit_Cost]],"")</f>
        <v>56924</v>
      </c>
      <c r="N74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50" spans="1:14" x14ac:dyDescent="0.3">
      <c r="A750" t="s">
        <v>1086</v>
      </c>
      <c r="B750" t="s">
        <v>124</v>
      </c>
      <c r="C750" t="s">
        <v>28</v>
      </c>
      <c r="D750" t="s">
        <v>13</v>
      </c>
      <c r="E750" s="3">
        <v>46187</v>
      </c>
      <c r="F750">
        <v>354</v>
      </c>
      <c r="G750">
        <v>294</v>
      </c>
      <c r="H750">
        <v>60</v>
      </c>
      <c r="I750">
        <v>756</v>
      </c>
      <c r="J750" t="s">
        <v>14</v>
      </c>
      <c r="K750" s="4">
        <f>IF(AND(ISNUMBER(Raw_Data[[#This Row],[Opening_Stock]]),ISNUMBER(Raw_Data[[#This Row],[Units_Sold]]),Raw_Data[[#This Row],[Opening_Stock]]&gt;0),Raw_Data[[#This Row],[Units_Sold]]/Raw_Data[[#This Row],[Opening_Stock]],"")</f>
        <v>0.83050847457627119</v>
      </c>
      <c r="L750" t="str">
        <f>IF(NOT(ISNUMBER(Raw_Data[[#This Row],[Sell_through%]])),"Check",IF(Raw_Data[[#This Row],[Sell_through%]]=0,"Non-moving",IF(Raw_Data[[#This Row],[Sell_through%]]&gt;=0.6,"Fast","Slow")))</f>
        <v>Fast</v>
      </c>
      <c r="M750">
        <f>IF(AND(ISNUMBER(Raw_Data[[#This Row],[Closing_Stock]]),ISNUMBER(Raw_Data[[#This Row],[Unit_Cost]])),Raw_Data[[#This Row],[Closing_Stock]]*Raw_Data[[#This Row],[Unit_Cost]],"")</f>
        <v>45360</v>
      </c>
      <c r="N750"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751" spans="1:14" x14ac:dyDescent="0.3">
      <c r="A751" t="s">
        <v>1088</v>
      </c>
      <c r="B751" t="s">
        <v>131</v>
      </c>
      <c r="C751" t="s">
        <v>49</v>
      </c>
      <c r="D751" t="s">
        <v>13</v>
      </c>
      <c r="E751" s="3"/>
      <c r="F751">
        <v>157</v>
      </c>
      <c r="G751">
        <v>0</v>
      </c>
      <c r="H751">
        <v>157</v>
      </c>
      <c r="I751">
        <v>1638</v>
      </c>
      <c r="J751" t="s">
        <v>14</v>
      </c>
      <c r="K751" s="4">
        <f>IF(AND(ISNUMBER(Raw_Data[[#This Row],[Opening_Stock]]),ISNUMBER(Raw_Data[[#This Row],[Units_Sold]]),Raw_Data[[#This Row],[Opening_Stock]]&gt;0),Raw_Data[[#This Row],[Units_Sold]]/Raw_Data[[#This Row],[Opening_Stock]],"")</f>
        <v>0</v>
      </c>
      <c r="L751" t="str">
        <f>IF(NOT(ISNUMBER(Raw_Data[[#This Row],[Sell_through%]])),"Check",IF(Raw_Data[[#This Row],[Sell_through%]]=0,"Non-moving",IF(Raw_Data[[#This Row],[Sell_through%]]&gt;=0.6,"Fast","Slow")))</f>
        <v>Non-moving</v>
      </c>
      <c r="M751">
        <f>IF(AND(ISNUMBER(Raw_Data[[#This Row],[Closing_Stock]]),ISNUMBER(Raw_Data[[#This Row],[Unit_Cost]])),Raw_Data[[#This Row],[Closing_Stock]]*Raw_Data[[#This Row],[Unit_Cost]],"")</f>
        <v>257166</v>
      </c>
      <c r="N75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52" spans="1:14" x14ac:dyDescent="0.3">
      <c r="A752" t="s">
        <v>1089</v>
      </c>
      <c r="B752" t="s">
        <v>27</v>
      </c>
      <c r="C752" t="s">
        <v>28</v>
      </c>
      <c r="D752" t="s">
        <v>13</v>
      </c>
      <c r="E752" s="3">
        <v>46061</v>
      </c>
      <c r="F752">
        <v>149</v>
      </c>
      <c r="G752">
        <v>24</v>
      </c>
      <c r="H752">
        <v>125</v>
      </c>
      <c r="I752">
        <v>746</v>
      </c>
      <c r="J752" t="s">
        <v>14</v>
      </c>
      <c r="K752" s="4">
        <f>IF(AND(ISNUMBER(Raw_Data[[#This Row],[Opening_Stock]]),ISNUMBER(Raw_Data[[#This Row],[Units_Sold]]),Raw_Data[[#This Row],[Opening_Stock]]&gt;0),Raw_Data[[#This Row],[Units_Sold]]/Raw_Data[[#This Row],[Opening_Stock]],"")</f>
        <v>0.16107382550335569</v>
      </c>
      <c r="L752" t="str">
        <f>IF(NOT(ISNUMBER(Raw_Data[[#This Row],[Sell_through%]])),"Check",IF(Raw_Data[[#This Row],[Sell_through%]]=0,"Non-moving",IF(Raw_Data[[#This Row],[Sell_through%]]&gt;=0.6,"Fast","Slow")))</f>
        <v>Slow</v>
      </c>
      <c r="M752">
        <f>IF(AND(ISNUMBER(Raw_Data[[#This Row],[Closing_Stock]]),ISNUMBER(Raw_Data[[#This Row],[Unit_Cost]])),Raw_Data[[#This Row],[Closing_Stock]]*Raw_Data[[#This Row],[Unit_Cost]],"")</f>
        <v>93250</v>
      </c>
      <c r="N75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53" spans="1:14" x14ac:dyDescent="0.3">
      <c r="A753" t="s">
        <v>1090</v>
      </c>
      <c r="B753" t="s">
        <v>177</v>
      </c>
      <c r="C753" t="s">
        <v>31</v>
      </c>
      <c r="D753" t="s">
        <v>32</v>
      </c>
      <c r="E753" s="3">
        <v>46289</v>
      </c>
      <c r="F753">
        <v>322</v>
      </c>
      <c r="G753">
        <v>321</v>
      </c>
      <c r="H753">
        <v>1</v>
      </c>
      <c r="I753">
        <v>1442</v>
      </c>
      <c r="J753" t="s">
        <v>17</v>
      </c>
      <c r="K753" s="4">
        <f>IF(AND(ISNUMBER(Raw_Data[[#This Row],[Opening_Stock]]),ISNUMBER(Raw_Data[[#This Row],[Units_Sold]]),Raw_Data[[#This Row],[Opening_Stock]]&gt;0),Raw_Data[[#This Row],[Units_Sold]]/Raw_Data[[#This Row],[Opening_Stock]],"")</f>
        <v>0.99689440993788825</v>
      </c>
      <c r="L753" t="str">
        <f>IF(NOT(ISNUMBER(Raw_Data[[#This Row],[Sell_through%]])),"Check",IF(Raw_Data[[#This Row],[Sell_through%]]=0,"Non-moving",IF(Raw_Data[[#This Row],[Sell_through%]]&gt;=0.6,"Fast","Slow")))</f>
        <v>Fast</v>
      </c>
      <c r="M753">
        <f>IF(AND(ISNUMBER(Raw_Data[[#This Row],[Closing_Stock]]),ISNUMBER(Raw_Data[[#This Row],[Unit_Cost]])),Raw_Data[[#This Row],[Closing_Stock]]*Raw_Data[[#This Row],[Unit_Cost]],"")</f>
        <v>1442</v>
      </c>
      <c r="N753"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54" spans="1:14" x14ac:dyDescent="0.3">
      <c r="A754" t="s">
        <v>1091</v>
      </c>
      <c r="B754" t="s">
        <v>95</v>
      </c>
      <c r="C754" t="s">
        <v>31</v>
      </c>
      <c r="D754" t="s">
        <v>36</v>
      </c>
      <c r="E754" s="3">
        <v>46177</v>
      </c>
      <c r="F754">
        <v>400</v>
      </c>
      <c r="G754">
        <v>393</v>
      </c>
      <c r="H754">
        <v>7</v>
      </c>
      <c r="I754">
        <v>779</v>
      </c>
      <c r="J754" t="s">
        <v>17</v>
      </c>
      <c r="K754" s="4">
        <f>IF(AND(ISNUMBER(Raw_Data[[#This Row],[Opening_Stock]]),ISNUMBER(Raw_Data[[#This Row],[Units_Sold]]),Raw_Data[[#This Row],[Opening_Stock]]&gt;0),Raw_Data[[#This Row],[Units_Sold]]/Raw_Data[[#This Row],[Opening_Stock]],"")</f>
        <v>0.98250000000000004</v>
      </c>
      <c r="L754" t="str">
        <f>IF(NOT(ISNUMBER(Raw_Data[[#This Row],[Sell_through%]])),"Check",IF(Raw_Data[[#This Row],[Sell_through%]]=0,"Non-moving",IF(Raw_Data[[#This Row],[Sell_through%]]&gt;=0.6,"Fast","Slow")))</f>
        <v>Fast</v>
      </c>
      <c r="M754">
        <f>IF(AND(ISNUMBER(Raw_Data[[#This Row],[Closing_Stock]]),ISNUMBER(Raw_Data[[#This Row],[Unit_Cost]])),Raw_Data[[#This Row],[Closing_Stock]]*Raw_Data[[#This Row],[Unit_Cost]],"")</f>
        <v>5453</v>
      </c>
      <c r="N75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55" spans="1:14" x14ac:dyDescent="0.3">
      <c r="A755" t="s">
        <v>1092</v>
      </c>
      <c r="B755" t="s">
        <v>1342</v>
      </c>
      <c r="C755" t="s">
        <v>28</v>
      </c>
      <c r="D755" t="s">
        <v>32</v>
      </c>
      <c r="E755" s="3">
        <v>46086</v>
      </c>
      <c r="F755">
        <v>440</v>
      </c>
      <c r="G755">
        <v>57</v>
      </c>
      <c r="H755">
        <v>383</v>
      </c>
      <c r="I755">
        <v>1722</v>
      </c>
      <c r="J755" t="s">
        <v>14</v>
      </c>
      <c r="K755" s="4">
        <f>IF(AND(ISNUMBER(Raw_Data[[#This Row],[Opening_Stock]]),ISNUMBER(Raw_Data[[#This Row],[Units_Sold]]),Raw_Data[[#This Row],[Opening_Stock]]&gt;0),Raw_Data[[#This Row],[Units_Sold]]/Raw_Data[[#This Row],[Opening_Stock]],"")</f>
        <v>0.12954545454545455</v>
      </c>
      <c r="L755" t="str">
        <f>IF(NOT(ISNUMBER(Raw_Data[[#This Row],[Sell_through%]])),"Check",IF(Raw_Data[[#This Row],[Sell_through%]]=0,"Non-moving",IF(Raw_Data[[#This Row],[Sell_through%]]&gt;=0.6,"Fast","Slow")))</f>
        <v>Slow</v>
      </c>
      <c r="M755">
        <f>IF(AND(ISNUMBER(Raw_Data[[#This Row],[Closing_Stock]]),ISNUMBER(Raw_Data[[#This Row],[Unit_Cost]])),Raw_Data[[#This Row],[Closing_Stock]]*Raw_Data[[#This Row],[Unit_Cost]],"")</f>
        <v>659526</v>
      </c>
      <c r="N75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56" spans="1:14" x14ac:dyDescent="0.3">
      <c r="A756" t="s">
        <v>1094</v>
      </c>
      <c r="B756" t="s">
        <v>422</v>
      </c>
      <c r="C756" t="s">
        <v>12</v>
      </c>
      <c r="D756" t="s">
        <v>13</v>
      </c>
      <c r="E756" s="3">
        <v>46287</v>
      </c>
      <c r="F756">
        <v>74</v>
      </c>
      <c r="G756">
        <v>4</v>
      </c>
      <c r="H756">
        <v>70</v>
      </c>
      <c r="I756">
        <v>2726</v>
      </c>
      <c r="J756" t="s">
        <v>14</v>
      </c>
      <c r="K756" s="4">
        <f>IF(AND(ISNUMBER(Raw_Data[[#This Row],[Opening_Stock]]),ISNUMBER(Raw_Data[[#This Row],[Units_Sold]]),Raw_Data[[#This Row],[Opening_Stock]]&gt;0),Raw_Data[[#This Row],[Units_Sold]]/Raw_Data[[#This Row],[Opening_Stock]],"")</f>
        <v>5.4054054054054057E-2</v>
      </c>
      <c r="L756" t="str">
        <f>IF(NOT(ISNUMBER(Raw_Data[[#This Row],[Sell_through%]])),"Check",IF(Raw_Data[[#This Row],[Sell_through%]]=0,"Non-moving",IF(Raw_Data[[#This Row],[Sell_through%]]&gt;=0.6,"Fast","Slow")))</f>
        <v>Slow</v>
      </c>
      <c r="M756">
        <f>IF(AND(ISNUMBER(Raw_Data[[#This Row],[Closing_Stock]]),ISNUMBER(Raw_Data[[#This Row],[Unit_Cost]])),Raw_Data[[#This Row],[Closing_Stock]]*Raw_Data[[#This Row],[Unit_Cost]],"")</f>
        <v>190820</v>
      </c>
      <c r="N75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57" spans="1:14" x14ac:dyDescent="0.3">
      <c r="A757" t="s">
        <v>1095</v>
      </c>
      <c r="B757" t="s">
        <v>89</v>
      </c>
      <c r="C757" t="s">
        <v>49</v>
      </c>
      <c r="D757" t="s">
        <v>13</v>
      </c>
      <c r="E757" s="3">
        <v>46026</v>
      </c>
      <c r="F757">
        <v>343</v>
      </c>
      <c r="G757">
        <v>28</v>
      </c>
      <c r="H757">
        <v>315</v>
      </c>
      <c r="I757">
        <v>2626</v>
      </c>
      <c r="J757" t="s">
        <v>14</v>
      </c>
      <c r="K757" s="4">
        <f>IF(AND(ISNUMBER(Raw_Data[[#This Row],[Opening_Stock]]),ISNUMBER(Raw_Data[[#This Row],[Units_Sold]]),Raw_Data[[#This Row],[Opening_Stock]]&gt;0),Raw_Data[[#This Row],[Units_Sold]]/Raw_Data[[#This Row],[Opening_Stock]],"")</f>
        <v>8.1632653061224483E-2</v>
      </c>
      <c r="L757" t="str">
        <f>IF(NOT(ISNUMBER(Raw_Data[[#This Row],[Sell_through%]])),"Check",IF(Raw_Data[[#This Row],[Sell_through%]]=0,"Non-moving",IF(Raw_Data[[#This Row],[Sell_through%]]&gt;=0.6,"Fast","Slow")))</f>
        <v>Slow</v>
      </c>
      <c r="M757">
        <f>IF(AND(ISNUMBER(Raw_Data[[#This Row],[Closing_Stock]]),ISNUMBER(Raw_Data[[#This Row],[Unit_Cost]])),Raw_Data[[#This Row],[Closing_Stock]]*Raw_Data[[#This Row],[Unit_Cost]],"")</f>
        <v>827190</v>
      </c>
      <c r="N75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58" spans="1:14" x14ac:dyDescent="0.3">
      <c r="A758" t="s">
        <v>1096</v>
      </c>
      <c r="B758" t="s">
        <v>262</v>
      </c>
      <c r="C758" t="s">
        <v>12</v>
      </c>
      <c r="D758" t="s">
        <v>36</v>
      </c>
      <c r="E758" s="3">
        <v>46064</v>
      </c>
      <c r="G758">
        <v>20</v>
      </c>
      <c r="H758">
        <v>45</v>
      </c>
      <c r="I758">
        <v>804</v>
      </c>
      <c r="J758" t="s">
        <v>17</v>
      </c>
      <c r="K758" s="4" t="str">
        <f>IF(AND(ISNUMBER(Raw_Data[[#This Row],[Opening_Stock]]),ISNUMBER(Raw_Data[[#This Row],[Units_Sold]]),Raw_Data[[#This Row],[Opening_Stock]]&gt;0),Raw_Data[[#This Row],[Units_Sold]]/Raw_Data[[#This Row],[Opening_Stock]],"")</f>
        <v/>
      </c>
      <c r="L758" t="str">
        <f>IF(NOT(ISNUMBER(Raw_Data[[#This Row],[Sell_through%]])),"Check",IF(Raw_Data[[#This Row],[Sell_through%]]=0,"Non-moving",IF(Raw_Data[[#This Row],[Sell_through%]]&gt;=0.6,"Fast","Slow")))</f>
        <v>Check</v>
      </c>
      <c r="M758">
        <f>IF(AND(ISNUMBER(Raw_Data[[#This Row],[Closing_Stock]]),ISNUMBER(Raw_Data[[#This Row],[Unit_Cost]])),Raw_Data[[#This Row],[Closing_Stock]]*Raw_Data[[#This Row],[Unit_Cost]],"")</f>
        <v>36180</v>
      </c>
      <c r="N758"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759" spans="1:14" x14ac:dyDescent="0.3">
      <c r="A759" t="s">
        <v>1097</v>
      </c>
      <c r="B759" t="s">
        <v>551</v>
      </c>
      <c r="C759" t="s">
        <v>12</v>
      </c>
      <c r="D759" t="s">
        <v>32</v>
      </c>
      <c r="E759" s="3">
        <v>46257</v>
      </c>
      <c r="F759">
        <v>193</v>
      </c>
      <c r="G759">
        <v>171</v>
      </c>
      <c r="H759">
        <v>22</v>
      </c>
      <c r="I759">
        <v>2402</v>
      </c>
      <c r="J759" t="s">
        <v>17</v>
      </c>
      <c r="K759" s="4">
        <f>IF(AND(ISNUMBER(Raw_Data[[#This Row],[Opening_Stock]]),ISNUMBER(Raw_Data[[#This Row],[Units_Sold]]),Raw_Data[[#This Row],[Opening_Stock]]&gt;0),Raw_Data[[#This Row],[Units_Sold]]/Raw_Data[[#This Row],[Opening_Stock]],"")</f>
        <v>0.88601036269430056</v>
      </c>
      <c r="L759" t="str">
        <f>IF(NOT(ISNUMBER(Raw_Data[[#This Row],[Sell_through%]])),"Check",IF(Raw_Data[[#This Row],[Sell_through%]]=0,"Non-moving",IF(Raw_Data[[#This Row],[Sell_through%]]&gt;=0.6,"Fast","Slow")))</f>
        <v>Fast</v>
      </c>
      <c r="M759">
        <f>IF(AND(ISNUMBER(Raw_Data[[#This Row],[Closing_Stock]]),ISNUMBER(Raw_Data[[#This Row],[Unit_Cost]])),Raw_Data[[#This Row],[Closing_Stock]]*Raw_Data[[#This Row],[Unit_Cost]],"")</f>
        <v>52844</v>
      </c>
      <c r="N75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60" spans="1:14" x14ac:dyDescent="0.3">
      <c r="A760" t="s">
        <v>1098</v>
      </c>
      <c r="B760" t="s">
        <v>136</v>
      </c>
      <c r="C760" t="s">
        <v>35</v>
      </c>
      <c r="D760" t="s">
        <v>21</v>
      </c>
      <c r="E760" s="3">
        <v>46214</v>
      </c>
      <c r="F760">
        <v>379</v>
      </c>
      <c r="G760">
        <v>129</v>
      </c>
      <c r="H760">
        <v>250</v>
      </c>
      <c r="I760">
        <v>1481</v>
      </c>
      <c r="J760" t="s">
        <v>14</v>
      </c>
      <c r="K760" s="4">
        <f>IF(AND(ISNUMBER(Raw_Data[[#This Row],[Opening_Stock]]),ISNUMBER(Raw_Data[[#This Row],[Units_Sold]]),Raw_Data[[#This Row],[Opening_Stock]]&gt;0),Raw_Data[[#This Row],[Units_Sold]]/Raw_Data[[#This Row],[Opening_Stock]],"")</f>
        <v>0.34036939313984171</v>
      </c>
      <c r="L760" t="str">
        <f>IF(NOT(ISNUMBER(Raw_Data[[#This Row],[Sell_through%]])),"Check",IF(Raw_Data[[#This Row],[Sell_through%]]=0,"Non-moving",IF(Raw_Data[[#This Row],[Sell_through%]]&gt;=0.6,"Fast","Slow")))</f>
        <v>Slow</v>
      </c>
      <c r="M760">
        <f>IF(AND(ISNUMBER(Raw_Data[[#This Row],[Closing_Stock]]),ISNUMBER(Raw_Data[[#This Row],[Unit_Cost]])),Raw_Data[[#This Row],[Closing_Stock]]*Raw_Data[[#This Row],[Unit_Cost]],"")</f>
        <v>370250</v>
      </c>
      <c r="N76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61" spans="1:14" x14ac:dyDescent="0.3">
      <c r="A761" t="s">
        <v>1100</v>
      </c>
      <c r="B761" t="s">
        <v>387</v>
      </c>
      <c r="C761" t="s">
        <v>12</v>
      </c>
      <c r="D761" t="s">
        <v>13</v>
      </c>
      <c r="E761" s="3"/>
      <c r="F761">
        <v>449</v>
      </c>
      <c r="G761">
        <v>5</v>
      </c>
      <c r="H761">
        <v>449</v>
      </c>
      <c r="I761">
        <v>1997</v>
      </c>
      <c r="J761" t="s">
        <v>14</v>
      </c>
      <c r="K761" s="4">
        <f>IF(AND(ISNUMBER(Raw_Data[[#This Row],[Opening_Stock]]),ISNUMBER(Raw_Data[[#This Row],[Units_Sold]]),Raw_Data[[#This Row],[Opening_Stock]]&gt;0),Raw_Data[[#This Row],[Units_Sold]]/Raw_Data[[#This Row],[Opening_Stock]],"")</f>
        <v>1.1135857461024499E-2</v>
      </c>
      <c r="L761" t="str">
        <f>IF(NOT(ISNUMBER(Raw_Data[[#This Row],[Sell_through%]])),"Check",IF(Raw_Data[[#This Row],[Sell_through%]]=0,"Non-moving",IF(Raw_Data[[#This Row],[Sell_through%]]&gt;=0.6,"Fast","Slow")))</f>
        <v>Slow</v>
      </c>
      <c r="M761">
        <f>IF(AND(ISNUMBER(Raw_Data[[#This Row],[Closing_Stock]]),ISNUMBER(Raw_Data[[#This Row],[Unit_Cost]])),Raw_Data[[#This Row],[Closing_Stock]]*Raw_Data[[#This Row],[Unit_Cost]],"")</f>
        <v>896653</v>
      </c>
      <c r="N76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62" spans="1:14" x14ac:dyDescent="0.3">
      <c r="A762" t="s">
        <v>1101</v>
      </c>
      <c r="B762" t="s">
        <v>499</v>
      </c>
      <c r="C762" t="s">
        <v>28</v>
      </c>
      <c r="D762" t="s">
        <v>13</v>
      </c>
      <c r="E762" s="3">
        <v>46122</v>
      </c>
      <c r="F762">
        <v>336</v>
      </c>
      <c r="G762">
        <v>278</v>
      </c>
      <c r="H762">
        <v>58</v>
      </c>
      <c r="I762">
        <v>1990</v>
      </c>
      <c r="J762" t="s">
        <v>17</v>
      </c>
      <c r="K762" s="4">
        <f>IF(AND(ISNUMBER(Raw_Data[[#This Row],[Opening_Stock]]),ISNUMBER(Raw_Data[[#This Row],[Units_Sold]]),Raw_Data[[#This Row],[Opening_Stock]]&gt;0),Raw_Data[[#This Row],[Units_Sold]]/Raw_Data[[#This Row],[Opening_Stock]],"")</f>
        <v>0.82738095238095233</v>
      </c>
      <c r="L762" t="str">
        <f>IF(NOT(ISNUMBER(Raw_Data[[#This Row],[Sell_through%]])),"Check",IF(Raw_Data[[#This Row],[Sell_through%]]=0,"Non-moving",IF(Raw_Data[[#This Row],[Sell_through%]]&gt;=0.6,"Fast","Slow")))</f>
        <v>Fast</v>
      </c>
      <c r="M762">
        <f>IF(AND(ISNUMBER(Raw_Data[[#This Row],[Closing_Stock]]),ISNUMBER(Raw_Data[[#This Row],[Unit_Cost]])),Raw_Data[[#This Row],[Closing_Stock]]*Raw_Data[[#This Row],[Unit_Cost]],"")</f>
        <v>115420</v>
      </c>
      <c r="N762"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63" spans="1:14" x14ac:dyDescent="0.3">
      <c r="A763" t="s">
        <v>1102</v>
      </c>
      <c r="B763" t="s">
        <v>23</v>
      </c>
      <c r="C763" t="s">
        <v>35</v>
      </c>
      <c r="D763" t="s">
        <v>32</v>
      </c>
      <c r="E763" s="3"/>
      <c r="F763">
        <v>81</v>
      </c>
      <c r="G763">
        <v>5</v>
      </c>
      <c r="H763">
        <v>81</v>
      </c>
      <c r="I763">
        <v>2340</v>
      </c>
      <c r="J763" t="s">
        <v>14</v>
      </c>
      <c r="K763" s="4">
        <f>IF(AND(ISNUMBER(Raw_Data[[#This Row],[Opening_Stock]]),ISNUMBER(Raw_Data[[#This Row],[Units_Sold]]),Raw_Data[[#This Row],[Opening_Stock]]&gt;0),Raw_Data[[#This Row],[Units_Sold]]/Raw_Data[[#This Row],[Opening_Stock]],"")</f>
        <v>6.1728395061728392E-2</v>
      </c>
      <c r="L763" t="str">
        <f>IF(NOT(ISNUMBER(Raw_Data[[#This Row],[Sell_through%]])),"Check",IF(Raw_Data[[#This Row],[Sell_through%]]=0,"Non-moving",IF(Raw_Data[[#This Row],[Sell_through%]]&gt;=0.6,"Fast","Slow")))</f>
        <v>Slow</v>
      </c>
      <c r="M763">
        <f>IF(AND(ISNUMBER(Raw_Data[[#This Row],[Closing_Stock]]),ISNUMBER(Raw_Data[[#This Row],[Unit_Cost]])),Raw_Data[[#This Row],[Closing_Stock]]*Raw_Data[[#This Row],[Unit_Cost]],"")</f>
        <v>189540</v>
      </c>
      <c r="N76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64" spans="1:14" x14ac:dyDescent="0.3">
      <c r="A764" t="s">
        <v>1105</v>
      </c>
      <c r="B764" t="s">
        <v>23</v>
      </c>
      <c r="C764" t="s">
        <v>35</v>
      </c>
      <c r="D764" t="s">
        <v>21</v>
      </c>
      <c r="E764" s="3">
        <v>46021</v>
      </c>
      <c r="F764">
        <v>427</v>
      </c>
      <c r="G764">
        <v>49</v>
      </c>
      <c r="H764">
        <v>378</v>
      </c>
      <c r="I764">
        <v>2477</v>
      </c>
      <c r="J764" t="s">
        <v>14</v>
      </c>
      <c r="K764" s="4">
        <f>IF(AND(ISNUMBER(Raw_Data[[#This Row],[Opening_Stock]]),ISNUMBER(Raw_Data[[#This Row],[Units_Sold]]),Raw_Data[[#This Row],[Opening_Stock]]&gt;0),Raw_Data[[#This Row],[Units_Sold]]/Raw_Data[[#This Row],[Opening_Stock]],"")</f>
        <v>0.11475409836065574</v>
      </c>
      <c r="L764" t="str">
        <f>IF(NOT(ISNUMBER(Raw_Data[[#This Row],[Sell_through%]])),"Check",IF(Raw_Data[[#This Row],[Sell_through%]]=0,"Non-moving",IF(Raw_Data[[#This Row],[Sell_through%]]&gt;=0.6,"Fast","Slow")))</f>
        <v>Slow</v>
      </c>
      <c r="M764">
        <f>IF(AND(ISNUMBER(Raw_Data[[#This Row],[Closing_Stock]]),ISNUMBER(Raw_Data[[#This Row],[Unit_Cost]])),Raw_Data[[#This Row],[Closing_Stock]]*Raw_Data[[#This Row],[Unit_Cost]],"")</f>
        <v>936306</v>
      </c>
      <c r="N76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65" spans="1:14" x14ac:dyDescent="0.3">
      <c r="A765" t="s">
        <v>1107</v>
      </c>
      <c r="B765" t="s">
        <v>551</v>
      </c>
      <c r="C765" t="s">
        <v>12</v>
      </c>
      <c r="D765" t="s">
        <v>36</v>
      </c>
      <c r="E765" s="3"/>
      <c r="F765">
        <v>89</v>
      </c>
      <c r="G765">
        <v>0</v>
      </c>
      <c r="H765">
        <v>89</v>
      </c>
      <c r="I765">
        <v>2588</v>
      </c>
      <c r="J765" t="s">
        <v>14</v>
      </c>
      <c r="K765" s="4">
        <f>IF(AND(ISNUMBER(Raw_Data[[#This Row],[Opening_Stock]]),ISNUMBER(Raw_Data[[#This Row],[Units_Sold]]),Raw_Data[[#This Row],[Opening_Stock]]&gt;0),Raw_Data[[#This Row],[Units_Sold]]/Raw_Data[[#This Row],[Opening_Stock]],"")</f>
        <v>0</v>
      </c>
      <c r="L765" t="str">
        <f>IF(NOT(ISNUMBER(Raw_Data[[#This Row],[Sell_through%]])),"Check",IF(Raw_Data[[#This Row],[Sell_through%]]=0,"Non-moving",IF(Raw_Data[[#This Row],[Sell_through%]]&gt;=0.6,"Fast","Slow")))</f>
        <v>Non-moving</v>
      </c>
      <c r="M765">
        <f>IF(AND(ISNUMBER(Raw_Data[[#This Row],[Closing_Stock]]),ISNUMBER(Raw_Data[[#This Row],[Unit_Cost]])),Raw_Data[[#This Row],[Closing_Stock]]*Raw_Data[[#This Row],[Unit_Cost]],"")</f>
        <v>230332</v>
      </c>
      <c r="N76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66" spans="1:14" x14ac:dyDescent="0.3">
      <c r="A766" t="s">
        <v>1108</v>
      </c>
      <c r="B766" t="s">
        <v>146</v>
      </c>
      <c r="C766" t="s">
        <v>35</v>
      </c>
      <c r="D766" t="s">
        <v>21</v>
      </c>
      <c r="E766" s="3"/>
      <c r="F766">
        <v>372</v>
      </c>
      <c r="G766">
        <v>0</v>
      </c>
      <c r="H766">
        <v>372</v>
      </c>
      <c r="I766">
        <v>2283</v>
      </c>
      <c r="J766" t="s">
        <v>14</v>
      </c>
      <c r="K766" s="4">
        <f>IF(AND(ISNUMBER(Raw_Data[[#This Row],[Opening_Stock]]),ISNUMBER(Raw_Data[[#This Row],[Units_Sold]]),Raw_Data[[#This Row],[Opening_Stock]]&gt;0),Raw_Data[[#This Row],[Units_Sold]]/Raw_Data[[#This Row],[Opening_Stock]],"")</f>
        <v>0</v>
      </c>
      <c r="L766" t="str">
        <f>IF(NOT(ISNUMBER(Raw_Data[[#This Row],[Sell_through%]])),"Check",IF(Raw_Data[[#This Row],[Sell_through%]]=0,"Non-moving",IF(Raw_Data[[#This Row],[Sell_through%]]&gt;=0.6,"Fast","Slow")))</f>
        <v>Non-moving</v>
      </c>
      <c r="M766">
        <f>IF(AND(ISNUMBER(Raw_Data[[#This Row],[Closing_Stock]]),ISNUMBER(Raw_Data[[#This Row],[Unit_Cost]])),Raw_Data[[#This Row],[Closing_Stock]]*Raw_Data[[#This Row],[Unit_Cost]],"")</f>
        <v>849276</v>
      </c>
      <c r="N76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67" spans="1:14" x14ac:dyDescent="0.3">
      <c r="A767" t="s">
        <v>1110</v>
      </c>
      <c r="B767" t="s">
        <v>65</v>
      </c>
      <c r="C767" t="s">
        <v>49</v>
      </c>
      <c r="D767" t="s">
        <v>32</v>
      </c>
      <c r="E767" s="3">
        <v>46047</v>
      </c>
      <c r="F767">
        <v>259</v>
      </c>
      <c r="G767">
        <v>82</v>
      </c>
      <c r="H767">
        <v>177</v>
      </c>
      <c r="I767">
        <v>2046</v>
      </c>
      <c r="J767" t="s">
        <v>14</v>
      </c>
      <c r="K767" s="4">
        <f>IF(AND(ISNUMBER(Raw_Data[[#This Row],[Opening_Stock]]),ISNUMBER(Raw_Data[[#This Row],[Units_Sold]]),Raw_Data[[#This Row],[Opening_Stock]]&gt;0),Raw_Data[[#This Row],[Units_Sold]]/Raw_Data[[#This Row],[Opening_Stock]],"")</f>
        <v>0.31660231660231658</v>
      </c>
      <c r="L767" t="str">
        <f>IF(NOT(ISNUMBER(Raw_Data[[#This Row],[Sell_through%]])),"Check",IF(Raw_Data[[#This Row],[Sell_through%]]=0,"Non-moving",IF(Raw_Data[[#This Row],[Sell_through%]]&gt;=0.6,"Fast","Slow")))</f>
        <v>Slow</v>
      </c>
      <c r="M767">
        <f>IF(AND(ISNUMBER(Raw_Data[[#This Row],[Closing_Stock]]),ISNUMBER(Raw_Data[[#This Row],[Unit_Cost]])),Raw_Data[[#This Row],[Closing_Stock]]*Raw_Data[[#This Row],[Unit_Cost]],"")</f>
        <v>362142</v>
      </c>
      <c r="N76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68" spans="1:14" x14ac:dyDescent="0.3">
      <c r="A768" t="s">
        <v>1111</v>
      </c>
      <c r="B768" t="s">
        <v>499</v>
      </c>
      <c r="C768" t="s">
        <v>28</v>
      </c>
      <c r="D768" t="s">
        <v>36</v>
      </c>
      <c r="E768" s="3"/>
      <c r="F768">
        <v>218</v>
      </c>
      <c r="G768">
        <v>0</v>
      </c>
      <c r="H768">
        <v>218</v>
      </c>
      <c r="I768">
        <v>2998</v>
      </c>
      <c r="J768" t="s">
        <v>14</v>
      </c>
      <c r="K768" s="4">
        <f>IF(AND(ISNUMBER(Raw_Data[[#This Row],[Opening_Stock]]),ISNUMBER(Raw_Data[[#This Row],[Units_Sold]]),Raw_Data[[#This Row],[Opening_Stock]]&gt;0),Raw_Data[[#This Row],[Units_Sold]]/Raw_Data[[#This Row],[Opening_Stock]],"")</f>
        <v>0</v>
      </c>
      <c r="L768" t="str">
        <f>IF(NOT(ISNUMBER(Raw_Data[[#This Row],[Sell_through%]])),"Check",IF(Raw_Data[[#This Row],[Sell_through%]]=0,"Non-moving",IF(Raw_Data[[#This Row],[Sell_through%]]&gt;=0.6,"Fast","Slow")))</f>
        <v>Non-moving</v>
      </c>
      <c r="M768">
        <f>IF(AND(ISNUMBER(Raw_Data[[#This Row],[Closing_Stock]]),ISNUMBER(Raw_Data[[#This Row],[Unit_Cost]])),Raw_Data[[#This Row],[Closing_Stock]]*Raw_Data[[#This Row],[Unit_Cost]],"")</f>
        <v>653564</v>
      </c>
      <c r="N76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69" spans="1:14" x14ac:dyDescent="0.3">
      <c r="A769" t="s">
        <v>1112</v>
      </c>
      <c r="B769" t="s">
        <v>124</v>
      </c>
      <c r="C769" t="s">
        <v>28</v>
      </c>
      <c r="D769" t="s">
        <v>13</v>
      </c>
      <c r="E769" s="3">
        <v>46042</v>
      </c>
      <c r="F769">
        <v>289</v>
      </c>
      <c r="G769">
        <v>68</v>
      </c>
      <c r="H769">
        <v>221</v>
      </c>
      <c r="I769">
        <v>376</v>
      </c>
      <c r="J769" t="s">
        <v>14</v>
      </c>
      <c r="K769" s="4">
        <f>IF(AND(ISNUMBER(Raw_Data[[#This Row],[Opening_Stock]]),ISNUMBER(Raw_Data[[#This Row],[Units_Sold]]),Raw_Data[[#This Row],[Opening_Stock]]&gt;0),Raw_Data[[#This Row],[Units_Sold]]/Raw_Data[[#This Row],[Opening_Stock]],"")</f>
        <v>0.23529411764705882</v>
      </c>
      <c r="L769" t="str">
        <f>IF(NOT(ISNUMBER(Raw_Data[[#This Row],[Sell_through%]])),"Check",IF(Raw_Data[[#This Row],[Sell_through%]]=0,"Non-moving",IF(Raw_Data[[#This Row],[Sell_through%]]&gt;=0.6,"Fast","Slow")))</f>
        <v>Slow</v>
      </c>
      <c r="M769">
        <f>IF(AND(ISNUMBER(Raw_Data[[#This Row],[Closing_Stock]]),ISNUMBER(Raw_Data[[#This Row],[Unit_Cost]])),Raw_Data[[#This Row],[Closing_Stock]]*Raw_Data[[#This Row],[Unit_Cost]],"")</f>
        <v>83096</v>
      </c>
      <c r="N76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70" spans="1:14" x14ac:dyDescent="0.3">
      <c r="A770" t="s">
        <v>1113</v>
      </c>
      <c r="B770" t="s">
        <v>200</v>
      </c>
      <c r="C770" t="s">
        <v>35</v>
      </c>
      <c r="D770" t="s">
        <v>32</v>
      </c>
      <c r="E770" s="3"/>
      <c r="F770">
        <v>383</v>
      </c>
      <c r="G770">
        <v>0</v>
      </c>
      <c r="H770">
        <v>383</v>
      </c>
      <c r="I770">
        <v>905</v>
      </c>
      <c r="J770" t="s">
        <v>14</v>
      </c>
      <c r="K770" s="4">
        <f>IF(AND(ISNUMBER(Raw_Data[[#This Row],[Opening_Stock]]),ISNUMBER(Raw_Data[[#This Row],[Units_Sold]]),Raw_Data[[#This Row],[Opening_Stock]]&gt;0),Raw_Data[[#This Row],[Units_Sold]]/Raw_Data[[#This Row],[Opening_Stock]],"")</f>
        <v>0</v>
      </c>
      <c r="L770" t="str">
        <f>IF(NOT(ISNUMBER(Raw_Data[[#This Row],[Sell_through%]])),"Check",IF(Raw_Data[[#This Row],[Sell_through%]]=0,"Non-moving",IF(Raw_Data[[#This Row],[Sell_through%]]&gt;=0.6,"Fast","Slow")))</f>
        <v>Non-moving</v>
      </c>
      <c r="M770">
        <f>IF(AND(ISNUMBER(Raw_Data[[#This Row],[Closing_Stock]]),ISNUMBER(Raw_Data[[#This Row],[Unit_Cost]])),Raw_Data[[#This Row],[Closing_Stock]]*Raw_Data[[#This Row],[Unit_Cost]],"")</f>
        <v>346615</v>
      </c>
      <c r="N77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71" spans="1:14" x14ac:dyDescent="0.3">
      <c r="A771" t="s">
        <v>1114</v>
      </c>
      <c r="B771" t="s">
        <v>93</v>
      </c>
      <c r="C771" t="s">
        <v>12</v>
      </c>
      <c r="D771" t="s">
        <v>32</v>
      </c>
      <c r="E771" s="3">
        <v>46016</v>
      </c>
      <c r="F771">
        <v>212</v>
      </c>
      <c r="G771">
        <v>191</v>
      </c>
      <c r="H771">
        <v>21</v>
      </c>
      <c r="I771">
        <v>2261</v>
      </c>
      <c r="J771" t="s">
        <v>17</v>
      </c>
      <c r="K771" s="4">
        <f>IF(AND(ISNUMBER(Raw_Data[[#This Row],[Opening_Stock]]),ISNUMBER(Raw_Data[[#This Row],[Units_Sold]]),Raw_Data[[#This Row],[Opening_Stock]]&gt;0),Raw_Data[[#This Row],[Units_Sold]]/Raw_Data[[#This Row],[Opening_Stock]],"")</f>
        <v>0.90094339622641506</v>
      </c>
      <c r="L771" t="str">
        <f>IF(NOT(ISNUMBER(Raw_Data[[#This Row],[Sell_through%]])),"Check",IF(Raw_Data[[#This Row],[Sell_through%]]=0,"Non-moving",IF(Raw_Data[[#This Row],[Sell_through%]]&gt;=0.6,"Fast","Slow")))</f>
        <v>Fast</v>
      </c>
      <c r="M771">
        <f>IF(AND(ISNUMBER(Raw_Data[[#This Row],[Closing_Stock]]),ISNUMBER(Raw_Data[[#This Row],[Unit_Cost]])),Raw_Data[[#This Row],[Closing_Stock]]*Raw_Data[[#This Row],[Unit_Cost]],"")</f>
        <v>47481</v>
      </c>
      <c r="N77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72" spans="1:14" x14ac:dyDescent="0.3">
      <c r="A772" t="s">
        <v>1116</v>
      </c>
      <c r="B772" t="s">
        <v>93</v>
      </c>
      <c r="C772" t="s">
        <v>12</v>
      </c>
      <c r="D772" t="s">
        <v>13</v>
      </c>
      <c r="E772" s="3"/>
      <c r="F772">
        <v>123</v>
      </c>
      <c r="G772">
        <v>0</v>
      </c>
      <c r="H772">
        <v>123</v>
      </c>
      <c r="I772">
        <v>1141</v>
      </c>
      <c r="J772" t="s">
        <v>14</v>
      </c>
      <c r="K772" s="4">
        <f>IF(AND(ISNUMBER(Raw_Data[[#This Row],[Opening_Stock]]),ISNUMBER(Raw_Data[[#This Row],[Units_Sold]]),Raw_Data[[#This Row],[Opening_Stock]]&gt;0),Raw_Data[[#This Row],[Units_Sold]]/Raw_Data[[#This Row],[Opening_Stock]],"")</f>
        <v>0</v>
      </c>
      <c r="L772" t="str">
        <f>IF(NOT(ISNUMBER(Raw_Data[[#This Row],[Sell_through%]])),"Check",IF(Raw_Data[[#This Row],[Sell_through%]]=0,"Non-moving",IF(Raw_Data[[#This Row],[Sell_through%]]&gt;=0.6,"Fast","Slow")))</f>
        <v>Non-moving</v>
      </c>
      <c r="M772">
        <f>IF(AND(ISNUMBER(Raw_Data[[#This Row],[Closing_Stock]]),ISNUMBER(Raw_Data[[#This Row],[Unit_Cost]])),Raw_Data[[#This Row],[Closing_Stock]]*Raw_Data[[#This Row],[Unit_Cost]],"")</f>
        <v>140343</v>
      </c>
      <c r="N77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73" spans="1:14" x14ac:dyDescent="0.3">
      <c r="A773" t="s">
        <v>1117</v>
      </c>
      <c r="B773" t="s">
        <v>1343</v>
      </c>
      <c r="C773" t="s">
        <v>28</v>
      </c>
      <c r="D773" t="s">
        <v>21</v>
      </c>
      <c r="E773" s="3">
        <v>46105</v>
      </c>
      <c r="F773">
        <v>342</v>
      </c>
      <c r="G773">
        <v>297</v>
      </c>
      <c r="H773">
        <v>45</v>
      </c>
      <c r="I773">
        <v>2837</v>
      </c>
      <c r="J773" t="s">
        <v>17</v>
      </c>
      <c r="K773" s="4">
        <f>IF(AND(ISNUMBER(Raw_Data[[#This Row],[Opening_Stock]]),ISNUMBER(Raw_Data[[#This Row],[Units_Sold]]),Raw_Data[[#This Row],[Opening_Stock]]&gt;0),Raw_Data[[#This Row],[Units_Sold]]/Raw_Data[[#This Row],[Opening_Stock]],"")</f>
        <v>0.86842105263157898</v>
      </c>
      <c r="L773" t="str">
        <f>IF(NOT(ISNUMBER(Raw_Data[[#This Row],[Sell_through%]])),"Check",IF(Raw_Data[[#This Row],[Sell_through%]]=0,"Non-moving",IF(Raw_Data[[#This Row],[Sell_through%]]&gt;=0.6,"Fast","Slow")))</f>
        <v>Fast</v>
      </c>
      <c r="M773">
        <f>IF(AND(ISNUMBER(Raw_Data[[#This Row],[Closing_Stock]]),ISNUMBER(Raw_Data[[#This Row],[Unit_Cost]])),Raw_Data[[#This Row],[Closing_Stock]]*Raw_Data[[#This Row],[Unit_Cost]],"")</f>
        <v>127665</v>
      </c>
      <c r="N773"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74" spans="1:14" x14ac:dyDescent="0.3">
      <c r="A774" t="s">
        <v>1118</v>
      </c>
      <c r="B774" t="s">
        <v>1344</v>
      </c>
      <c r="C774" t="s">
        <v>28</v>
      </c>
      <c r="D774" t="s">
        <v>32</v>
      </c>
      <c r="E774" s="3">
        <v>46214</v>
      </c>
      <c r="F774">
        <v>425</v>
      </c>
      <c r="G774">
        <v>106</v>
      </c>
      <c r="H774">
        <v>319</v>
      </c>
      <c r="I774">
        <v>1615</v>
      </c>
      <c r="J774" t="s">
        <v>14</v>
      </c>
      <c r="K774" s="4">
        <f>IF(AND(ISNUMBER(Raw_Data[[#This Row],[Opening_Stock]]),ISNUMBER(Raw_Data[[#This Row],[Units_Sold]]),Raw_Data[[#This Row],[Opening_Stock]]&gt;0),Raw_Data[[#This Row],[Units_Sold]]/Raw_Data[[#This Row],[Opening_Stock]],"")</f>
        <v>0.24941176470588236</v>
      </c>
      <c r="L774" t="str">
        <f>IF(NOT(ISNUMBER(Raw_Data[[#This Row],[Sell_through%]])),"Check",IF(Raw_Data[[#This Row],[Sell_through%]]=0,"Non-moving",IF(Raw_Data[[#This Row],[Sell_through%]]&gt;=0.6,"Fast","Slow")))</f>
        <v>Slow</v>
      </c>
      <c r="M774">
        <f>IF(AND(ISNUMBER(Raw_Data[[#This Row],[Closing_Stock]]),ISNUMBER(Raw_Data[[#This Row],[Unit_Cost]])),Raw_Data[[#This Row],[Closing_Stock]]*Raw_Data[[#This Row],[Unit_Cost]],"")</f>
        <v>515185</v>
      </c>
      <c r="N77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75" spans="1:14" x14ac:dyDescent="0.3">
      <c r="A775" t="s">
        <v>1119</v>
      </c>
      <c r="B775" t="s">
        <v>16</v>
      </c>
      <c r="C775" t="s">
        <v>12</v>
      </c>
      <c r="D775" t="s">
        <v>32</v>
      </c>
      <c r="E775" s="3">
        <v>46193</v>
      </c>
      <c r="F775">
        <v>427</v>
      </c>
      <c r="G775">
        <v>310</v>
      </c>
      <c r="H775">
        <v>117</v>
      </c>
      <c r="I775">
        <v>1779</v>
      </c>
      <c r="J775" t="s">
        <v>14</v>
      </c>
      <c r="K775" s="4">
        <f>IF(AND(ISNUMBER(Raw_Data[[#This Row],[Opening_Stock]]),ISNUMBER(Raw_Data[[#This Row],[Units_Sold]]),Raw_Data[[#This Row],[Opening_Stock]]&gt;0),Raw_Data[[#This Row],[Units_Sold]]/Raw_Data[[#This Row],[Opening_Stock]],"")</f>
        <v>0.72599531615925061</v>
      </c>
      <c r="L775" t="str">
        <f>IF(NOT(ISNUMBER(Raw_Data[[#This Row],[Sell_through%]])),"Check",IF(Raw_Data[[#This Row],[Sell_through%]]=0,"Non-moving",IF(Raw_Data[[#This Row],[Sell_through%]]&gt;=0.6,"Fast","Slow")))</f>
        <v>Fast</v>
      </c>
      <c r="M775">
        <f>IF(AND(ISNUMBER(Raw_Data[[#This Row],[Closing_Stock]]),ISNUMBER(Raw_Data[[#This Row],[Unit_Cost]])),Raw_Data[[#This Row],[Closing_Stock]]*Raw_Data[[#This Row],[Unit_Cost]],"")</f>
        <v>208143</v>
      </c>
      <c r="N77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776" spans="1:14" x14ac:dyDescent="0.3">
      <c r="A776" t="s">
        <v>1120</v>
      </c>
      <c r="B776" t="s">
        <v>71</v>
      </c>
      <c r="C776" t="s">
        <v>35</v>
      </c>
      <c r="D776" t="s">
        <v>36</v>
      </c>
      <c r="E776" s="3">
        <v>46195</v>
      </c>
      <c r="F776">
        <v>242</v>
      </c>
      <c r="G776">
        <v>198</v>
      </c>
      <c r="H776">
        <v>44</v>
      </c>
      <c r="I776">
        <v>2943</v>
      </c>
      <c r="J776" t="s">
        <v>17</v>
      </c>
      <c r="K776" s="4">
        <f>IF(AND(ISNUMBER(Raw_Data[[#This Row],[Opening_Stock]]),ISNUMBER(Raw_Data[[#This Row],[Units_Sold]]),Raw_Data[[#This Row],[Opening_Stock]]&gt;0),Raw_Data[[#This Row],[Units_Sold]]/Raw_Data[[#This Row],[Opening_Stock]],"")</f>
        <v>0.81818181818181823</v>
      </c>
      <c r="L776" t="str">
        <f>IF(NOT(ISNUMBER(Raw_Data[[#This Row],[Sell_through%]])),"Check",IF(Raw_Data[[#This Row],[Sell_through%]]=0,"Non-moving",IF(Raw_Data[[#This Row],[Sell_through%]]&gt;=0.6,"Fast","Slow")))</f>
        <v>Fast</v>
      </c>
      <c r="M776">
        <f>IF(AND(ISNUMBER(Raw_Data[[#This Row],[Closing_Stock]]),ISNUMBER(Raw_Data[[#This Row],[Unit_Cost]])),Raw_Data[[#This Row],[Closing_Stock]]*Raw_Data[[#This Row],[Unit_Cost]],"")</f>
        <v>129492</v>
      </c>
      <c r="N776"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77" spans="1:14" x14ac:dyDescent="0.3">
      <c r="A777" t="s">
        <v>1121</v>
      </c>
      <c r="B777" t="s">
        <v>198</v>
      </c>
      <c r="C777" t="s">
        <v>31</v>
      </c>
      <c r="D777" t="s">
        <v>21</v>
      </c>
      <c r="E777" s="3">
        <v>46223</v>
      </c>
      <c r="F777">
        <v>78</v>
      </c>
      <c r="G777">
        <v>58</v>
      </c>
      <c r="H777">
        <v>20</v>
      </c>
      <c r="I777">
        <v>204</v>
      </c>
      <c r="J777" t="s">
        <v>17</v>
      </c>
      <c r="K777" s="4">
        <f>IF(AND(ISNUMBER(Raw_Data[[#This Row],[Opening_Stock]]),ISNUMBER(Raw_Data[[#This Row],[Units_Sold]]),Raw_Data[[#This Row],[Opening_Stock]]&gt;0),Raw_Data[[#This Row],[Units_Sold]]/Raw_Data[[#This Row],[Opening_Stock]],"")</f>
        <v>0.74358974358974361</v>
      </c>
      <c r="L777" t="str">
        <f>IF(NOT(ISNUMBER(Raw_Data[[#This Row],[Sell_through%]])),"Check",IF(Raw_Data[[#This Row],[Sell_through%]]=0,"Non-moving",IF(Raw_Data[[#This Row],[Sell_through%]]&gt;=0.6,"Fast","Slow")))</f>
        <v>Fast</v>
      </c>
      <c r="M777">
        <f>IF(AND(ISNUMBER(Raw_Data[[#This Row],[Closing_Stock]]),ISNUMBER(Raw_Data[[#This Row],[Unit_Cost]])),Raw_Data[[#This Row],[Closing_Stock]]*Raw_Data[[#This Row],[Unit_Cost]],"")</f>
        <v>4080</v>
      </c>
      <c r="N77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78" spans="1:14" x14ac:dyDescent="0.3">
      <c r="A778" t="s">
        <v>1122</v>
      </c>
      <c r="B778" t="s">
        <v>101</v>
      </c>
      <c r="C778" t="s">
        <v>12</v>
      </c>
      <c r="D778" t="s">
        <v>32</v>
      </c>
      <c r="E778" s="3">
        <v>46093</v>
      </c>
      <c r="F778">
        <v>102</v>
      </c>
      <c r="G778">
        <v>85</v>
      </c>
      <c r="H778">
        <v>17</v>
      </c>
      <c r="I778">
        <v>387</v>
      </c>
      <c r="J778" t="s">
        <v>17</v>
      </c>
      <c r="K778" s="4">
        <f>IF(AND(ISNUMBER(Raw_Data[[#This Row],[Opening_Stock]]),ISNUMBER(Raw_Data[[#This Row],[Units_Sold]]),Raw_Data[[#This Row],[Opening_Stock]]&gt;0),Raw_Data[[#This Row],[Units_Sold]]/Raw_Data[[#This Row],[Opening_Stock]],"")</f>
        <v>0.83333333333333337</v>
      </c>
      <c r="L778" t="str">
        <f>IF(NOT(ISNUMBER(Raw_Data[[#This Row],[Sell_through%]])),"Check",IF(Raw_Data[[#This Row],[Sell_through%]]=0,"Non-moving",IF(Raw_Data[[#This Row],[Sell_through%]]&gt;=0.6,"Fast","Slow")))</f>
        <v>Fast</v>
      </c>
      <c r="M778">
        <f>IF(AND(ISNUMBER(Raw_Data[[#This Row],[Closing_Stock]]),ISNUMBER(Raw_Data[[#This Row],[Unit_Cost]])),Raw_Data[[#This Row],[Closing_Stock]]*Raw_Data[[#This Row],[Unit_Cost]],"")</f>
        <v>6579</v>
      </c>
      <c r="N77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79" spans="1:14" x14ac:dyDescent="0.3">
      <c r="A779" t="s">
        <v>1125</v>
      </c>
      <c r="B779" t="s">
        <v>101</v>
      </c>
      <c r="C779" t="s">
        <v>12</v>
      </c>
      <c r="D779" t="s">
        <v>21</v>
      </c>
      <c r="E779" s="3">
        <v>46015</v>
      </c>
      <c r="F779">
        <v>407</v>
      </c>
      <c r="G779">
        <v>371</v>
      </c>
      <c r="H779">
        <v>36</v>
      </c>
      <c r="I779">
        <v>2479</v>
      </c>
      <c r="J779" t="s">
        <v>17</v>
      </c>
      <c r="K779" s="4">
        <f>IF(AND(ISNUMBER(Raw_Data[[#This Row],[Opening_Stock]]),ISNUMBER(Raw_Data[[#This Row],[Units_Sold]]),Raw_Data[[#This Row],[Opening_Stock]]&gt;0),Raw_Data[[#This Row],[Units_Sold]]/Raw_Data[[#This Row],[Opening_Stock]],"")</f>
        <v>0.91154791154791159</v>
      </c>
      <c r="L779" t="str">
        <f>IF(NOT(ISNUMBER(Raw_Data[[#This Row],[Sell_through%]])),"Check",IF(Raw_Data[[#This Row],[Sell_through%]]=0,"Non-moving",IF(Raw_Data[[#This Row],[Sell_through%]]&gt;=0.6,"Fast","Slow")))</f>
        <v>Fast</v>
      </c>
      <c r="M779">
        <f>IF(AND(ISNUMBER(Raw_Data[[#This Row],[Closing_Stock]]),ISNUMBER(Raw_Data[[#This Row],[Unit_Cost]])),Raw_Data[[#This Row],[Closing_Stock]]*Raw_Data[[#This Row],[Unit_Cost]],"")</f>
        <v>89244</v>
      </c>
      <c r="N77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80" spans="1:14" x14ac:dyDescent="0.3">
      <c r="A780" t="s">
        <v>1126</v>
      </c>
      <c r="B780" t="s">
        <v>112</v>
      </c>
      <c r="C780" t="s">
        <v>35</v>
      </c>
      <c r="D780" t="s">
        <v>32</v>
      </c>
      <c r="E780" s="3">
        <v>46020</v>
      </c>
      <c r="F780">
        <v>291</v>
      </c>
      <c r="G780">
        <v>89</v>
      </c>
      <c r="H780">
        <v>202</v>
      </c>
      <c r="I780">
        <v>1511</v>
      </c>
      <c r="J780" t="s">
        <v>14</v>
      </c>
      <c r="K780" s="4">
        <f>IF(AND(ISNUMBER(Raw_Data[[#This Row],[Opening_Stock]]),ISNUMBER(Raw_Data[[#This Row],[Units_Sold]]),Raw_Data[[#This Row],[Opening_Stock]]&gt;0),Raw_Data[[#This Row],[Units_Sold]]/Raw_Data[[#This Row],[Opening_Stock]],"")</f>
        <v>0.30584192439862545</v>
      </c>
      <c r="L780" t="str">
        <f>IF(NOT(ISNUMBER(Raw_Data[[#This Row],[Sell_through%]])),"Check",IF(Raw_Data[[#This Row],[Sell_through%]]=0,"Non-moving",IF(Raw_Data[[#This Row],[Sell_through%]]&gt;=0.6,"Fast","Slow")))</f>
        <v>Slow</v>
      </c>
      <c r="M780">
        <f>IF(AND(ISNUMBER(Raw_Data[[#This Row],[Closing_Stock]]),ISNUMBER(Raw_Data[[#This Row],[Unit_Cost]])),Raw_Data[[#This Row],[Closing_Stock]]*Raw_Data[[#This Row],[Unit_Cost]],"")</f>
        <v>305222</v>
      </c>
      <c r="N78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81" spans="1:14" x14ac:dyDescent="0.3">
      <c r="A781" t="s">
        <v>1128</v>
      </c>
      <c r="B781" t="s">
        <v>182</v>
      </c>
      <c r="C781" t="s">
        <v>12</v>
      </c>
      <c r="D781" t="s">
        <v>13</v>
      </c>
      <c r="E781" s="3"/>
      <c r="F781">
        <v>154</v>
      </c>
      <c r="G781">
        <v>0</v>
      </c>
      <c r="H781">
        <v>154</v>
      </c>
      <c r="I781">
        <v>2822</v>
      </c>
      <c r="J781" t="s">
        <v>14</v>
      </c>
      <c r="K781" s="4">
        <f>IF(AND(ISNUMBER(Raw_Data[[#This Row],[Opening_Stock]]),ISNUMBER(Raw_Data[[#This Row],[Units_Sold]]),Raw_Data[[#This Row],[Opening_Stock]]&gt;0),Raw_Data[[#This Row],[Units_Sold]]/Raw_Data[[#This Row],[Opening_Stock]],"")</f>
        <v>0</v>
      </c>
      <c r="L781" t="str">
        <f>IF(NOT(ISNUMBER(Raw_Data[[#This Row],[Sell_through%]])),"Check",IF(Raw_Data[[#This Row],[Sell_through%]]=0,"Non-moving",IF(Raw_Data[[#This Row],[Sell_through%]]&gt;=0.6,"Fast","Slow")))</f>
        <v>Non-moving</v>
      </c>
      <c r="M781">
        <f>IF(AND(ISNUMBER(Raw_Data[[#This Row],[Closing_Stock]]),ISNUMBER(Raw_Data[[#This Row],[Unit_Cost]])),Raw_Data[[#This Row],[Closing_Stock]]*Raw_Data[[#This Row],[Unit_Cost]],"")</f>
        <v>434588</v>
      </c>
      <c r="N78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82" spans="1:14" x14ac:dyDescent="0.3">
      <c r="A782" t="s">
        <v>1130</v>
      </c>
      <c r="B782" t="s">
        <v>23</v>
      </c>
      <c r="C782" t="s">
        <v>35</v>
      </c>
      <c r="D782" t="s">
        <v>32</v>
      </c>
      <c r="E782" s="3"/>
      <c r="F782">
        <v>75</v>
      </c>
      <c r="G782">
        <v>0</v>
      </c>
      <c r="H782">
        <v>75</v>
      </c>
      <c r="I782">
        <v>2160</v>
      </c>
      <c r="J782" t="s">
        <v>14</v>
      </c>
      <c r="K782" s="4">
        <f>IF(AND(ISNUMBER(Raw_Data[[#This Row],[Opening_Stock]]),ISNUMBER(Raw_Data[[#This Row],[Units_Sold]]),Raw_Data[[#This Row],[Opening_Stock]]&gt;0),Raw_Data[[#This Row],[Units_Sold]]/Raw_Data[[#This Row],[Opening_Stock]],"")</f>
        <v>0</v>
      </c>
      <c r="L782" t="str">
        <f>IF(NOT(ISNUMBER(Raw_Data[[#This Row],[Sell_through%]])),"Check",IF(Raw_Data[[#This Row],[Sell_through%]]=0,"Non-moving",IF(Raw_Data[[#This Row],[Sell_through%]]&gt;=0.6,"Fast","Slow")))</f>
        <v>Non-moving</v>
      </c>
      <c r="M782">
        <f>IF(AND(ISNUMBER(Raw_Data[[#This Row],[Closing_Stock]]),ISNUMBER(Raw_Data[[#This Row],[Unit_Cost]])),Raw_Data[[#This Row],[Closing_Stock]]*Raw_Data[[#This Row],[Unit_Cost]],"")</f>
        <v>162000</v>
      </c>
      <c r="N78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83" spans="1:14" x14ac:dyDescent="0.3">
      <c r="A783" t="s">
        <v>1131</v>
      </c>
      <c r="B783" t="s">
        <v>236</v>
      </c>
      <c r="C783" t="s">
        <v>12</v>
      </c>
      <c r="D783" t="s">
        <v>13</v>
      </c>
      <c r="E783" s="3">
        <v>46075</v>
      </c>
      <c r="F783">
        <v>171</v>
      </c>
      <c r="G783">
        <v>38</v>
      </c>
      <c r="H783">
        <v>133</v>
      </c>
      <c r="I783">
        <v>56</v>
      </c>
      <c r="J783" t="s">
        <v>14</v>
      </c>
      <c r="K783" s="4">
        <f>IF(AND(ISNUMBER(Raw_Data[[#This Row],[Opening_Stock]]),ISNUMBER(Raw_Data[[#This Row],[Units_Sold]]),Raw_Data[[#This Row],[Opening_Stock]]&gt;0),Raw_Data[[#This Row],[Units_Sold]]/Raw_Data[[#This Row],[Opening_Stock]],"")</f>
        <v>0.22222222222222221</v>
      </c>
      <c r="L783" t="str">
        <f>IF(NOT(ISNUMBER(Raw_Data[[#This Row],[Sell_through%]])),"Check",IF(Raw_Data[[#This Row],[Sell_through%]]=0,"Non-moving",IF(Raw_Data[[#This Row],[Sell_through%]]&gt;=0.6,"Fast","Slow")))</f>
        <v>Slow</v>
      </c>
      <c r="M783">
        <f>IF(AND(ISNUMBER(Raw_Data[[#This Row],[Closing_Stock]]),ISNUMBER(Raw_Data[[#This Row],[Unit_Cost]])),Raw_Data[[#This Row],[Closing_Stock]]*Raw_Data[[#This Row],[Unit_Cost]],"")</f>
        <v>7448</v>
      </c>
      <c r="N78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84" spans="1:14" x14ac:dyDescent="0.3">
      <c r="A784" t="s">
        <v>1132</v>
      </c>
      <c r="B784" t="s">
        <v>479</v>
      </c>
      <c r="C784" t="s">
        <v>31</v>
      </c>
      <c r="D784" t="s">
        <v>32</v>
      </c>
      <c r="E784" s="3">
        <v>46061</v>
      </c>
      <c r="F784">
        <v>97</v>
      </c>
      <c r="G784">
        <v>76</v>
      </c>
      <c r="H784">
        <v>21</v>
      </c>
      <c r="I784">
        <v>880</v>
      </c>
      <c r="J784" t="s">
        <v>17</v>
      </c>
      <c r="K784" s="4">
        <f>IF(AND(ISNUMBER(Raw_Data[[#This Row],[Opening_Stock]]),ISNUMBER(Raw_Data[[#This Row],[Units_Sold]]),Raw_Data[[#This Row],[Opening_Stock]]&gt;0),Raw_Data[[#This Row],[Units_Sold]]/Raw_Data[[#This Row],[Opening_Stock]],"")</f>
        <v>0.78350515463917525</v>
      </c>
      <c r="L784" t="str">
        <f>IF(NOT(ISNUMBER(Raw_Data[[#This Row],[Sell_through%]])),"Check",IF(Raw_Data[[#This Row],[Sell_through%]]=0,"Non-moving",IF(Raw_Data[[#This Row],[Sell_through%]]&gt;=0.6,"Fast","Slow")))</f>
        <v>Fast</v>
      </c>
      <c r="M784">
        <f>IF(AND(ISNUMBER(Raw_Data[[#This Row],[Closing_Stock]]),ISNUMBER(Raw_Data[[#This Row],[Unit_Cost]])),Raw_Data[[#This Row],[Closing_Stock]]*Raw_Data[[#This Row],[Unit_Cost]],"")</f>
        <v>18480</v>
      </c>
      <c r="N78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85" spans="1:14" x14ac:dyDescent="0.3">
      <c r="A785" t="s">
        <v>1133</v>
      </c>
      <c r="B785" t="s">
        <v>78</v>
      </c>
      <c r="C785" t="s">
        <v>35</v>
      </c>
      <c r="D785" t="s">
        <v>13</v>
      </c>
      <c r="E785" s="3"/>
      <c r="F785">
        <v>197</v>
      </c>
      <c r="G785">
        <v>0</v>
      </c>
      <c r="H785">
        <v>197</v>
      </c>
      <c r="I785">
        <v>544</v>
      </c>
      <c r="J785" t="s">
        <v>14</v>
      </c>
      <c r="K785" s="4">
        <f>IF(AND(ISNUMBER(Raw_Data[[#This Row],[Opening_Stock]]),ISNUMBER(Raw_Data[[#This Row],[Units_Sold]]),Raw_Data[[#This Row],[Opening_Stock]]&gt;0),Raw_Data[[#This Row],[Units_Sold]]/Raw_Data[[#This Row],[Opening_Stock]],"")</f>
        <v>0</v>
      </c>
      <c r="L785" t="str">
        <f>IF(NOT(ISNUMBER(Raw_Data[[#This Row],[Sell_through%]])),"Check",IF(Raw_Data[[#This Row],[Sell_through%]]=0,"Non-moving",IF(Raw_Data[[#This Row],[Sell_through%]]&gt;=0.6,"Fast","Slow")))</f>
        <v>Non-moving</v>
      </c>
      <c r="M785">
        <f>IF(AND(ISNUMBER(Raw_Data[[#This Row],[Closing_Stock]]),ISNUMBER(Raw_Data[[#This Row],[Unit_Cost]])),Raw_Data[[#This Row],[Closing_Stock]]*Raw_Data[[#This Row],[Unit_Cost]],"")</f>
        <v>107168</v>
      </c>
      <c r="N78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86" spans="1:14" x14ac:dyDescent="0.3">
      <c r="A786" t="s">
        <v>1135</v>
      </c>
      <c r="B786" t="s">
        <v>73</v>
      </c>
      <c r="C786" t="s">
        <v>49</v>
      </c>
      <c r="D786" t="s">
        <v>13</v>
      </c>
      <c r="E786" s="3"/>
      <c r="F786">
        <v>390</v>
      </c>
      <c r="G786">
        <v>0</v>
      </c>
      <c r="H786">
        <v>390</v>
      </c>
      <c r="I786">
        <v>656</v>
      </c>
      <c r="J786" t="s">
        <v>14</v>
      </c>
      <c r="K786" s="4">
        <f>IF(AND(ISNUMBER(Raw_Data[[#This Row],[Opening_Stock]]),ISNUMBER(Raw_Data[[#This Row],[Units_Sold]]),Raw_Data[[#This Row],[Opening_Stock]]&gt;0),Raw_Data[[#This Row],[Units_Sold]]/Raw_Data[[#This Row],[Opening_Stock]],"")</f>
        <v>0</v>
      </c>
      <c r="L786" t="str">
        <f>IF(NOT(ISNUMBER(Raw_Data[[#This Row],[Sell_through%]])),"Check",IF(Raw_Data[[#This Row],[Sell_through%]]=0,"Non-moving",IF(Raw_Data[[#This Row],[Sell_through%]]&gt;=0.6,"Fast","Slow")))</f>
        <v>Non-moving</v>
      </c>
      <c r="M786">
        <f>IF(AND(ISNUMBER(Raw_Data[[#This Row],[Closing_Stock]]),ISNUMBER(Raw_Data[[#This Row],[Unit_Cost]])),Raw_Data[[#This Row],[Closing_Stock]]*Raw_Data[[#This Row],[Unit_Cost]],"")</f>
        <v>255840</v>
      </c>
      <c r="N78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87" spans="1:14" x14ac:dyDescent="0.3">
      <c r="A787" t="s">
        <v>1136</v>
      </c>
      <c r="B787" t="s">
        <v>1344</v>
      </c>
      <c r="C787" t="s">
        <v>28</v>
      </c>
      <c r="D787" t="s">
        <v>13</v>
      </c>
      <c r="E787" s="3">
        <v>46252</v>
      </c>
      <c r="F787">
        <v>417</v>
      </c>
      <c r="G787">
        <v>29</v>
      </c>
      <c r="I787">
        <v>2064</v>
      </c>
      <c r="J787" t="s">
        <v>14</v>
      </c>
      <c r="K787" s="4">
        <f>IF(AND(ISNUMBER(Raw_Data[[#This Row],[Opening_Stock]]),ISNUMBER(Raw_Data[[#This Row],[Units_Sold]]),Raw_Data[[#This Row],[Opening_Stock]]&gt;0),Raw_Data[[#This Row],[Units_Sold]]/Raw_Data[[#This Row],[Opening_Stock]],"")</f>
        <v>6.9544364508393283E-2</v>
      </c>
      <c r="L787" t="str">
        <f>IF(NOT(ISNUMBER(Raw_Data[[#This Row],[Sell_through%]])),"Check",IF(Raw_Data[[#This Row],[Sell_through%]]=0,"Non-moving",IF(Raw_Data[[#This Row],[Sell_through%]]&gt;=0.6,"Fast","Slow")))</f>
        <v>Slow</v>
      </c>
      <c r="M787" t="str">
        <f>IF(AND(ISNUMBER(Raw_Data[[#This Row],[Closing_Stock]]),ISNUMBER(Raw_Data[[#This Row],[Unit_Cost]])),Raw_Data[[#This Row],[Closing_Stock]]*Raw_Data[[#This Row],[Unit_Cost]],"")</f>
        <v/>
      </c>
      <c r="N78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88" spans="1:14" x14ac:dyDescent="0.3">
      <c r="A788" t="s">
        <v>1138</v>
      </c>
      <c r="B788" t="s">
        <v>131</v>
      </c>
      <c r="C788" t="s">
        <v>49</v>
      </c>
      <c r="D788" t="s">
        <v>21</v>
      </c>
      <c r="E788" s="3">
        <v>46116</v>
      </c>
      <c r="F788">
        <v>400</v>
      </c>
      <c r="G788">
        <v>298</v>
      </c>
      <c r="H788">
        <v>102</v>
      </c>
      <c r="I788">
        <v>1782</v>
      </c>
      <c r="J788" t="s">
        <v>14</v>
      </c>
      <c r="K788" s="4">
        <f>IF(AND(ISNUMBER(Raw_Data[[#This Row],[Opening_Stock]]),ISNUMBER(Raw_Data[[#This Row],[Units_Sold]]),Raw_Data[[#This Row],[Opening_Stock]]&gt;0),Raw_Data[[#This Row],[Units_Sold]]/Raw_Data[[#This Row],[Opening_Stock]],"")</f>
        <v>0.745</v>
      </c>
      <c r="L788" t="str">
        <f>IF(NOT(ISNUMBER(Raw_Data[[#This Row],[Sell_through%]])),"Check",IF(Raw_Data[[#This Row],[Sell_through%]]=0,"Non-moving",IF(Raw_Data[[#This Row],[Sell_through%]]&gt;=0.6,"Fast","Slow")))</f>
        <v>Fast</v>
      </c>
      <c r="M788">
        <f>IF(AND(ISNUMBER(Raw_Data[[#This Row],[Closing_Stock]]),ISNUMBER(Raw_Data[[#This Row],[Unit_Cost]])),Raw_Data[[#This Row],[Closing_Stock]]*Raw_Data[[#This Row],[Unit_Cost]],"")</f>
        <v>181764</v>
      </c>
      <c r="N788"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789" spans="1:14" x14ac:dyDescent="0.3">
      <c r="A789" t="s">
        <v>1140</v>
      </c>
      <c r="B789" t="s">
        <v>422</v>
      </c>
      <c r="C789" t="s">
        <v>12</v>
      </c>
      <c r="D789" t="s">
        <v>13</v>
      </c>
      <c r="E789" s="3">
        <v>46144</v>
      </c>
      <c r="F789">
        <v>72</v>
      </c>
      <c r="G789">
        <v>53</v>
      </c>
      <c r="H789">
        <v>19</v>
      </c>
      <c r="I789">
        <v>1616</v>
      </c>
      <c r="J789" t="s">
        <v>17</v>
      </c>
      <c r="K789" s="4">
        <f>IF(AND(ISNUMBER(Raw_Data[[#This Row],[Opening_Stock]]),ISNUMBER(Raw_Data[[#This Row],[Units_Sold]]),Raw_Data[[#This Row],[Opening_Stock]]&gt;0),Raw_Data[[#This Row],[Units_Sold]]/Raw_Data[[#This Row],[Opening_Stock]],"")</f>
        <v>0.73611111111111116</v>
      </c>
      <c r="L789" t="str">
        <f>IF(NOT(ISNUMBER(Raw_Data[[#This Row],[Sell_through%]])),"Check",IF(Raw_Data[[#This Row],[Sell_through%]]=0,"Non-moving",IF(Raw_Data[[#This Row],[Sell_through%]]&gt;=0.6,"Fast","Slow")))</f>
        <v>Fast</v>
      </c>
      <c r="M789">
        <f>IF(AND(ISNUMBER(Raw_Data[[#This Row],[Closing_Stock]]),ISNUMBER(Raw_Data[[#This Row],[Unit_Cost]])),Raw_Data[[#This Row],[Closing_Stock]]*Raw_Data[[#This Row],[Unit_Cost]],"")</f>
        <v>30704</v>
      </c>
      <c r="N78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90" spans="1:14" x14ac:dyDescent="0.3">
      <c r="A790" t="s">
        <v>1141</v>
      </c>
      <c r="B790" t="s">
        <v>54</v>
      </c>
      <c r="C790" t="s">
        <v>31</v>
      </c>
      <c r="D790" t="s">
        <v>21</v>
      </c>
      <c r="E790" s="3">
        <v>46084</v>
      </c>
      <c r="F790">
        <v>133</v>
      </c>
      <c r="G790">
        <v>128</v>
      </c>
      <c r="H790">
        <v>5</v>
      </c>
      <c r="I790">
        <v>1263</v>
      </c>
      <c r="J790" t="s">
        <v>17</v>
      </c>
      <c r="K790" s="4">
        <f>IF(AND(ISNUMBER(Raw_Data[[#This Row],[Opening_Stock]]),ISNUMBER(Raw_Data[[#This Row],[Units_Sold]]),Raw_Data[[#This Row],[Opening_Stock]]&gt;0),Raw_Data[[#This Row],[Units_Sold]]/Raw_Data[[#This Row],[Opening_Stock]],"")</f>
        <v>0.96240601503759393</v>
      </c>
      <c r="L790" t="str">
        <f>IF(NOT(ISNUMBER(Raw_Data[[#This Row],[Sell_through%]])),"Check",IF(Raw_Data[[#This Row],[Sell_through%]]=0,"Non-moving",IF(Raw_Data[[#This Row],[Sell_through%]]&gt;=0.6,"Fast","Slow")))</f>
        <v>Fast</v>
      </c>
      <c r="M790">
        <f>IF(AND(ISNUMBER(Raw_Data[[#This Row],[Closing_Stock]]),ISNUMBER(Raw_Data[[#This Row],[Unit_Cost]])),Raw_Data[[#This Row],[Closing_Stock]]*Raw_Data[[#This Row],[Unit_Cost]],"")</f>
        <v>6315</v>
      </c>
      <c r="N79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91" spans="1:14" x14ac:dyDescent="0.3">
      <c r="A791" t="s">
        <v>1142</v>
      </c>
      <c r="B791" t="s">
        <v>324</v>
      </c>
      <c r="C791" t="s">
        <v>31</v>
      </c>
      <c r="D791" t="s">
        <v>13</v>
      </c>
      <c r="E791" s="3"/>
      <c r="F791">
        <v>179</v>
      </c>
      <c r="G791">
        <v>0</v>
      </c>
      <c r="H791">
        <v>179</v>
      </c>
      <c r="I791">
        <v>1128</v>
      </c>
      <c r="J791" t="s">
        <v>14</v>
      </c>
      <c r="K791" s="4">
        <f>IF(AND(ISNUMBER(Raw_Data[[#This Row],[Opening_Stock]]),ISNUMBER(Raw_Data[[#This Row],[Units_Sold]]),Raw_Data[[#This Row],[Opening_Stock]]&gt;0),Raw_Data[[#This Row],[Units_Sold]]/Raw_Data[[#This Row],[Opening_Stock]],"")</f>
        <v>0</v>
      </c>
      <c r="L791" t="str">
        <f>IF(NOT(ISNUMBER(Raw_Data[[#This Row],[Sell_through%]])),"Check",IF(Raw_Data[[#This Row],[Sell_through%]]=0,"Non-moving",IF(Raw_Data[[#This Row],[Sell_through%]]&gt;=0.6,"Fast","Slow")))</f>
        <v>Non-moving</v>
      </c>
      <c r="M791">
        <f>IF(AND(ISNUMBER(Raw_Data[[#This Row],[Closing_Stock]]),ISNUMBER(Raw_Data[[#This Row],[Unit_Cost]])),Raw_Data[[#This Row],[Closing_Stock]]*Raw_Data[[#This Row],[Unit_Cost]],"")</f>
        <v>201912</v>
      </c>
      <c r="N79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92" spans="1:14" x14ac:dyDescent="0.3">
      <c r="A792" t="s">
        <v>1143</v>
      </c>
      <c r="B792" t="s">
        <v>34</v>
      </c>
      <c r="C792" t="s">
        <v>35</v>
      </c>
      <c r="D792" t="s">
        <v>36</v>
      </c>
      <c r="E792" s="3">
        <v>46262</v>
      </c>
      <c r="F792">
        <v>261</v>
      </c>
      <c r="G792">
        <v>72</v>
      </c>
      <c r="H792">
        <v>189</v>
      </c>
      <c r="J792" t="s">
        <v>14</v>
      </c>
      <c r="K792" s="4">
        <f>IF(AND(ISNUMBER(Raw_Data[[#This Row],[Opening_Stock]]),ISNUMBER(Raw_Data[[#This Row],[Units_Sold]]),Raw_Data[[#This Row],[Opening_Stock]]&gt;0),Raw_Data[[#This Row],[Units_Sold]]/Raw_Data[[#This Row],[Opening_Stock]],"")</f>
        <v>0.27586206896551724</v>
      </c>
      <c r="L792" t="str">
        <f>IF(NOT(ISNUMBER(Raw_Data[[#This Row],[Sell_through%]])),"Check",IF(Raw_Data[[#This Row],[Sell_through%]]=0,"Non-moving",IF(Raw_Data[[#This Row],[Sell_through%]]&gt;=0.6,"Fast","Slow")))</f>
        <v>Slow</v>
      </c>
      <c r="M792" t="str">
        <f>IF(AND(ISNUMBER(Raw_Data[[#This Row],[Closing_Stock]]),ISNUMBER(Raw_Data[[#This Row],[Unit_Cost]])),Raw_Data[[#This Row],[Closing_Stock]]*Raw_Data[[#This Row],[Unit_Cost]],"")</f>
        <v/>
      </c>
      <c r="N79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93" spans="1:14" x14ac:dyDescent="0.3">
      <c r="A793" t="s">
        <v>1144</v>
      </c>
      <c r="B793" t="s">
        <v>131</v>
      </c>
      <c r="C793" t="s">
        <v>49</v>
      </c>
      <c r="D793" t="s">
        <v>36</v>
      </c>
      <c r="E793" s="3">
        <v>46069</v>
      </c>
      <c r="F793">
        <v>478</v>
      </c>
      <c r="G793">
        <v>36</v>
      </c>
      <c r="H793">
        <v>442</v>
      </c>
      <c r="I793">
        <v>1283</v>
      </c>
      <c r="J793" t="s">
        <v>14</v>
      </c>
      <c r="K793" s="4">
        <f>IF(AND(ISNUMBER(Raw_Data[[#This Row],[Opening_Stock]]),ISNUMBER(Raw_Data[[#This Row],[Units_Sold]]),Raw_Data[[#This Row],[Opening_Stock]]&gt;0),Raw_Data[[#This Row],[Units_Sold]]/Raw_Data[[#This Row],[Opening_Stock]],"")</f>
        <v>7.5313807531380755E-2</v>
      </c>
      <c r="L793" t="str">
        <f>IF(NOT(ISNUMBER(Raw_Data[[#This Row],[Sell_through%]])),"Check",IF(Raw_Data[[#This Row],[Sell_through%]]=0,"Non-moving",IF(Raw_Data[[#This Row],[Sell_through%]]&gt;=0.6,"Fast","Slow")))</f>
        <v>Slow</v>
      </c>
      <c r="M793">
        <f>IF(AND(ISNUMBER(Raw_Data[[#This Row],[Closing_Stock]]),ISNUMBER(Raw_Data[[#This Row],[Unit_Cost]])),Raw_Data[[#This Row],[Closing_Stock]]*Raw_Data[[#This Row],[Unit_Cost]],"")</f>
        <v>567086</v>
      </c>
      <c r="N79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94" spans="1:14" x14ac:dyDescent="0.3">
      <c r="A794" t="s">
        <v>1145</v>
      </c>
      <c r="B794" t="s">
        <v>284</v>
      </c>
      <c r="C794" t="s">
        <v>49</v>
      </c>
      <c r="D794" t="s">
        <v>32</v>
      </c>
      <c r="E794" s="3">
        <v>46017</v>
      </c>
      <c r="F794">
        <v>300</v>
      </c>
      <c r="G794">
        <v>290</v>
      </c>
      <c r="H794">
        <v>10</v>
      </c>
      <c r="I794">
        <v>2181</v>
      </c>
      <c r="J794" t="s">
        <v>17</v>
      </c>
      <c r="K794" s="4">
        <f>IF(AND(ISNUMBER(Raw_Data[[#This Row],[Opening_Stock]]),ISNUMBER(Raw_Data[[#This Row],[Units_Sold]]),Raw_Data[[#This Row],[Opening_Stock]]&gt;0),Raw_Data[[#This Row],[Units_Sold]]/Raw_Data[[#This Row],[Opening_Stock]],"")</f>
        <v>0.96666666666666667</v>
      </c>
      <c r="L794" t="str">
        <f>IF(NOT(ISNUMBER(Raw_Data[[#This Row],[Sell_through%]])),"Check",IF(Raw_Data[[#This Row],[Sell_through%]]=0,"Non-moving",IF(Raw_Data[[#This Row],[Sell_through%]]&gt;=0.6,"Fast","Slow")))</f>
        <v>Fast</v>
      </c>
      <c r="M794">
        <f>IF(AND(ISNUMBER(Raw_Data[[#This Row],[Closing_Stock]]),ISNUMBER(Raw_Data[[#This Row],[Unit_Cost]])),Raw_Data[[#This Row],[Closing_Stock]]*Raw_Data[[#This Row],[Unit_Cost]],"")</f>
        <v>21810</v>
      </c>
      <c r="N79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795" spans="1:14" x14ac:dyDescent="0.3">
      <c r="A795" t="s">
        <v>1146</v>
      </c>
      <c r="B795" t="s">
        <v>30</v>
      </c>
      <c r="C795" t="s">
        <v>31</v>
      </c>
      <c r="D795" t="s">
        <v>13</v>
      </c>
      <c r="E795" s="3">
        <v>46217</v>
      </c>
      <c r="F795">
        <v>412</v>
      </c>
      <c r="G795">
        <v>66</v>
      </c>
      <c r="H795">
        <v>346</v>
      </c>
      <c r="I795">
        <v>966</v>
      </c>
      <c r="J795" t="s">
        <v>14</v>
      </c>
      <c r="K795" s="4">
        <f>IF(AND(ISNUMBER(Raw_Data[[#This Row],[Opening_Stock]]),ISNUMBER(Raw_Data[[#This Row],[Units_Sold]]),Raw_Data[[#This Row],[Opening_Stock]]&gt;0),Raw_Data[[#This Row],[Units_Sold]]/Raw_Data[[#This Row],[Opening_Stock]],"")</f>
        <v>0.16019417475728157</v>
      </c>
      <c r="L795" t="str">
        <f>IF(NOT(ISNUMBER(Raw_Data[[#This Row],[Sell_through%]])),"Check",IF(Raw_Data[[#This Row],[Sell_through%]]=0,"Non-moving",IF(Raw_Data[[#This Row],[Sell_through%]]&gt;=0.6,"Fast","Slow")))</f>
        <v>Slow</v>
      </c>
      <c r="M795">
        <f>IF(AND(ISNUMBER(Raw_Data[[#This Row],[Closing_Stock]]),ISNUMBER(Raw_Data[[#This Row],[Unit_Cost]])),Raw_Data[[#This Row],[Closing_Stock]]*Raw_Data[[#This Row],[Unit_Cost]],"")</f>
        <v>334236</v>
      </c>
      <c r="N79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96" spans="1:14" x14ac:dyDescent="0.3">
      <c r="A796" t="s">
        <v>1147</v>
      </c>
      <c r="B796" t="s">
        <v>1344</v>
      </c>
      <c r="C796" t="s">
        <v>28</v>
      </c>
      <c r="D796" t="s">
        <v>21</v>
      </c>
      <c r="E796" s="3"/>
      <c r="F796">
        <v>62</v>
      </c>
      <c r="G796">
        <v>0</v>
      </c>
      <c r="H796">
        <v>62</v>
      </c>
      <c r="I796">
        <v>1948</v>
      </c>
      <c r="J796" t="s">
        <v>14</v>
      </c>
      <c r="K796" s="4">
        <f>IF(AND(ISNUMBER(Raw_Data[[#This Row],[Opening_Stock]]),ISNUMBER(Raw_Data[[#This Row],[Units_Sold]]),Raw_Data[[#This Row],[Opening_Stock]]&gt;0),Raw_Data[[#This Row],[Units_Sold]]/Raw_Data[[#This Row],[Opening_Stock]],"")</f>
        <v>0</v>
      </c>
      <c r="L796" t="str">
        <f>IF(NOT(ISNUMBER(Raw_Data[[#This Row],[Sell_through%]])),"Check",IF(Raw_Data[[#This Row],[Sell_through%]]=0,"Non-moving",IF(Raw_Data[[#This Row],[Sell_through%]]&gt;=0.6,"Fast","Slow")))</f>
        <v>Non-moving</v>
      </c>
      <c r="M796">
        <f>IF(AND(ISNUMBER(Raw_Data[[#This Row],[Closing_Stock]]),ISNUMBER(Raw_Data[[#This Row],[Unit_Cost]])),Raw_Data[[#This Row],[Closing_Stock]]*Raw_Data[[#This Row],[Unit_Cost]],"")</f>
        <v>120776</v>
      </c>
      <c r="N79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97" spans="1:14" x14ac:dyDescent="0.3">
      <c r="A797" t="s">
        <v>1149</v>
      </c>
      <c r="B797" t="s">
        <v>95</v>
      </c>
      <c r="C797" t="s">
        <v>31</v>
      </c>
      <c r="D797" t="s">
        <v>36</v>
      </c>
      <c r="E797" s="3"/>
      <c r="F797">
        <v>212</v>
      </c>
      <c r="G797">
        <v>0</v>
      </c>
      <c r="H797">
        <v>212</v>
      </c>
      <c r="J797" t="s">
        <v>14</v>
      </c>
      <c r="K797" s="4">
        <f>IF(AND(ISNUMBER(Raw_Data[[#This Row],[Opening_Stock]]),ISNUMBER(Raw_Data[[#This Row],[Units_Sold]]),Raw_Data[[#This Row],[Opening_Stock]]&gt;0),Raw_Data[[#This Row],[Units_Sold]]/Raw_Data[[#This Row],[Opening_Stock]],"")</f>
        <v>0</v>
      </c>
      <c r="L797" t="str">
        <f>IF(NOT(ISNUMBER(Raw_Data[[#This Row],[Sell_through%]])),"Check",IF(Raw_Data[[#This Row],[Sell_through%]]=0,"Non-moving",IF(Raw_Data[[#This Row],[Sell_through%]]&gt;=0.6,"Fast","Slow")))</f>
        <v>Non-moving</v>
      </c>
      <c r="M797" t="str">
        <f>IF(AND(ISNUMBER(Raw_Data[[#This Row],[Closing_Stock]]),ISNUMBER(Raw_Data[[#This Row],[Unit_Cost]])),Raw_Data[[#This Row],[Closing_Stock]]*Raw_Data[[#This Row],[Unit_Cost]],"")</f>
        <v/>
      </c>
      <c r="N79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98" spans="1:14" x14ac:dyDescent="0.3">
      <c r="A798" t="s">
        <v>1150</v>
      </c>
      <c r="B798" t="s">
        <v>65</v>
      </c>
      <c r="C798" t="s">
        <v>49</v>
      </c>
      <c r="D798" t="s">
        <v>32</v>
      </c>
      <c r="E798" s="3">
        <v>46192</v>
      </c>
      <c r="F798">
        <v>185</v>
      </c>
      <c r="G798">
        <v>59</v>
      </c>
      <c r="H798">
        <v>126</v>
      </c>
      <c r="I798">
        <v>924</v>
      </c>
      <c r="J798" t="s">
        <v>14</v>
      </c>
      <c r="K798" s="4">
        <f>IF(AND(ISNUMBER(Raw_Data[[#This Row],[Opening_Stock]]),ISNUMBER(Raw_Data[[#This Row],[Units_Sold]]),Raw_Data[[#This Row],[Opening_Stock]]&gt;0),Raw_Data[[#This Row],[Units_Sold]]/Raw_Data[[#This Row],[Opening_Stock]],"")</f>
        <v>0.31891891891891894</v>
      </c>
      <c r="L798" t="str">
        <f>IF(NOT(ISNUMBER(Raw_Data[[#This Row],[Sell_through%]])),"Check",IF(Raw_Data[[#This Row],[Sell_through%]]=0,"Non-moving",IF(Raw_Data[[#This Row],[Sell_through%]]&gt;=0.6,"Fast","Slow")))</f>
        <v>Slow</v>
      </c>
      <c r="M798">
        <f>IF(AND(ISNUMBER(Raw_Data[[#This Row],[Closing_Stock]]),ISNUMBER(Raw_Data[[#This Row],[Unit_Cost]])),Raw_Data[[#This Row],[Closing_Stock]]*Raw_Data[[#This Row],[Unit_Cost]],"")</f>
        <v>116424</v>
      </c>
      <c r="N79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799" spans="1:14" x14ac:dyDescent="0.3">
      <c r="A799" t="s">
        <v>1152</v>
      </c>
      <c r="B799" t="s">
        <v>184</v>
      </c>
      <c r="C799" t="s">
        <v>31</v>
      </c>
      <c r="D799" t="s">
        <v>21</v>
      </c>
      <c r="E799" s="3">
        <v>45998</v>
      </c>
      <c r="F799">
        <v>53</v>
      </c>
      <c r="G799">
        <v>18</v>
      </c>
      <c r="H799">
        <v>35</v>
      </c>
      <c r="I799">
        <v>2133</v>
      </c>
      <c r="J799" t="s">
        <v>17</v>
      </c>
      <c r="K799" s="4">
        <f>IF(AND(ISNUMBER(Raw_Data[[#This Row],[Opening_Stock]]),ISNUMBER(Raw_Data[[#This Row],[Units_Sold]]),Raw_Data[[#This Row],[Opening_Stock]]&gt;0),Raw_Data[[#This Row],[Units_Sold]]/Raw_Data[[#This Row],[Opening_Stock]],"")</f>
        <v>0.33962264150943394</v>
      </c>
      <c r="L799" t="str">
        <f>IF(NOT(ISNUMBER(Raw_Data[[#This Row],[Sell_through%]])),"Check",IF(Raw_Data[[#This Row],[Sell_through%]]=0,"Non-moving",IF(Raw_Data[[#This Row],[Sell_through%]]&gt;=0.6,"Fast","Slow")))</f>
        <v>Slow</v>
      </c>
      <c r="M799">
        <f>IF(AND(ISNUMBER(Raw_Data[[#This Row],[Closing_Stock]]),ISNUMBER(Raw_Data[[#This Row],[Unit_Cost]])),Raw_Data[[#This Row],[Closing_Stock]]*Raw_Data[[#This Row],[Unit_Cost]],"")</f>
        <v>74655</v>
      </c>
      <c r="N79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00" spans="1:14" x14ac:dyDescent="0.3">
      <c r="A800" t="s">
        <v>1153</v>
      </c>
      <c r="B800" t="s">
        <v>387</v>
      </c>
      <c r="C800" t="s">
        <v>12</v>
      </c>
      <c r="D800" t="s">
        <v>13</v>
      </c>
      <c r="E800" s="3">
        <v>46051</v>
      </c>
      <c r="F800">
        <v>241</v>
      </c>
      <c r="G800">
        <v>89</v>
      </c>
      <c r="H800">
        <v>152</v>
      </c>
      <c r="I800">
        <v>1346</v>
      </c>
      <c r="J800" t="s">
        <v>14</v>
      </c>
      <c r="K800" s="4">
        <f>IF(AND(ISNUMBER(Raw_Data[[#This Row],[Opening_Stock]]),ISNUMBER(Raw_Data[[#This Row],[Units_Sold]]),Raw_Data[[#This Row],[Opening_Stock]]&gt;0),Raw_Data[[#This Row],[Units_Sold]]/Raw_Data[[#This Row],[Opening_Stock]],"")</f>
        <v>0.36929460580912865</v>
      </c>
      <c r="L800" t="str">
        <f>IF(NOT(ISNUMBER(Raw_Data[[#This Row],[Sell_through%]])),"Check",IF(Raw_Data[[#This Row],[Sell_through%]]=0,"Non-moving",IF(Raw_Data[[#This Row],[Sell_through%]]&gt;=0.6,"Fast","Slow")))</f>
        <v>Slow</v>
      </c>
      <c r="M800">
        <f>IF(AND(ISNUMBER(Raw_Data[[#This Row],[Closing_Stock]]),ISNUMBER(Raw_Data[[#This Row],[Unit_Cost]])),Raw_Data[[#This Row],[Closing_Stock]]*Raw_Data[[#This Row],[Unit_Cost]],"")</f>
        <v>204592</v>
      </c>
      <c r="N80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01" spans="1:14" x14ac:dyDescent="0.3">
      <c r="A801" t="s">
        <v>1155</v>
      </c>
      <c r="B801" t="s">
        <v>142</v>
      </c>
      <c r="C801" t="s">
        <v>49</v>
      </c>
      <c r="D801" t="s">
        <v>21</v>
      </c>
      <c r="E801" s="3">
        <v>46084</v>
      </c>
      <c r="F801">
        <v>257</v>
      </c>
      <c r="G801">
        <v>98</v>
      </c>
      <c r="H801">
        <v>159</v>
      </c>
      <c r="J801" t="s">
        <v>14</v>
      </c>
      <c r="K801" s="4">
        <f>IF(AND(ISNUMBER(Raw_Data[[#This Row],[Opening_Stock]]),ISNUMBER(Raw_Data[[#This Row],[Units_Sold]]),Raw_Data[[#This Row],[Opening_Stock]]&gt;0),Raw_Data[[#This Row],[Units_Sold]]/Raw_Data[[#This Row],[Opening_Stock]],"")</f>
        <v>0.38132295719844356</v>
      </c>
      <c r="L801" t="str">
        <f>IF(NOT(ISNUMBER(Raw_Data[[#This Row],[Sell_through%]])),"Check",IF(Raw_Data[[#This Row],[Sell_through%]]=0,"Non-moving",IF(Raw_Data[[#This Row],[Sell_through%]]&gt;=0.6,"Fast","Slow")))</f>
        <v>Slow</v>
      </c>
      <c r="M801" t="str">
        <f>IF(AND(ISNUMBER(Raw_Data[[#This Row],[Closing_Stock]]),ISNUMBER(Raw_Data[[#This Row],[Unit_Cost]])),Raw_Data[[#This Row],[Closing_Stock]]*Raw_Data[[#This Row],[Unit_Cost]],"")</f>
        <v/>
      </c>
      <c r="N80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02" spans="1:14" x14ac:dyDescent="0.3">
      <c r="A802" t="s">
        <v>1156</v>
      </c>
      <c r="B802" t="s">
        <v>164</v>
      </c>
      <c r="D802" t="s">
        <v>32</v>
      </c>
      <c r="E802" s="3">
        <v>46252</v>
      </c>
      <c r="F802">
        <v>163</v>
      </c>
      <c r="G802">
        <v>137</v>
      </c>
      <c r="H802">
        <v>31</v>
      </c>
      <c r="I802">
        <v>2169</v>
      </c>
      <c r="J802" t="s">
        <v>17</v>
      </c>
      <c r="K802" s="4">
        <f>IF(AND(ISNUMBER(Raw_Data[[#This Row],[Opening_Stock]]),ISNUMBER(Raw_Data[[#This Row],[Units_Sold]]),Raw_Data[[#This Row],[Opening_Stock]]&gt;0),Raw_Data[[#This Row],[Units_Sold]]/Raw_Data[[#This Row],[Opening_Stock]],"")</f>
        <v>0.8404907975460123</v>
      </c>
      <c r="L802" t="str">
        <f>IF(NOT(ISNUMBER(Raw_Data[[#This Row],[Sell_through%]])),"Check",IF(Raw_Data[[#This Row],[Sell_through%]]=0,"Non-moving",IF(Raw_Data[[#This Row],[Sell_through%]]&gt;=0.6,"Fast","Slow")))</f>
        <v>Fast</v>
      </c>
      <c r="M802">
        <f>IF(AND(ISNUMBER(Raw_Data[[#This Row],[Closing_Stock]]),ISNUMBER(Raw_Data[[#This Row],[Unit_Cost]])),Raw_Data[[#This Row],[Closing_Stock]]*Raw_Data[[#This Row],[Unit_Cost]],"")</f>
        <v>67239</v>
      </c>
      <c r="N802"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03" spans="1:14" x14ac:dyDescent="0.3">
      <c r="A803" t="s">
        <v>1157</v>
      </c>
      <c r="B803" t="s">
        <v>41</v>
      </c>
      <c r="C803" t="s">
        <v>49</v>
      </c>
      <c r="D803" t="s">
        <v>36</v>
      </c>
      <c r="E803" s="3"/>
      <c r="F803">
        <v>394</v>
      </c>
      <c r="G803">
        <v>0</v>
      </c>
      <c r="H803">
        <v>394</v>
      </c>
      <c r="I803">
        <v>1545</v>
      </c>
      <c r="J803" t="s">
        <v>14</v>
      </c>
      <c r="K803" s="4">
        <f>IF(AND(ISNUMBER(Raw_Data[[#This Row],[Opening_Stock]]),ISNUMBER(Raw_Data[[#This Row],[Units_Sold]]),Raw_Data[[#This Row],[Opening_Stock]]&gt;0),Raw_Data[[#This Row],[Units_Sold]]/Raw_Data[[#This Row],[Opening_Stock]],"")</f>
        <v>0</v>
      </c>
      <c r="L803" t="str">
        <f>IF(NOT(ISNUMBER(Raw_Data[[#This Row],[Sell_through%]])),"Check",IF(Raw_Data[[#This Row],[Sell_through%]]=0,"Non-moving",IF(Raw_Data[[#This Row],[Sell_through%]]&gt;=0.6,"Fast","Slow")))</f>
        <v>Non-moving</v>
      </c>
      <c r="M803">
        <f>IF(AND(ISNUMBER(Raw_Data[[#This Row],[Closing_Stock]]),ISNUMBER(Raw_Data[[#This Row],[Unit_Cost]])),Raw_Data[[#This Row],[Closing_Stock]]*Raw_Data[[#This Row],[Unit_Cost]],"")</f>
        <v>608730</v>
      </c>
      <c r="N80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04" spans="1:14" x14ac:dyDescent="0.3">
      <c r="A804" t="s">
        <v>1159</v>
      </c>
      <c r="B804" t="s">
        <v>562</v>
      </c>
      <c r="C804" t="s">
        <v>35</v>
      </c>
      <c r="D804" t="s">
        <v>36</v>
      </c>
      <c r="E804" s="3">
        <v>46173</v>
      </c>
      <c r="G804">
        <v>56</v>
      </c>
      <c r="H804">
        <v>16</v>
      </c>
      <c r="I804">
        <v>2722</v>
      </c>
      <c r="J804" t="s">
        <v>17</v>
      </c>
      <c r="K804" s="4" t="str">
        <f>IF(AND(ISNUMBER(Raw_Data[[#This Row],[Opening_Stock]]),ISNUMBER(Raw_Data[[#This Row],[Units_Sold]]),Raw_Data[[#This Row],[Opening_Stock]]&gt;0),Raw_Data[[#This Row],[Units_Sold]]/Raw_Data[[#This Row],[Opening_Stock]],"")</f>
        <v/>
      </c>
      <c r="L804" t="str">
        <f>IF(NOT(ISNUMBER(Raw_Data[[#This Row],[Sell_through%]])),"Check",IF(Raw_Data[[#This Row],[Sell_through%]]=0,"Non-moving",IF(Raw_Data[[#This Row],[Sell_through%]]&gt;=0.6,"Fast","Slow")))</f>
        <v>Check</v>
      </c>
      <c r="M804">
        <f>IF(AND(ISNUMBER(Raw_Data[[#This Row],[Closing_Stock]]),ISNUMBER(Raw_Data[[#This Row],[Unit_Cost]])),Raw_Data[[#This Row],[Closing_Stock]]*Raw_Data[[#This Row],[Unit_Cost]],"")</f>
        <v>43552</v>
      </c>
      <c r="N80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05" spans="1:14" x14ac:dyDescent="0.3">
      <c r="A805" t="s">
        <v>1160</v>
      </c>
      <c r="B805" t="s">
        <v>23</v>
      </c>
      <c r="C805" t="s">
        <v>35</v>
      </c>
      <c r="D805" t="s">
        <v>13</v>
      </c>
      <c r="E805" s="3">
        <v>46208</v>
      </c>
      <c r="F805">
        <v>396</v>
      </c>
      <c r="G805">
        <v>332</v>
      </c>
      <c r="H805">
        <v>64</v>
      </c>
      <c r="I805">
        <v>1268</v>
      </c>
      <c r="J805" t="s">
        <v>14</v>
      </c>
      <c r="K805" s="4">
        <f>IF(AND(ISNUMBER(Raw_Data[[#This Row],[Opening_Stock]]),ISNUMBER(Raw_Data[[#This Row],[Units_Sold]]),Raw_Data[[#This Row],[Opening_Stock]]&gt;0),Raw_Data[[#This Row],[Units_Sold]]/Raw_Data[[#This Row],[Opening_Stock]],"")</f>
        <v>0.83838383838383834</v>
      </c>
      <c r="L805" t="str">
        <f>IF(NOT(ISNUMBER(Raw_Data[[#This Row],[Sell_through%]])),"Check",IF(Raw_Data[[#This Row],[Sell_through%]]=0,"Non-moving",IF(Raw_Data[[#This Row],[Sell_through%]]&gt;=0.6,"Fast","Slow")))</f>
        <v>Fast</v>
      </c>
      <c r="M805">
        <f>IF(AND(ISNUMBER(Raw_Data[[#This Row],[Closing_Stock]]),ISNUMBER(Raw_Data[[#This Row],[Unit_Cost]])),Raw_Data[[#This Row],[Closing_Stock]]*Raw_Data[[#This Row],[Unit_Cost]],"")</f>
        <v>81152</v>
      </c>
      <c r="N80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06" spans="1:14" x14ac:dyDescent="0.3">
      <c r="A806" t="s">
        <v>1161</v>
      </c>
      <c r="B806" t="s">
        <v>198</v>
      </c>
      <c r="C806" t="s">
        <v>31</v>
      </c>
      <c r="D806" t="s">
        <v>21</v>
      </c>
      <c r="E806" s="3">
        <v>46034</v>
      </c>
      <c r="F806">
        <v>261</v>
      </c>
      <c r="G806">
        <v>32</v>
      </c>
      <c r="H806">
        <v>229</v>
      </c>
      <c r="I806">
        <v>123</v>
      </c>
      <c r="J806" t="s">
        <v>14</v>
      </c>
      <c r="K806" s="4">
        <f>IF(AND(ISNUMBER(Raw_Data[[#This Row],[Opening_Stock]]),ISNUMBER(Raw_Data[[#This Row],[Units_Sold]]),Raw_Data[[#This Row],[Opening_Stock]]&gt;0),Raw_Data[[#This Row],[Units_Sold]]/Raw_Data[[#This Row],[Opening_Stock]],"")</f>
        <v>0.12260536398467432</v>
      </c>
      <c r="L806" t="str">
        <f>IF(NOT(ISNUMBER(Raw_Data[[#This Row],[Sell_through%]])),"Check",IF(Raw_Data[[#This Row],[Sell_through%]]=0,"Non-moving",IF(Raw_Data[[#This Row],[Sell_through%]]&gt;=0.6,"Fast","Slow")))</f>
        <v>Slow</v>
      </c>
      <c r="M806">
        <f>IF(AND(ISNUMBER(Raw_Data[[#This Row],[Closing_Stock]]),ISNUMBER(Raw_Data[[#This Row],[Unit_Cost]])),Raw_Data[[#This Row],[Closing_Stock]]*Raw_Data[[#This Row],[Unit_Cost]],"")</f>
        <v>28167</v>
      </c>
      <c r="N80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07" spans="1:14" x14ac:dyDescent="0.3">
      <c r="A807" t="s">
        <v>1162</v>
      </c>
      <c r="B807" t="s">
        <v>1342</v>
      </c>
      <c r="C807" t="s">
        <v>28</v>
      </c>
      <c r="D807" t="s">
        <v>32</v>
      </c>
      <c r="E807" s="3">
        <v>46173</v>
      </c>
      <c r="F807">
        <v>346</v>
      </c>
      <c r="G807">
        <v>108</v>
      </c>
      <c r="H807">
        <v>238</v>
      </c>
      <c r="I807">
        <v>300</v>
      </c>
      <c r="J807" t="s">
        <v>14</v>
      </c>
      <c r="K807" s="4">
        <f>IF(AND(ISNUMBER(Raw_Data[[#This Row],[Opening_Stock]]),ISNUMBER(Raw_Data[[#This Row],[Units_Sold]]),Raw_Data[[#This Row],[Opening_Stock]]&gt;0),Raw_Data[[#This Row],[Units_Sold]]/Raw_Data[[#This Row],[Opening_Stock]],"")</f>
        <v>0.31213872832369943</v>
      </c>
      <c r="L807" t="str">
        <f>IF(NOT(ISNUMBER(Raw_Data[[#This Row],[Sell_through%]])),"Check",IF(Raw_Data[[#This Row],[Sell_through%]]=0,"Non-moving",IF(Raw_Data[[#This Row],[Sell_through%]]&gt;=0.6,"Fast","Slow")))</f>
        <v>Slow</v>
      </c>
      <c r="M807">
        <f>IF(AND(ISNUMBER(Raw_Data[[#This Row],[Closing_Stock]]),ISNUMBER(Raw_Data[[#This Row],[Unit_Cost]])),Raw_Data[[#This Row],[Closing_Stock]]*Raw_Data[[#This Row],[Unit_Cost]],"")</f>
        <v>71400</v>
      </c>
      <c r="N80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08" spans="1:14" x14ac:dyDescent="0.3">
      <c r="A808" t="s">
        <v>1163</v>
      </c>
      <c r="B808" t="s">
        <v>189</v>
      </c>
      <c r="C808" t="s">
        <v>49</v>
      </c>
      <c r="D808" t="s">
        <v>36</v>
      </c>
      <c r="E808" s="3"/>
      <c r="F808">
        <v>488</v>
      </c>
      <c r="G808">
        <v>0</v>
      </c>
      <c r="H808">
        <v>488</v>
      </c>
      <c r="I808">
        <v>337</v>
      </c>
      <c r="J808" t="s">
        <v>14</v>
      </c>
      <c r="K808" s="4">
        <f>IF(AND(ISNUMBER(Raw_Data[[#This Row],[Opening_Stock]]),ISNUMBER(Raw_Data[[#This Row],[Units_Sold]]),Raw_Data[[#This Row],[Opening_Stock]]&gt;0),Raw_Data[[#This Row],[Units_Sold]]/Raw_Data[[#This Row],[Opening_Stock]],"")</f>
        <v>0</v>
      </c>
      <c r="L808" t="str">
        <f>IF(NOT(ISNUMBER(Raw_Data[[#This Row],[Sell_through%]])),"Check",IF(Raw_Data[[#This Row],[Sell_through%]]=0,"Non-moving",IF(Raw_Data[[#This Row],[Sell_through%]]&gt;=0.6,"Fast","Slow")))</f>
        <v>Non-moving</v>
      </c>
      <c r="M808">
        <f>IF(AND(ISNUMBER(Raw_Data[[#This Row],[Closing_Stock]]),ISNUMBER(Raw_Data[[#This Row],[Unit_Cost]])),Raw_Data[[#This Row],[Closing_Stock]]*Raw_Data[[#This Row],[Unit_Cost]],"")</f>
        <v>164456</v>
      </c>
      <c r="N80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09" spans="1:14" x14ac:dyDescent="0.3">
      <c r="A809" t="s">
        <v>1164</v>
      </c>
      <c r="B809" t="s">
        <v>324</v>
      </c>
      <c r="C809" t="s">
        <v>31</v>
      </c>
      <c r="D809" t="s">
        <v>21</v>
      </c>
      <c r="E809" s="3">
        <v>46283</v>
      </c>
      <c r="F809">
        <v>159</v>
      </c>
      <c r="G809">
        <v>17</v>
      </c>
      <c r="H809">
        <v>142</v>
      </c>
      <c r="I809">
        <v>388</v>
      </c>
      <c r="J809" t="s">
        <v>14</v>
      </c>
      <c r="K809" s="4">
        <f>IF(AND(ISNUMBER(Raw_Data[[#This Row],[Opening_Stock]]),ISNUMBER(Raw_Data[[#This Row],[Units_Sold]]),Raw_Data[[#This Row],[Opening_Stock]]&gt;0),Raw_Data[[#This Row],[Units_Sold]]/Raw_Data[[#This Row],[Opening_Stock]],"")</f>
        <v>0.1069182389937107</v>
      </c>
      <c r="L809" t="str">
        <f>IF(NOT(ISNUMBER(Raw_Data[[#This Row],[Sell_through%]])),"Check",IF(Raw_Data[[#This Row],[Sell_through%]]=0,"Non-moving",IF(Raw_Data[[#This Row],[Sell_through%]]&gt;=0.6,"Fast","Slow")))</f>
        <v>Slow</v>
      </c>
      <c r="M809">
        <f>IF(AND(ISNUMBER(Raw_Data[[#This Row],[Closing_Stock]]),ISNUMBER(Raw_Data[[#This Row],[Unit_Cost]])),Raw_Data[[#This Row],[Closing_Stock]]*Raw_Data[[#This Row],[Unit_Cost]],"")</f>
        <v>55096</v>
      </c>
      <c r="N80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10" spans="1:14" x14ac:dyDescent="0.3">
      <c r="A810" t="s">
        <v>1165</v>
      </c>
      <c r="B810" t="s">
        <v>73</v>
      </c>
      <c r="C810" t="s">
        <v>49</v>
      </c>
      <c r="D810" t="s">
        <v>36</v>
      </c>
      <c r="E810" s="3">
        <v>46056</v>
      </c>
      <c r="F810">
        <v>122</v>
      </c>
      <c r="G810">
        <v>27</v>
      </c>
      <c r="H810">
        <v>95</v>
      </c>
      <c r="J810" t="s">
        <v>14</v>
      </c>
      <c r="K810" s="4">
        <f>IF(AND(ISNUMBER(Raw_Data[[#This Row],[Opening_Stock]]),ISNUMBER(Raw_Data[[#This Row],[Units_Sold]]),Raw_Data[[#This Row],[Opening_Stock]]&gt;0),Raw_Data[[#This Row],[Units_Sold]]/Raw_Data[[#This Row],[Opening_Stock]],"")</f>
        <v>0.22131147540983606</v>
      </c>
      <c r="L810" t="str">
        <f>IF(NOT(ISNUMBER(Raw_Data[[#This Row],[Sell_through%]])),"Check",IF(Raw_Data[[#This Row],[Sell_through%]]=0,"Non-moving",IF(Raw_Data[[#This Row],[Sell_through%]]&gt;=0.6,"Fast","Slow")))</f>
        <v>Slow</v>
      </c>
      <c r="M810" t="str">
        <f>IF(AND(ISNUMBER(Raw_Data[[#This Row],[Closing_Stock]]),ISNUMBER(Raw_Data[[#This Row],[Unit_Cost]])),Raw_Data[[#This Row],[Closing_Stock]]*Raw_Data[[#This Row],[Unit_Cost]],"")</f>
        <v/>
      </c>
      <c r="N81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11" spans="1:14" x14ac:dyDescent="0.3">
      <c r="A811" t="s">
        <v>1166</v>
      </c>
      <c r="B811" t="s">
        <v>177</v>
      </c>
      <c r="C811" t="s">
        <v>31</v>
      </c>
      <c r="D811" t="s">
        <v>13</v>
      </c>
      <c r="E811" s="3"/>
      <c r="F811">
        <v>186</v>
      </c>
      <c r="G811">
        <v>0</v>
      </c>
      <c r="H811">
        <v>186</v>
      </c>
      <c r="I811">
        <v>975</v>
      </c>
      <c r="J811" t="s">
        <v>14</v>
      </c>
      <c r="K811" s="4">
        <f>IF(AND(ISNUMBER(Raw_Data[[#This Row],[Opening_Stock]]),ISNUMBER(Raw_Data[[#This Row],[Units_Sold]]),Raw_Data[[#This Row],[Opening_Stock]]&gt;0),Raw_Data[[#This Row],[Units_Sold]]/Raw_Data[[#This Row],[Opening_Stock]],"")</f>
        <v>0</v>
      </c>
      <c r="L811" t="str">
        <f>IF(NOT(ISNUMBER(Raw_Data[[#This Row],[Sell_through%]])),"Check",IF(Raw_Data[[#This Row],[Sell_through%]]=0,"Non-moving",IF(Raw_Data[[#This Row],[Sell_through%]]&gt;=0.6,"Fast","Slow")))</f>
        <v>Non-moving</v>
      </c>
      <c r="M811">
        <f>IF(AND(ISNUMBER(Raw_Data[[#This Row],[Closing_Stock]]),ISNUMBER(Raw_Data[[#This Row],[Unit_Cost]])),Raw_Data[[#This Row],[Closing_Stock]]*Raw_Data[[#This Row],[Unit_Cost]],"")</f>
        <v>181350</v>
      </c>
      <c r="N81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12" spans="1:14" x14ac:dyDescent="0.3">
      <c r="A812" t="s">
        <v>1167</v>
      </c>
      <c r="B812" t="s">
        <v>367</v>
      </c>
      <c r="C812" t="s">
        <v>35</v>
      </c>
      <c r="D812" t="s">
        <v>21</v>
      </c>
      <c r="E812" s="3"/>
      <c r="G812">
        <v>0</v>
      </c>
      <c r="H812">
        <v>138</v>
      </c>
      <c r="I812">
        <v>2377</v>
      </c>
      <c r="J812" t="s">
        <v>14</v>
      </c>
      <c r="K812" s="4" t="str">
        <f>IF(AND(ISNUMBER(Raw_Data[[#This Row],[Opening_Stock]]),ISNUMBER(Raw_Data[[#This Row],[Units_Sold]]),Raw_Data[[#This Row],[Opening_Stock]]&gt;0),Raw_Data[[#This Row],[Units_Sold]]/Raw_Data[[#This Row],[Opening_Stock]],"")</f>
        <v/>
      </c>
      <c r="L812" t="str">
        <f>IF(NOT(ISNUMBER(Raw_Data[[#This Row],[Sell_through%]])),"Check",IF(Raw_Data[[#This Row],[Sell_through%]]=0,"Non-moving",IF(Raw_Data[[#This Row],[Sell_through%]]&gt;=0.6,"Fast","Slow")))</f>
        <v>Check</v>
      </c>
      <c r="M812">
        <f>IF(AND(ISNUMBER(Raw_Data[[#This Row],[Closing_Stock]]),ISNUMBER(Raw_Data[[#This Row],[Unit_Cost]])),Raw_Data[[#This Row],[Closing_Stock]]*Raw_Data[[#This Row],[Unit_Cost]],"")</f>
        <v>328026</v>
      </c>
      <c r="N812"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13" spans="1:14" x14ac:dyDescent="0.3">
      <c r="A813" t="s">
        <v>1168</v>
      </c>
      <c r="B813" t="s">
        <v>131</v>
      </c>
      <c r="C813" t="s">
        <v>49</v>
      </c>
      <c r="D813" t="s">
        <v>36</v>
      </c>
      <c r="E813" s="3">
        <v>46258</v>
      </c>
      <c r="F813">
        <v>262</v>
      </c>
      <c r="G813">
        <v>53</v>
      </c>
      <c r="H813">
        <v>214</v>
      </c>
      <c r="I813">
        <v>1326</v>
      </c>
      <c r="J813" t="s">
        <v>14</v>
      </c>
      <c r="K813" s="4">
        <f>IF(AND(ISNUMBER(Raw_Data[[#This Row],[Opening_Stock]]),ISNUMBER(Raw_Data[[#This Row],[Units_Sold]]),Raw_Data[[#This Row],[Opening_Stock]]&gt;0),Raw_Data[[#This Row],[Units_Sold]]/Raw_Data[[#This Row],[Opening_Stock]],"")</f>
        <v>0.20229007633587787</v>
      </c>
      <c r="L813" t="str">
        <f>IF(NOT(ISNUMBER(Raw_Data[[#This Row],[Sell_through%]])),"Check",IF(Raw_Data[[#This Row],[Sell_through%]]=0,"Non-moving",IF(Raw_Data[[#This Row],[Sell_through%]]&gt;=0.6,"Fast","Slow")))</f>
        <v>Slow</v>
      </c>
      <c r="M813">
        <f>IF(AND(ISNUMBER(Raw_Data[[#This Row],[Closing_Stock]]),ISNUMBER(Raw_Data[[#This Row],[Unit_Cost]])),Raw_Data[[#This Row],[Closing_Stock]]*Raw_Data[[#This Row],[Unit_Cost]],"")</f>
        <v>283764</v>
      </c>
      <c r="N81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14" spans="1:14" x14ac:dyDescent="0.3">
      <c r="A814" t="s">
        <v>1169</v>
      </c>
      <c r="B814" t="s">
        <v>182</v>
      </c>
      <c r="C814" t="s">
        <v>12</v>
      </c>
      <c r="D814" t="s">
        <v>32</v>
      </c>
      <c r="E814" s="3">
        <v>46156</v>
      </c>
      <c r="F814">
        <v>297</v>
      </c>
      <c r="G814">
        <v>255</v>
      </c>
      <c r="H814">
        <v>42</v>
      </c>
      <c r="I814">
        <v>2950</v>
      </c>
      <c r="J814" t="s">
        <v>17</v>
      </c>
      <c r="K814" s="4">
        <f>IF(AND(ISNUMBER(Raw_Data[[#This Row],[Opening_Stock]]),ISNUMBER(Raw_Data[[#This Row],[Units_Sold]]),Raw_Data[[#This Row],[Opening_Stock]]&gt;0),Raw_Data[[#This Row],[Units_Sold]]/Raw_Data[[#This Row],[Opening_Stock]],"")</f>
        <v>0.85858585858585856</v>
      </c>
      <c r="L814" t="str">
        <f>IF(NOT(ISNUMBER(Raw_Data[[#This Row],[Sell_through%]])),"Check",IF(Raw_Data[[#This Row],[Sell_through%]]=0,"Non-moving",IF(Raw_Data[[#This Row],[Sell_through%]]&gt;=0.6,"Fast","Slow")))</f>
        <v>Fast</v>
      </c>
      <c r="M814">
        <f>IF(AND(ISNUMBER(Raw_Data[[#This Row],[Closing_Stock]]),ISNUMBER(Raw_Data[[#This Row],[Unit_Cost]])),Raw_Data[[#This Row],[Closing_Stock]]*Raw_Data[[#This Row],[Unit_Cost]],"")</f>
        <v>123900</v>
      </c>
      <c r="N81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15" spans="1:14" x14ac:dyDescent="0.3">
      <c r="A815" t="s">
        <v>1170</v>
      </c>
      <c r="B815" t="s">
        <v>101</v>
      </c>
      <c r="C815" t="s">
        <v>12</v>
      </c>
      <c r="D815" t="s">
        <v>32</v>
      </c>
      <c r="E815" s="3">
        <v>46112</v>
      </c>
      <c r="F815">
        <v>343</v>
      </c>
      <c r="G815">
        <v>303</v>
      </c>
      <c r="H815">
        <v>40</v>
      </c>
      <c r="I815">
        <v>244</v>
      </c>
      <c r="J815" t="s">
        <v>17</v>
      </c>
      <c r="K815" s="4">
        <f>IF(AND(ISNUMBER(Raw_Data[[#This Row],[Opening_Stock]]),ISNUMBER(Raw_Data[[#This Row],[Units_Sold]]),Raw_Data[[#This Row],[Opening_Stock]]&gt;0),Raw_Data[[#This Row],[Units_Sold]]/Raw_Data[[#This Row],[Opening_Stock]],"")</f>
        <v>0.88338192419825068</v>
      </c>
      <c r="L815" t="str">
        <f>IF(NOT(ISNUMBER(Raw_Data[[#This Row],[Sell_through%]])),"Check",IF(Raw_Data[[#This Row],[Sell_through%]]=0,"Non-moving",IF(Raw_Data[[#This Row],[Sell_through%]]&gt;=0.6,"Fast","Slow")))</f>
        <v>Fast</v>
      </c>
      <c r="M815">
        <f>IF(AND(ISNUMBER(Raw_Data[[#This Row],[Closing_Stock]]),ISNUMBER(Raw_Data[[#This Row],[Unit_Cost]])),Raw_Data[[#This Row],[Closing_Stock]]*Raw_Data[[#This Row],[Unit_Cost]],"")</f>
        <v>9760</v>
      </c>
      <c r="N815"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16" spans="1:14" x14ac:dyDescent="0.3">
      <c r="A816" t="s">
        <v>1171</v>
      </c>
      <c r="B816" t="s">
        <v>479</v>
      </c>
      <c r="C816" t="s">
        <v>31</v>
      </c>
      <c r="D816" t="s">
        <v>36</v>
      </c>
      <c r="E816" s="3">
        <v>46125</v>
      </c>
      <c r="F816">
        <v>181</v>
      </c>
      <c r="G816">
        <v>150</v>
      </c>
      <c r="H816">
        <v>31</v>
      </c>
      <c r="I816">
        <v>2997</v>
      </c>
      <c r="J816" t="s">
        <v>17</v>
      </c>
      <c r="K816" s="4">
        <f>IF(AND(ISNUMBER(Raw_Data[[#This Row],[Opening_Stock]]),ISNUMBER(Raw_Data[[#This Row],[Units_Sold]]),Raw_Data[[#This Row],[Opening_Stock]]&gt;0),Raw_Data[[#This Row],[Units_Sold]]/Raw_Data[[#This Row],[Opening_Stock]],"")</f>
        <v>0.82872928176795579</v>
      </c>
      <c r="L816" t="str">
        <f>IF(NOT(ISNUMBER(Raw_Data[[#This Row],[Sell_through%]])),"Check",IF(Raw_Data[[#This Row],[Sell_through%]]=0,"Non-moving",IF(Raw_Data[[#This Row],[Sell_through%]]&gt;=0.6,"Fast","Slow")))</f>
        <v>Fast</v>
      </c>
      <c r="M816">
        <f>IF(AND(ISNUMBER(Raw_Data[[#This Row],[Closing_Stock]]),ISNUMBER(Raw_Data[[#This Row],[Unit_Cost]])),Raw_Data[[#This Row],[Closing_Stock]]*Raw_Data[[#This Row],[Unit_Cost]],"")</f>
        <v>92907</v>
      </c>
      <c r="N816"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17" spans="1:14" x14ac:dyDescent="0.3">
      <c r="A817" t="s">
        <v>1172</v>
      </c>
      <c r="B817" t="s">
        <v>117</v>
      </c>
      <c r="C817" t="s">
        <v>28</v>
      </c>
      <c r="D817" t="s">
        <v>21</v>
      </c>
      <c r="E817" s="3"/>
      <c r="F817">
        <v>258</v>
      </c>
      <c r="G817">
        <v>0</v>
      </c>
      <c r="H817">
        <v>258</v>
      </c>
      <c r="J817" t="s">
        <v>14</v>
      </c>
      <c r="K817" s="4">
        <f>IF(AND(ISNUMBER(Raw_Data[[#This Row],[Opening_Stock]]),ISNUMBER(Raw_Data[[#This Row],[Units_Sold]]),Raw_Data[[#This Row],[Opening_Stock]]&gt;0),Raw_Data[[#This Row],[Units_Sold]]/Raw_Data[[#This Row],[Opening_Stock]],"")</f>
        <v>0</v>
      </c>
      <c r="L817" t="str">
        <f>IF(NOT(ISNUMBER(Raw_Data[[#This Row],[Sell_through%]])),"Check",IF(Raw_Data[[#This Row],[Sell_through%]]=0,"Non-moving",IF(Raw_Data[[#This Row],[Sell_through%]]&gt;=0.6,"Fast","Slow")))</f>
        <v>Non-moving</v>
      </c>
      <c r="M817" t="str">
        <f>IF(AND(ISNUMBER(Raw_Data[[#This Row],[Closing_Stock]]),ISNUMBER(Raw_Data[[#This Row],[Unit_Cost]])),Raw_Data[[#This Row],[Closing_Stock]]*Raw_Data[[#This Row],[Unit_Cost]],"")</f>
        <v/>
      </c>
      <c r="N81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18" spans="1:14" x14ac:dyDescent="0.3">
      <c r="A818" t="s">
        <v>1173</v>
      </c>
      <c r="B818" t="s">
        <v>240</v>
      </c>
      <c r="C818" t="s">
        <v>49</v>
      </c>
      <c r="D818" t="s">
        <v>32</v>
      </c>
      <c r="E818" s="3"/>
      <c r="F818">
        <v>289</v>
      </c>
      <c r="G818">
        <v>0</v>
      </c>
      <c r="H818">
        <v>289</v>
      </c>
      <c r="I818">
        <v>983</v>
      </c>
      <c r="J818" t="s">
        <v>14</v>
      </c>
      <c r="K818" s="4">
        <f>IF(AND(ISNUMBER(Raw_Data[[#This Row],[Opening_Stock]]),ISNUMBER(Raw_Data[[#This Row],[Units_Sold]]),Raw_Data[[#This Row],[Opening_Stock]]&gt;0),Raw_Data[[#This Row],[Units_Sold]]/Raw_Data[[#This Row],[Opening_Stock]],"")</f>
        <v>0</v>
      </c>
      <c r="L818" t="str">
        <f>IF(NOT(ISNUMBER(Raw_Data[[#This Row],[Sell_through%]])),"Check",IF(Raw_Data[[#This Row],[Sell_through%]]=0,"Non-moving",IF(Raw_Data[[#This Row],[Sell_through%]]&gt;=0.6,"Fast","Slow")))</f>
        <v>Non-moving</v>
      </c>
      <c r="M818">
        <f>IF(AND(ISNUMBER(Raw_Data[[#This Row],[Closing_Stock]]),ISNUMBER(Raw_Data[[#This Row],[Unit_Cost]])),Raw_Data[[#This Row],[Closing_Stock]]*Raw_Data[[#This Row],[Unit_Cost]],"")</f>
        <v>284087</v>
      </c>
      <c r="N81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19" spans="1:14" x14ac:dyDescent="0.3">
      <c r="A819" t="s">
        <v>1174</v>
      </c>
      <c r="B819" t="s">
        <v>200</v>
      </c>
      <c r="C819" t="s">
        <v>35</v>
      </c>
      <c r="D819" t="s">
        <v>32</v>
      </c>
      <c r="E819" s="3"/>
      <c r="F819">
        <v>188</v>
      </c>
      <c r="G819">
        <v>0</v>
      </c>
      <c r="H819">
        <v>188</v>
      </c>
      <c r="I819">
        <v>65</v>
      </c>
      <c r="J819" t="s">
        <v>14</v>
      </c>
      <c r="K819" s="4">
        <f>IF(AND(ISNUMBER(Raw_Data[[#This Row],[Opening_Stock]]),ISNUMBER(Raw_Data[[#This Row],[Units_Sold]]),Raw_Data[[#This Row],[Opening_Stock]]&gt;0),Raw_Data[[#This Row],[Units_Sold]]/Raw_Data[[#This Row],[Opening_Stock]],"")</f>
        <v>0</v>
      </c>
      <c r="L819" t="str">
        <f>IF(NOT(ISNUMBER(Raw_Data[[#This Row],[Sell_through%]])),"Check",IF(Raw_Data[[#This Row],[Sell_through%]]=0,"Non-moving",IF(Raw_Data[[#This Row],[Sell_through%]]&gt;=0.6,"Fast","Slow")))</f>
        <v>Non-moving</v>
      </c>
      <c r="M819">
        <f>IF(AND(ISNUMBER(Raw_Data[[#This Row],[Closing_Stock]]),ISNUMBER(Raw_Data[[#This Row],[Unit_Cost]])),Raw_Data[[#This Row],[Closing_Stock]]*Raw_Data[[#This Row],[Unit_Cost]],"")</f>
        <v>12220</v>
      </c>
      <c r="N81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20" spans="1:14" x14ac:dyDescent="0.3">
      <c r="A820" t="s">
        <v>1175</v>
      </c>
      <c r="B820" t="s">
        <v>455</v>
      </c>
      <c r="C820" t="s">
        <v>35</v>
      </c>
      <c r="D820" t="s">
        <v>13</v>
      </c>
      <c r="E820" s="3"/>
      <c r="F820">
        <v>285</v>
      </c>
      <c r="G820">
        <v>0</v>
      </c>
      <c r="H820">
        <v>285</v>
      </c>
      <c r="I820">
        <v>1458</v>
      </c>
      <c r="J820" t="s">
        <v>14</v>
      </c>
      <c r="K820" s="4">
        <f>IF(AND(ISNUMBER(Raw_Data[[#This Row],[Opening_Stock]]),ISNUMBER(Raw_Data[[#This Row],[Units_Sold]]),Raw_Data[[#This Row],[Opening_Stock]]&gt;0),Raw_Data[[#This Row],[Units_Sold]]/Raw_Data[[#This Row],[Opening_Stock]],"")</f>
        <v>0</v>
      </c>
      <c r="L820" t="str">
        <f>IF(NOT(ISNUMBER(Raw_Data[[#This Row],[Sell_through%]])),"Check",IF(Raw_Data[[#This Row],[Sell_through%]]=0,"Non-moving",IF(Raw_Data[[#This Row],[Sell_through%]]&gt;=0.6,"Fast","Slow")))</f>
        <v>Non-moving</v>
      </c>
      <c r="M820">
        <f>IF(AND(ISNUMBER(Raw_Data[[#This Row],[Closing_Stock]]),ISNUMBER(Raw_Data[[#This Row],[Unit_Cost]])),Raw_Data[[#This Row],[Closing_Stock]]*Raw_Data[[#This Row],[Unit_Cost]],"")</f>
        <v>415530</v>
      </c>
      <c r="N82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21" spans="1:14" x14ac:dyDescent="0.3">
      <c r="A821" t="s">
        <v>1178</v>
      </c>
      <c r="B821" t="s">
        <v>296</v>
      </c>
      <c r="C821" t="s">
        <v>31</v>
      </c>
      <c r="D821" t="s">
        <v>21</v>
      </c>
      <c r="E821" s="3">
        <v>46039</v>
      </c>
      <c r="F821">
        <v>146</v>
      </c>
      <c r="G821">
        <v>116</v>
      </c>
      <c r="H821">
        <v>30</v>
      </c>
      <c r="J821" t="s">
        <v>17</v>
      </c>
      <c r="K821" s="4">
        <f>IF(AND(ISNUMBER(Raw_Data[[#This Row],[Opening_Stock]]),ISNUMBER(Raw_Data[[#This Row],[Units_Sold]]),Raw_Data[[#This Row],[Opening_Stock]]&gt;0),Raw_Data[[#This Row],[Units_Sold]]/Raw_Data[[#This Row],[Opening_Stock]],"")</f>
        <v>0.79452054794520544</v>
      </c>
      <c r="L821" t="str">
        <f>IF(NOT(ISNUMBER(Raw_Data[[#This Row],[Sell_through%]])),"Check",IF(Raw_Data[[#This Row],[Sell_through%]]=0,"Non-moving",IF(Raw_Data[[#This Row],[Sell_through%]]&gt;=0.6,"Fast","Slow")))</f>
        <v>Fast</v>
      </c>
      <c r="M821" t="str">
        <f>IF(AND(ISNUMBER(Raw_Data[[#This Row],[Closing_Stock]]),ISNUMBER(Raw_Data[[#This Row],[Unit_Cost]])),Raw_Data[[#This Row],[Closing_Stock]]*Raw_Data[[#This Row],[Unit_Cost]],"")</f>
        <v/>
      </c>
      <c r="N82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22" spans="1:14" x14ac:dyDescent="0.3">
      <c r="A822" t="s">
        <v>1179</v>
      </c>
      <c r="B822" t="s">
        <v>294</v>
      </c>
      <c r="C822" t="s">
        <v>35</v>
      </c>
      <c r="D822" t="s">
        <v>13</v>
      </c>
      <c r="E822" s="3">
        <v>46264</v>
      </c>
      <c r="F822">
        <v>491</v>
      </c>
      <c r="G822">
        <v>392</v>
      </c>
      <c r="H822">
        <v>99</v>
      </c>
      <c r="I822">
        <v>188</v>
      </c>
      <c r="J822" t="s">
        <v>14</v>
      </c>
      <c r="K822" s="4">
        <f>IF(AND(ISNUMBER(Raw_Data[[#This Row],[Opening_Stock]]),ISNUMBER(Raw_Data[[#This Row],[Units_Sold]]),Raw_Data[[#This Row],[Opening_Stock]]&gt;0),Raw_Data[[#This Row],[Units_Sold]]/Raw_Data[[#This Row],[Opening_Stock]],"")</f>
        <v>0.79837067209775969</v>
      </c>
      <c r="L822" t="str">
        <f>IF(NOT(ISNUMBER(Raw_Data[[#This Row],[Sell_through%]])),"Check",IF(Raw_Data[[#This Row],[Sell_through%]]=0,"Non-moving",IF(Raw_Data[[#This Row],[Sell_through%]]&gt;=0.6,"Fast","Slow")))</f>
        <v>Fast</v>
      </c>
      <c r="M822">
        <f>IF(AND(ISNUMBER(Raw_Data[[#This Row],[Closing_Stock]]),ISNUMBER(Raw_Data[[#This Row],[Unit_Cost]])),Raw_Data[[#This Row],[Closing_Stock]]*Raw_Data[[#This Row],[Unit_Cost]],"")</f>
        <v>18612</v>
      </c>
      <c r="N822"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23" spans="1:14" x14ac:dyDescent="0.3">
      <c r="A823" t="s">
        <v>1181</v>
      </c>
      <c r="B823" t="s">
        <v>224</v>
      </c>
      <c r="C823" t="s">
        <v>49</v>
      </c>
      <c r="D823" t="s">
        <v>32</v>
      </c>
      <c r="E823" s="3"/>
      <c r="F823">
        <v>385</v>
      </c>
      <c r="G823">
        <v>0</v>
      </c>
      <c r="H823">
        <v>385</v>
      </c>
      <c r="I823">
        <v>2371</v>
      </c>
      <c r="J823" t="s">
        <v>14</v>
      </c>
      <c r="K823" s="4">
        <f>IF(AND(ISNUMBER(Raw_Data[[#This Row],[Opening_Stock]]),ISNUMBER(Raw_Data[[#This Row],[Units_Sold]]),Raw_Data[[#This Row],[Opening_Stock]]&gt;0),Raw_Data[[#This Row],[Units_Sold]]/Raw_Data[[#This Row],[Opening_Stock]],"")</f>
        <v>0</v>
      </c>
      <c r="L823" t="str">
        <f>IF(NOT(ISNUMBER(Raw_Data[[#This Row],[Sell_through%]])),"Check",IF(Raw_Data[[#This Row],[Sell_through%]]=0,"Non-moving",IF(Raw_Data[[#This Row],[Sell_through%]]&gt;=0.6,"Fast","Slow")))</f>
        <v>Non-moving</v>
      </c>
      <c r="M823">
        <f>IF(AND(ISNUMBER(Raw_Data[[#This Row],[Closing_Stock]]),ISNUMBER(Raw_Data[[#This Row],[Unit_Cost]])),Raw_Data[[#This Row],[Closing_Stock]]*Raw_Data[[#This Row],[Unit_Cost]],"")</f>
        <v>912835</v>
      </c>
      <c r="N82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24" spans="1:14" x14ac:dyDescent="0.3">
      <c r="A824" t="s">
        <v>1182</v>
      </c>
      <c r="B824" t="s">
        <v>67</v>
      </c>
      <c r="C824" t="s">
        <v>31</v>
      </c>
      <c r="D824" t="s">
        <v>36</v>
      </c>
      <c r="E824" s="3">
        <v>46146</v>
      </c>
      <c r="F824">
        <v>146</v>
      </c>
      <c r="H824">
        <v>124</v>
      </c>
      <c r="J824" t="s">
        <v>14</v>
      </c>
      <c r="K824" s="4" t="str">
        <f>IF(AND(ISNUMBER(Raw_Data[[#This Row],[Opening_Stock]]),ISNUMBER(Raw_Data[[#This Row],[Units_Sold]]),Raw_Data[[#This Row],[Opening_Stock]]&gt;0),Raw_Data[[#This Row],[Units_Sold]]/Raw_Data[[#This Row],[Opening_Stock]],"")</f>
        <v/>
      </c>
      <c r="L824" t="str">
        <f>IF(NOT(ISNUMBER(Raw_Data[[#This Row],[Sell_through%]])),"Check",IF(Raw_Data[[#This Row],[Sell_through%]]=0,"Non-moving",IF(Raw_Data[[#This Row],[Sell_through%]]&gt;=0.6,"Fast","Slow")))</f>
        <v>Check</v>
      </c>
      <c r="M824" t="str">
        <f>IF(AND(ISNUMBER(Raw_Data[[#This Row],[Closing_Stock]]),ISNUMBER(Raw_Data[[#This Row],[Unit_Cost]])),Raw_Data[[#This Row],[Closing_Stock]]*Raw_Data[[#This Row],[Unit_Cost]],"")</f>
        <v/>
      </c>
      <c r="N82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25" spans="1:14" x14ac:dyDescent="0.3">
      <c r="A825" t="s">
        <v>1183</v>
      </c>
      <c r="B825" t="s">
        <v>479</v>
      </c>
      <c r="C825" t="s">
        <v>31</v>
      </c>
      <c r="D825" t="s">
        <v>13</v>
      </c>
      <c r="E825" s="3"/>
      <c r="F825">
        <v>477</v>
      </c>
      <c r="G825">
        <v>0</v>
      </c>
      <c r="H825">
        <v>477</v>
      </c>
      <c r="I825">
        <v>776</v>
      </c>
      <c r="J825" t="s">
        <v>14</v>
      </c>
      <c r="K825" s="4">
        <f>IF(AND(ISNUMBER(Raw_Data[[#This Row],[Opening_Stock]]),ISNUMBER(Raw_Data[[#This Row],[Units_Sold]]),Raw_Data[[#This Row],[Opening_Stock]]&gt;0),Raw_Data[[#This Row],[Units_Sold]]/Raw_Data[[#This Row],[Opening_Stock]],"")</f>
        <v>0</v>
      </c>
      <c r="L825" t="str">
        <f>IF(NOT(ISNUMBER(Raw_Data[[#This Row],[Sell_through%]])),"Check",IF(Raw_Data[[#This Row],[Sell_through%]]=0,"Non-moving",IF(Raw_Data[[#This Row],[Sell_through%]]&gt;=0.6,"Fast","Slow")))</f>
        <v>Non-moving</v>
      </c>
      <c r="M825">
        <f>IF(AND(ISNUMBER(Raw_Data[[#This Row],[Closing_Stock]]),ISNUMBER(Raw_Data[[#This Row],[Unit_Cost]])),Raw_Data[[#This Row],[Closing_Stock]]*Raw_Data[[#This Row],[Unit_Cost]],"")</f>
        <v>370152</v>
      </c>
      <c r="N82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26" spans="1:14" x14ac:dyDescent="0.3">
      <c r="A826" t="s">
        <v>1184</v>
      </c>
      <c r="B826" t="s">
        <v>422</v>
      </c>
      <c r="C826" t="s">
        <v>12</v>
      </c>
      <c r="D826" t="s">
        <v>36</v>
      </c>
      <c r="E826" s="3">
        <v>46121</v>
      </c>
      <c r="F826">
        <v>368</v>
      </c>
      <c r="H826">
        <v>54</v>
      </c>
      <c r="I826">
        <v>387</v>
      </c>
      <c r="J826" t="s">
        <v>17</v>
      </c>
      <c r="K826" s="4" t="str">
        <f>IF(AND(ISNUMBER(Raw_Data[[#This Row],[Opening_Stock]]),ISNUMBER(Raw_Data[[#This Row],[Units_Sold]]),Raw_Data[[#This Row],[Opening_Stock]]&gt;0),Raw_Data[[#This Row],[Units_Sold]]/Raw_Data[[#This Row],[Opening_Stock]],"")</f>
        <v/>
      </c>
      <c r="L826" t="str">
        <f>IF(NOT(ISNUMBER(Raw_Data[[#This Row],[Sell_through%]])),"Check",IF(Raw_Data[[#This Row],[Sell_through%]]=0,"Non-moving",IF(Raw_Data[[#This Row],[Sell_through%]]&gt;=0.6,"Fast","Slow")))</f>
        <v>Check</v>
      </c>
      <c r="M826">
        <f>IF(AND(ISNUMBER(Raw_Data[[#This Row],[Closing_Stock]]),ISNUMBER(Raw_Data[[#This Row],[Unit_Cost]])),Raw_Data[[#This Row],[Closing_Stock]]*Raw_Data[[#This Row],[Unit_Cost]],"")</f>
        <v>20898</v>
      </c>
      <c r="N826"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27" spans="1:14" x14ac:dyDescent="0.3">
      <c r="A827" t="s">
        <v>1185</v>
      </c>
      <c r="B827" t="s">
        <v>80</v>
      </c>
      <c r="C827" t="s">
        <v>12</v>
      </c>
      <c r="D827" t="s">
        <v>13</v>
      </c>
      <c r="E827" s="3">
        <v>46001</v>
      </c>
      <c r="F827">
        <v>82</v>
      </c>
      <c r="G827">
        <v>70</v>
      </c>
      <c r="H827">
        <v>12</v>
      </c>
      <c r="I827">
        <v>1428</v>
      </c>
      <c r="J827" t="s">
        <v>17</v>
      </c>
      <c r="K827" s="4">
        <f>IF(AND(ISNUMBER(Raw_Data[[#This Row],[Opening_Stock]]),ISNUMBER(Raw_Data[[#This Row],[Units_Sold]]),Raw_Data[[#This Row],[Opening_Stock]]&gt;0),Raw_Data[[#This Row],[Units_Sold]]/Raw_Data[[#This Row],[Opening_Stock]],"")</f>
        <v>0.85365853658536583</v>
      </c>
      <c r="L827" t="str">
        <f>IF(NOT(ISNUMBER(Raw_Data[[#This Row],[Sell_through%]])),"Check",IF(Raw_Data[[#This Row],[Sell_through%]]=0,"Non-moving",IF(Raw_Data[[#This Row],[Sell_through%]]&gt;=0.6,"Fast","Slow")))</f>
        <v>Fast</v>
      </c>
      <c r="M827">
        <f>IF(AND(ISNUMBER(Raw_Data[[#This Row],[Closing_Stock]]),ISNUMBER(Raw_Data[[#This Row],[Unit_Cost]])),Raw_Data[[#This Row],[Closing_Stock]]*Raw_Data[[#This Row],[Unit_Cost]],"")</f>
        <v>17136</v>
      </c>
      <c r="N82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28" spans="1:14" x14ac:dyDescent="0.3">
      <c r="A828" t="s">
        <v>1186</v>
      </c>
      <c r="B828" t="s">
        <v>41</v>
      </c>
      <c r="C828" t="s">
        <v>49</v>
      </c>
      <c r="D828" t="s">
        <v>13</v>
      </c>
      <c r="E828" s="3"/>
      <c r="F828">
        <v>134</v>
      </c>
      <c r="G828">
        <v>0</v>
      </c>
      <c r="H828">
        <v>134</v>
      </c>
      <c r="I828">
        <v>1680</v>
      </c>
      <c r="J828" t="s">
        <v>14</v>
      </c>
      <c r="K828" s="4">
        <f>IF(AND(ISNUMBER(Raw_Data[[#This Row],[Opening_Stock]]),ISNUMBER(Raw_Data[[#This Row],[Units_Sold]]),Raw_Data[[#This Row],[Opening_Stock]]&gt;0),Raw_Data[[#This Row],[Units_Sold]]/Raw_Data[[#This Row],[Opening_Stock]],"")</f>
        <v>0</v>
      </c>
      <c r="L828" t="str">
        <f>IF(NOT(ISNUMBER(Raw_Data[[#This Row],[Sell_through%]])),"Check",IF(Raw_Data[[#This Row],[Sell_through%]]=0,"Non-moving",IF(Raw_Data[[#This Row],[Sell_through%]]&gt;=0.6,"Fast","Slow")))</f>
        <v>Non-moving</v>
      </c>
      <c r="M828">
        <f>IF(AND(ISNUMBER(Raw_Data[[#This Row],[Closing_Stock]]),ISNUMBER(Raw_Data[[#This Row],[Unit_Cost]])),Raw_Data[[#This Row],[Closing_Stock]]*Raw_Data[[#This Row],[Unit_Cost]],"")</f>
        <v>225120</v>
      </c>
      <c r="N82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29" spans="1:14" x14ac:dyDescent="0.3">
      <c r="A829" t="s">
        <v>1188</v>
      </c>
      <c r="B829" t="s">
        <v>48</v>
      </c>
      <c r="C829" t="s">
        <v>49</v>
      </c>
      <c r="D829" t="s">
        <v>32</v>
      </c>
      <c r="E829" s="3">
        <v>46083</v>
      </c>
      <c r="F829">
        <v>148</v>
      </c>
      <c r="G829">
        <v>111</v>
      </c>
      <c r="H829">
        <v>37</v>
      </c>
      <c r="I829">
        <v>236</v>
      </c>
      <c r="J829" t="s">
        <v>17</v>
      </c>
      <c r="K829" s="4">
        <f>IF(AND(ISNUMBER(Raw_Data[[#This Row],[Opening_Stock]]),ISNUMBER(Raw_Data[[#This Row],[Units_Sold]]),Raw_Data[[#This Row],[Opening_Stock]]&gt;0),Raw_Data[[#This Row],[Units_Sold]]/Raw_Data[[#This Row],[Opening_Stock]],"")</f>
        <v>0.75</v>
      </c>
      <c r="L829" t="str">
        <f>IF(NOT(ISNUMBER(Raw_Data[[#This Row],[Sell_through%]])),"Check",IF(Raw_Data[[#This Row],[Sell_through%]]=0,"Non-moving",IF(Raw_Data[[#This Row],[Sell_through%]]&gt;=0.6,"Fast","Slow")))</f>
        <v>Fast</v>
      </c>
      <c r="M829">
        <f>IF(AND(ISNUMBER(Raw_Data[[#This Row],[Closing_Stock]]),ISNUMBER(Raw_Data[[#This Row],[Unit_Cost]])),Raw_Data[[#This Row],[Closing_Stock]]*Raw_Data[[#This Row],[Unit_Cost]],"")</f>
        <v>8732</v>
      </c>
      <c r="N82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30" spans="1:14" x14ac:dyDescent="0.3">
      <c r="A830" t="s">
        <v>1189</v>
      </c>
      <c r="B830" t="s">
        <v>131</v>
      </c>
      <c r="D830" t="s">
        <v>13</v>
      </c>
      <c r="E830" s="3">
        <v>46239</v>
      </c>
      <c r="F830">
        <v>119</v>
      </c>
      <c r="G830">
        <v>114</v>
      </c>
      <c r="H830">
        <v>5</v>
      </c>
      <c r="I830">
        <v>1553</v>
      </c>
      <c r="J830" t="s">
        <v>17</v>
      </c>
      <c r="K830" s="4">
        <f>IF(AND(ISNUMBER(Raw_Data[[#This Row],[Opening_Stock]]),ISNUMBER(Raw_Data[[#This Row],[Units_Sold]]),Raw_Data[[#This Row],[Opening_Stock]]&gt;0),Raw_Data[[#This Row],[Units_Sold]]/Raw_Data[[#This Row],[Opening_Stock]],"")</f>
        <v>0.95798319327731096</v>
      </c>
      <c r="L830" t="str">
        <f>IF(NOT(ISNUMBER(Raw_Data[[#This Row],[Sell_through%]])),"Check",IF(Raw_Data[[#This Row],[Sell_through%]]=0,"Non-moving",IF(Raw_Data[[#This Row],[Sell_through%]]&gt;=0.6,"Fast","Slow")))</f>
        <v>Fast</v>
      </c>
      <c r="M830">
        <f>IF(AND(ISNUMBER(Raw_Data[[#This Row],[Closing_Stock]]),ISNUMBER(Raw_Data[[#This Row],[Unit_Cost]])),Raw_Data[[#This Row],[Closing_Stock]]*Raw_Data[[#This Row],[Unit_Cost]],"")</f>
        <v>7765</v>
      </c>
      <c r="N83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31" spans="1:14" x14ac:dyDescent="0.3">
      <c r="A831" t="s">
        <v>1190</v>
      </c>
      <c r="B831" t="s">
        <v>234</v>
      </c>
      <c r="C831" t="s">
        <v>28</v>
      </c>
      <c r="D831" t="s">
        <v>36</v>
      </c>
      <c r="E831" s="3"/>
      <c r="F831">
        <v>262</v>
      </c>
      <c r="G831">
        <v>0</v>
      </c>
      <c r="H831">
        <v>262</v>
      </c>
      <c r="I831">
        <v>1177</v>
      </c>
      <c r="J831" t="s">
        <v>14</v>
      </c>
      <c r="K831" s="4">
        <f>IF(AND(ISNUMBER(Raw_Data[[#This Row],[Opening_Stock]]),ISNUMBER(Raw_Data[[#This Row],[Units_Sold]]),Raw_Data[[#This Row],[Opening_Stock]]&gt;0),Raw_Data[[#This Row],[Units_Sold]]/Raw_Data[[#This Row],[Opening_Stock]],"")</f>
        <v>0</v>
      </c>
      <c r="L831" t="str">
        <f>IF(NOT(ISNUMBER(Raw_Data[[#This Row],[Sell_through%]])),"Check",IF(Raw_Data[[#This Row],[Sell_through%]]=0,"Non-moving",IF(Raw_Data[[#This Row],[Sell_through%]]&gt;=0.6,"Fast","Slow")))</f>
        <v>Non-moving</v>
      </c>
      <c r="M831">
        <f>IF(AND(ISNUMBER(Raw_Data[[#This Row],[Closing_Stock]]),ISNUMBER(Raw_Data[[#This Row],[Unit_Cost]])),Raw_Data[[#This Row],[Closing_Stock]]*Raw_Data[[#This Row],[Unit_Cost]],"")</f>
        <v>308374</v>
      </c>
      <c r="N83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32" spans="1:14" x14ac:dyDescent="0.3">
      <c r="A832" t="s">
        <v>1191</v>
      </c>
      <c r="B832" t="s">
        <v>65</v>
      </c>
      <c r="C832" t="s">
        <v>49</v>
      </c>
      <c r="D832" t="s">
        <v>13</v>
      </c>
      <c r="E832" s="3">
        <v>46194</v>
      </c>
      <c r="F832">
        <v>274</v>
      </c>
      <c r="G832">
        <v>265</v>
      </c>
      <c r="H832">
        <v>9</v>
      </c>
      <c r="I832">
        <v>2078</v>
      </c>
      <c r="J832" t="s">
        <v>17</v>
      </c>
      <c r="K832" s="4">
        <f>IF(AND(ISNUMBER(Raw_Data[[#This Row],[Opening_Stock]]),ISNUMBER(Raw_Data[[#This Row],[Units_Sold]]),Raw_Data[[#This Row],[Opening_Stock]]&gt;0),Raw_Data[[#This Row],[Units_Sold]]/Raw_Data[[#This Row],[Opening_Stock]],"")</f>
        <v>0.96715328467153283</v>
      </c>
      <c r="L832" t="str">
        <f>IF(NOT(ISNUMBER(Raw_Data[[#This Row],[Sell_through%]])),"Check",IF(Raw_Data[[#This Row],[Sell_through%]]=0,"Non-moving",IF(Raw_Data[[#This Row],[Sell_through%]]&gt;=0.6,"Fast","Slow")))</f>
        <v>Fast</v>
      </c>
      <c r="M832">
        <f>IF(AND(ISNUMBER(Raw_Data[[#This Row],[Closing_Stock]]),ISNUMBER(Raw_Data[[#This Row],[Unit_Cost]])),Raw_Data[[#This Row],[Closing_Stock]]*Raw_Data[[#This Row],[Unit_Cost]],"")</f>
        <v>18702</v>
      </c>
      <c r="N832"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33" spans="1:14" x14ac:dyDescent="0.3">
      <c r="A833" t="s">
        <v>1192</v>
      </c>
      <c r="B833" t="s">
        <v>67</v>
      </c>
      <c r="C833" t="s">
        <v>31</v>
      </c>
      <c r="D833" t="s">
        <v>21</v>
      </c>
      <c r="E833" s="3">
        <v>46185</v>
      </c>
      <c r="F833">
        <v>194</v>
      </c>
      <c r="G833">
        <v>65</v>
      </c>
      <c r="H833">
        <v>129</v>
      </c>
      <c r="I833">
        <v>113</v>
      </c>
      <c r="J833" t="s">
        <v>14</v>
      </c>
      <c r="K833" s="4">
        <f>IF(AND(ISNUMBER(Raw_Data[[#This Row],[Opening_Stock]]),ISNUMBER(Raw_Data[[#This Row],[Units_Sold]]),Raw_Data[[#This Row],[Opening_Stock]]&gt;0),Raw_Data[[#This Row],[Units_Sold]]/Raw_Data[[#This Row],[Opening_Stock]],"")</f>
        <v>0.33505154639175255</v>
      </c>
      <c r="L833" t="str">
        <f>IF(NOT(ISNUMBER(Raw_Data[[#This Row],[Sell_through%]])),"Check",IF(Raw_Data[[#This Row],[Sell_through%]]=0,"Non-moving",IF(Raw_Data[[#This Row],[Sell_through%]]&gt;=0.6,"Fast","Slow")))</f>
        <v>Slow</v>
      </c>
      <c r="M833">
        <f>IF(AND(ISNUMBER(Raw_Data[[#This Row],[Closing_Stock]]),ISNUMBER(Raw_Data[[#This Row],[Unit_Cost]])),Raw_Data[[#This Row],[Closing_Stock]]*Raw_Data[[#This Row],[Unit_Cost]],"")</f>
        <v>14577</v>
      </c>
      <c r="N83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34" spans="1:14" x14ac:dyDescent="0.3">
      <c r="A834" t="s">
        <v>1194</v>
      </c>
      <c r="B834" t="s">
        <v>1343</v>
      </c>
      <c r="C834" t="s">
        <v>28</v>
      </c>
      <c r="D834" t="s">
        <v>13</v>
      </c>
      <c r="E834" s="3">
        <v>46239</v>
      </c>
      <c r="F834">
        <v>402</v>
      </c>
      <c r="G834">
        <v>365</v>
      </c>
      <c r="H834">
        <v>37</v>
      </c>
      <c r="I834">
        <v>516</v>
      </c>
      <c r="J834" t="s">
        <v>17</v>
      </c>
      <c r="K834" s="4">
        <f>IF(AND(ISNUMBER(Raw_Data[[#This Row],[Opening_Stock]]),ISNUMBER(Raw_Data[[#This Row],[Units_Sold]]),Raw_Data[[#This Row],[Opening_Stock]]&gt;0),Raw_Data[[#This Row],[Units_Sold]]/Raw_Data[[#This Row],[Opening_Stock]],"")</f>
        <v>0.90796019900497515</v>
      </c>
      <c r="L834" t="str">
        <f>IF(NOT(ISNUMBER(Raw_Data[[#This Row],[Sell_through%]])),"Check",IF(Raw_Data[[#This Row],[Sell_through%]]=0,"Non-moving",IF(Raw_Data[[#This Row],[Sell_through%]]&gt;=0.6,"Fast","Slow")))</f>
        <v>Fast</v>
      </c>
      <c r="M834">
        <f>IF(AND(ISNUMBER(Raw_Data[[#This Row],[Closing_Stock]]),ISNUMBER(Raw_Data[[#This Row],[Unit_Cost]])),Raw_Data[[#This Row],[Closing_Stock]]*Raw_Data[[#This Row],[Unit_Cost]],"")</f>
        <v>19092</v>
      </c>
      <c r="N834"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35" spans="1:14" x14ac:dyDescent="0.3">
      <c r="A835" t="s">
        <v>1195</v>
      </c>
      <c r="B835" t="s">
        <v>105</v>
      </c>
      <c r="C835" t="s">
        <v>28</v>
      </c>
      <c r="D835" t="s">
        <v>13</v>
      </c>
      <c r="E835" s="3"/>
      <c r="F835">
        <v>254</v>
      </c>
      <c r="G835">
        <v>0</v>
      </c>
      <c r="H835">
        <v>254</v>
      </c>
      <c r="I835">
        <v>251</v>
      </c>
      <c r="J835" t="s">
        <v>14</v>
      </c>
      <c r="K835" s="4">
        <f>IF(AND(ISNUMBER(Raw_Data[[#This Row],[Opening_Stock]]),ISNUMBER(Raw_Data[[#This Row],[Units_Sold]]),Raw_Data[[#This Row],[Opening_Stock]]&gt;0),Raw_Data[[#This Row],[Units_Sold]]/Raw_Data[[#This Row],[Opening_Stock]],"")</f>
        <v>0</v>
      </c>
      <c r="L835" t="str">
        <f>IF(NOT(ISNUMBER(Raw_Data[[#This Row],[Sell_through%]])),"Check",IF(Raw_Data[[#This Row],[Sell_through%]]=0,"Non-moving",IF(Raw_Data[[#This Row],[Sell_through%]]&gt;=0.6,"Fast","Slow")))</f>
        <v>Non-moving</v>
      </c>
      <c r="M835">
        <f>IF(AND(ISNUMBER(Raw_Data[[#This Row],[Closing_Stock]]),ISNUMBER(Raw_Data[[#This Row],[Unit_Cost]])),Raw_Data[[#This Row],[Closing_Stock]]*Raw_Data[[#This Row],[Unit_Cost]],"")</f>
        <v>63754</v>
      </c>
      <c r="N83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36" spans="1:14" x14ac:dyDescent="0.3">
      <c r="A836" t="s">
        <v>1196</v>
      </c>
      <c r="B836" t="s">
        <v>238</v>
      </c>
      <c r="C836" t="s">
        <v>28</v>
      </c>
      <c r="D836" t="s">
        <v>36</v>
      </c>
      <c r="E836" s="3">
        <v>46081</v>
      </c>
      <c r="F836">
        <v>273</v>
      </c>
      <c r="G836">
        <v>249</v>
      </c>
      <c r="H836">
        <v>24</v>
      </c>
      <c r="I836">
        <v>645</v>
      </c>
      <c r="J836" t="s">
        <v>17</v>
      </c>
      <c r="K836" s="4">
        <f>IF(AND(ISNUMBER(Raw_Data[[#This Row],[Opening_Stock]]),ISNUMBER(Raw_Data[[#This Row],[Units_Sold]]),Raw_Data[[#This Row],[Opening_Stock]]&gt;0),Raw_Data[[#This Row],[Units_Sold]]/Raw_Data[[#This Row],[Opening_Stock]],"")</f>
        <v>0.91208791208791207</v>
      </c>
      <c r="L836" t="str">
        <f>IF(NOT(ISNUMBER(Raw_Data[[#This Row],[Sell_through%]])),"Check",IF(Raw_Data[[#This Row],[Sell_through%]]=0,"Non-moving",IF(Raw_Data[[#This Row],[Sell_through%]]&gt;=0.6,"Fast","Slow")))</f>
        <v>Fast</v>
      </c>
      <c r="M836">
        <f>IF(AND(ISNUMBER(Raw_Data[[#This Row],[Closing_Stock]]),ISNUMBER(Raw_Data[[#This Row],[Unit_Cost]])),Raw_Data[[#This Row],[Closing_Stock]]*Raw_Data[[#This Row],[Unit_Cost]],"")</f>
        <v>15480</v>
      </c>
      <c r="N836"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37" spans="1:14" x14ac:dyDescent="0.3">
      <c r="A837" t="s">
        <v>1197</v>
      </c>
      <c r="B837" t="s">
        <v>124</v>
      </c>
      <c r="C837" t="s">
        <v>28</v>
      </c>
      <c r="D837" t="s">
        <v>13</v>
      </c>
      <c r="E837" s="3"/>
      <c r="F837">
        <v>294</v>
      </c>
      <c r="G837">
        <v>0</v>
      </c>
      <c r="H837">
        <v>294</v>
      </c>
      <c r="I837">
        <v>1527</v>
      </c>
      <c r="J837" t="s">
        <v>14</v>
      </c>
      <c r="K837" s="4">
        <f>IF(AND(ISNUMBER(Raw_Data[[#This Row],[Opening_Stock]]),ISNUMBER(Raw_Data[[#This Row],[Units_Sold]]),Raw_Data[[#This Row],[Opening_Stock]]&gt;0),Raw_Data[[#This Row],[Units_Sold]]/Raw_Data[[#This Row],[Opening_Stock]],"")</f>
        <v>0</v>
      </c>
      <c r="L837" t="str">
        <f>IF(NOT(ISNUMBER(Raw_Data[[#This Row],[Sell_through%]])),"Check",IF(Raw_Data[[#This Row],[Sell_through%]]=0,"Non-moving",IF(Raw_Data[[#This Row],[Sell_through%]]&gt;=0.6,"Fast","Slow")))</f>
        <v>Non-moving</v>
      </c>
      <c r="M837">
        <f>IF(AND(ISNUMBER(Raw_Data[[#This Row],[Closing_Stock]]),ISNUMBER(Raw_Data[[#This Row],[Unit_Cost]])),Raw_Data[[#This Row],[Closing_Stock]]*Raw_Data[[#This Row],[Unit_Cost]],"")</f>
        <v>448938</v>
      </c>
      <c r="N83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38" spans="1:14" x14ac:dyDescent="0.3">
      <c r="A838" t="s">
        <v>1199</v>
      </c>
      <c r="B838" t="s">
        <v>57</v>
      </c>
      <c r="C838" t="s">
        <v>28</v>
      </c>
      <c r="D838" t="s">
        <v>21</v>
      </c>
      <c r="E838" s="3">
        <v>46204</v>
      </c>
      <c r="F838">
        <v>137</v>
      </c>
      <c r="G838">
        <v>21</v>
      </c>
      <c r="H838">
        <v>116</v>
      </c>
      <c r="I838">
        <v>2965</v>
      </c>
      <c r="J838" t="s">
        <v>14</v>
      </c>
      <c r="K838" s="4">
        <f>IF(AND(ISNUMBER(Raw_Data[[#This Row],[Opening_Stock]]),ISNUMBER(Raw_Data[[#This Row],[Units_Sold]]),Raw_Data[[#This Row],[Opening_Stock]]&gt;0),Raw_Data[[#This Row],[Units_Sold]]/Raw_Data[[#This Row],[Opening_Stock]],"")</f>
        <v>0.15328467153284672</v>
      </c>
      <c r="L838" t="str">
        <f>IF(NOT(ISNUMBER(Raw_Data[[#This Row],[Sell_through%]])),"Check",IF(Raw_Data[[#This Row],[Sell_through%]]=0,"Non-moving",IF(Raw_Data[[#This Row],[Sell_through%]]&gt;=0.6,"Fast","Slow")))</f>
        <v>Slow</v>
      </c>
      <c r="M838">
        <f>IF(AND(ISNUMBER(Raw_Data[[#This Row],[Closing_Stock]]),ISNUMBER(Raw_Data[[#This Row],[Unit_Cost]])),Raw_Data[[#This Row],[Closing_Stock]]*Raw_Data[[#This Row],[Unit_Cost]],"")</f>
        <v>343940</v>
      </c>
      <c r="N83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39" spans="1:14" x14ac:dyDescent="0.3">
      <c r="A839" t="s">
        <v>1200</v>
      </c>
      <c r="B839" t="s">
        <v>224</v>
      </c>
      <c r="C839" t="s">
        <v>49</v>
      </c>
      <c r="D839" t="s">
        <v>36</v>
      </c>
      <c r="E839" s="3">
        <v>46010</v>
      </c>
      <c r="F839">
        <v>79</v>
      </c>
      <c r="G839">
        <v>27</v>
      </c>
      <c r="H839">
        <v>52</v>
      </c>
      <c r="I839">
        <v>2607</v>
      </c>
      <c r="J839" t="s">
        <v>17</v>
      </c>
      <c r="K839" s="4">
        <f>IF(AND(ISNUMBER(Raw_Data[[#This Row],[Opening_Stock]]),ISNUMBER(Raw_Data[[#This Row],[Units_Sold]]),Raw_Data[[#This Row],[Opening_Stock]]&gt;0),Raw_Data[[#This Row],[Units_Sold]]/Raw_Data[[#This Row],[Opening_Stock]],"")</f>
        <v>0.34177215189873417</v>
      </c>
      <c r="L839" t="str">
        <f>IF(NOT(ISNUMBER(Raw_Data[[#This Row],[Sell_through%]])),"Check",IF(Raw_Data[[#This Row],[Sell_through%]]=0,"Non-moving",IF(Raw_Data[[#This Row],[Sell_through%]]&gt;=0.6,"Fast","Slow")))</f>
        <v>Slow</v>
      </c>
      <c r="M839">
        <f>IF(AND(ISNUMBER(Raw_Data[[#This Row],[Closing_Stock]]),ISNUMBER(Raw_Data[[#This Row],[Unit_Cost]])),Raw_Data[[#This Row],[Closing_Stock]]*Raw_Data[[#This Row],[Unit_Cost]],"")</f>
        <v>135564</v>
      </c>
      <c r="N83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40" spans="1:14" x14ac:dyDescent="0.3">
      <c r="A840" t="s">
        <v>1202</v>
      </c>
      <c r="B840" t="s">
        <v>67</v>
      </c>
      <c r="C840" t="s">
        <v>31</v>
      </c>
      <c r="D840" t="s">
        <v>13</v>
      </c>
      <c r="E840" s="3"/>
      <c r="F840">
        <v>356</v>
      </c>
      <c r="G840">
        <v>0</v>
      </c>
      <c r="H840">
        <v>356</v>
      </c>
      <c r="I840">
        <v>773</v>
      </c>
      <c r="J840" t="s">
        <v>14</v>
      </c>
      <c r="K840" s="4">
        <f>IF(AND(ISNUMBER(Raw_Data[[#This Row],[Opening_Stock]]),ISNUMBER(Raw_Data[[#This Row],[Units_Sold]]),Raw_Data[[#This Row],[Opening_Stock]]&gt;0),Raw_Data[[#This Row],[Units_Sold]]/Raw_Data[[#This Row],[Opening_Stock]],"")</f>
        <v>0</v>
      </c>
      <c r="L840" t="str">
        <f>IF(NOT(ISNUMBER(Raw_Data[[#This Row],[Sell_through%]])),"Check",IF(Raw_Data[[#This Row],[Sell_through%]]=0,"Non-moving",IF(Raw_Data[[#This Row],[Sell_through%]]&gt;=0.6,"Fast","Slow")))</f>
        <v>Non-moving</v>
      </c>
      <c r="M840">
        <f>IF(AND(ISNUMBER(Raw_Data[[#This Row],[Closing_Stock]]),ISNUMBER(Raw_Data[[#This Row],[Unit_Cost]])),Raw_Data[[#This Row],[Closing_Stock]]*Raw_Data[[#This Row],[Unit_Cost]],"")</f>
        <v>275188</v>
      </c>
      <c r="N84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41" spans="1:14" x14ac:dyDescent="0.3">
      <c r="A841" t="s">
        <v>1203</v>
      </c>
      <c r="B841" t="s">
        <v>51</v>
      </c>
      <c r="C841" t="s">
        <v>49</v>
      </c>
      <c r="D841" t="s">
        <v>21</v>
      </c>
      <c r="E841" s="3">
        <v>46197</v>
      </c>
      <c r="H841">
        <v>343</v>
      </c>
      <c r="I841">
        <v>2890</v>
      </c>
      <c r="J841" t="s">
        <v>14</v>
      </c>
      <c r="K841" s="4" t="str">
        <f>IF(AND(ISNUMBER(Raw_Data[[#This Row],[Opening_Stock]]),ISNUMBER(Raw_Data[[#This Row],[Units_Sold]]),Raw_Data[[#This Row],[Opening_Stock]]&gt;0),Raw_Data[[#This Row],[Units_Sold]]/Raw_Data[[#This Row],[Opening_Stock]],"")</f>
        <v/>
      </c>
      <c r="L841" t="str">
        <f>IF(NOT(ISNUMBER(Raw_Data[[#This Row],[Sell_through%]])),"Check",IF(Raw_Data[[#This Row],[Sell_through%]]=0,"Non-moving",IF(Raw_Data[[#This Row],[Sell_through%]]&gt;=0.6,"Fast","Slow")))</f>
        <v>Check</v>
      </c>
      <c r="M841">
        <f>IF(AND(ISNUMBER(Raw_Data[[#This Row],[Closing_Stock]]),ISNUMBER(Raw_Data[[#This Row],[Unit_Cost]])),Raw_Data[[#This Row],[Closing_Stock]]*Raw_Data[[#This Row],[Unit_Cost]],"")</f>
        <v>991270</v>
      </c>
      <c r="N84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42" spans="1:14" x14ac:dyDescent="0.3">
      <c r="A842" t="s">
        <v>1204</v>
      </c>
      <c r="B842" t="s">
        <v>41</v>
      </c>
      <c r="C842" t="s">
        <v>49</v>
      </c>
      <c r="D842" t="s">
        <v>36</v>
      </c>
      <c r="E842" s="3">
        <v>46161</v>
      </c>
      <c r="F842">
        <v>260</v>
      </c>
      <c r="G842">
        <v>42</v>
      </c>
      <c r="H842">
        <v>218</v>
      </c>
      <c r="I842">
        <v>2266</v>
      </c>
      <c r="J842" t="s">
        <v>14</v>
      </c>
      <c r="K842" s="4">
        <f>IF(AND(ISNUMBER(Raw_Data[[#This Row],[Opening_Stock]]),ISNUMBER(Raw_Data[[#This Row],[Units_Sold]]),Raw_Data[[#This Row],[Opening_Stock]]&gt;0),Raw_Data[[#This Row],[Units_Sold]]/Raw_Data[[#This Row],[Opening_Stock]],"")</f>
        <v>0.16153846153846155</v>
      </c>
      <c r="L842" t="str">
        <f>IF(NOT(ISNUMBER(Raw_Data[[#This Row],[Sell_through%]])),"Check",IF(Raw_Data[[#This Row],[Sell_through%]]=0,"Non-moving",IF(Raw_Data[[#This Row],[Sell_through%]]&gt;=0.6,"Fast","Slow")))</f>
        <v>Slow</v>
      </c>
      <c r="M842">
        <f>IF(AND(ISNUMBER(Raw_Data[[#This Row],[Closing_Stock]]),ISNUMBER(Raw_Data[[#This Row],[Unit_Cost]])),Raw_Data[[#This Row],[Closing_Stock]]*Raw_Data[[#This Row],[Unit_Cost]],"")</f>
        <v>493988</v>
      </c>
      <c r="N84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43" spans="1:14" x14ac:dyDescent="0.3">
      <c r="A843" t="s">
        <v>1205</v>
      </c>
      <c r="B843" t="s">
        <v>182</v>
      </c>
      <c r="C843" t="s">
        <v>12</v>
      </c>
      <c r="D843" t="s">
        <v>36</v>
      </c>
      <c r="E843" s="3"/>
      <c r="F843">
        <v>384</v>
      </c>
      <c r="G843">
        <v>0</v>
      </c>
      <c r="H843">
        <v>384</v>
      </c>
      <c r="I843">
        <v>2768</v>
      </c>
      <c r="J843" t="s">
        <v>14</v>
      </c>
      <c r="K843" s="4">
        <f>IF(AND(ISNUMBER(Raw_Data[[#This Row],[Opening_Stock]]),ISNUMBER(Raw_Data[[#This Row],[Units_Sold]]),Raw_Data[[#This Row],[Opening_Stock]]&gt;0),Raw_Data[[#This Row],[Units_Sold]]/Raw_Data[[#This Row],[Opening_Stock]],"")</f>
        <v>0</v>
      </c>
      <c r="L843" t="str">
        <f>IF(NOT(ISNUMBER(Raw_Data[[#This Row],[Sell_through%]])),"Check",IF(Raw_Data[[#This Row],[Sell_through%]]=0,"Non-moving",IF(Raw_Data[[#This Row],[Sell_through%]]&gt;=0.6,"Fast","Slow")))</f>
        <v>Non-moving</v>
      </c>
      <c r="M843">
        <f>IF(AND(ISNUMBER(Raw_Data[[#This Row],[Closing_Stock]]),ISNUMBER(Raw_Data[[#This Row],[Unit_Cost]])),Raw_Data[[#This Row],[Closing_Stock]]*Raw_Data[[#This Row],[Unit_Cost]],"")</f>
        <v>1062912</v>
      </c>
      <c r="N84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44" spans="1:14" x14ac:dyDescent="0.3">
      <c r="A844" t="s">
        <v>1206</v>
      </c>
      <c r="B844" t="s">
        <v>224</v>
      </c>
      <c r="C844" t="s">
        <v>49</v>
      </c>
      <c r="D844" t="s">
        <v>21</v>
      </c>
      <c r="E844" s="3">
        <v>46257</v>
      </c>
      <c r="F844">
        <v>112</v>
      </c>
      <c r="G844">
        <v>32</v>
      </c>
      <c r="H844">
        <v>80</v>
      </c>
      <c r="I844">
        <v>705</v>
      </c>
      <c r="J844" t="s">
        <v>14</v>
      </c>
      <c r="K844" s="4">
        <f>IF(AND(ISNUMBER(Raw_Data[[#This Row],[Opening_Stock]]),ISNUMBER(Raw_Data[[#This Row],[Units_Sold]]),Raw_Data[[#This Row],[Opening_Stock]]&gt;0),Raw_Data[[#This Row],[Units_Sold]]/Raw_Data[[#This Row],[Opening_Stock]],"")</f>
        <v>0.2857142857142857</v>
      </c>
      <c r="L844" t="str">
        <f>IF(NOT(ISNUMBER(Raw_Data[[#This Row],[Sell_through%]])),"Check",IF(Raw_Data[[#This Row],[Sell_through%]]=0,"Non-moving",IF(Raw_Data[[#This Row],[Sell_through%]]&gt;=0.6,"Fast","Slow")))</f>
        <v>Slow</v>
      </c>
      <c r="M844">
        <f>IF(AND(ISNUMBER(Raw_Data[[#This Row],[Closing_Stock]]),ISNUMBER(Raw_Data[[#This Row],[Unit_Cost]])),Raw_Data[[#This Row],[Closing_Stock]]*Raw_Data[[#This Row],[Unit_Cost]],"")</f>
        <v>56400</v>
      </c>
      <c r="N84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45" spans="1:14" x14ac:dyDescent="0.3">
      <c r="A845" t="s">
        <v>1208</v>
      </c>
      <c r="B845" t="s">
        <v>422</v>
      </c>
      <c r="C845" t="s">
        <v>12</v>
      </c>
      <c r="D845" t="s">
        <v>13</v>
      </c>
      <c r="E845" s="3">
        <v>46066</v>
      </c>
      <c r="F845">
        <v>54</v>
      </c>
      <c r="G845">
        <v>53</v>
      </c>
      <c r="H845">
        <v>1</v>
      </c>
      <c r="I845">
        <v>1023</v>
      </c>
      <c r="J845" t="s">
        <v>17</v>
      </c>
      <c r="K845" s="4">
        <f>IF(AND(ISNUMBER(Raw_Data[[#This Row],[Opening_Stock]]),ISNUMBER(Raw_Data[[#This Row],[Units_Sold]]),Raw_Data[[#This Row],[Opening_Stock]]&gt;0),Raw_Data[[#This Row],[Units_Sold]]/Raw_Data[[#This Row],[Opening_Stock]],"")</f>
        <v>0.98148148148148151</v>
      </c>
      <c r="L845" t="str">
        <f>IF(NOT(ISNUMBER(Raw_Data[[#This Row],[Sell_through%]])),"Check",IF(Raw_Data[[#This Row],[Sell_through%]]=0,"Non-moving",IF(Raw_Data[[#This Row],[Sell_through%]]&gt;=0.6,"Fast","Slow")))</f>
        <v>Fast</v>
      </c>
      <c r="M845">
        <f>IF(AND(ISNUMBER(Raw_Data[[#This Row],[Closing_Stock]]),ISNUMBER(Raw_Data[[#This Row],[Unit_Cost]])),Raw_Data[[#This Row],[Closing_Stock]]*Raw_Data[[#This Row],[Unit_Cost]],"")</f>
        <v>1023</v>
      </c>
      <c r="N845"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46" spans="1:14" x14ac:dyDescent="0.3">
      <c r="A846" t="s">
        <v>1209</v>
      </c>
      <c r="B846" t="s">
        <v>54</v>
      </c>
      <c r="C846" t="s">
        <v>31</v>
      </c>
      <c r="D846" t="s">
        <v>32</v>
      </c>
      <c r="E846" s="3">
        <v>45996</v>
      </c>
      <c r="F846">
        <v>159</v>
      </c>
      <c r="G846">
        <v>45</v>
      </c>
      <c r="H846">
        <v>114</v>
      </c>
      <c r="I846">
        <v>686</v>
      </c>
      <c r="J846" t="s">
        <v>14</v>
      </c>
      <c r="K846" s="4">
        <f>IF(AND(ISNUMBER(Raw_Data[[#This Row],[Opening_Stock]]),ISNUMBER(Raw_Data[[#This Row],[Units_Sold]]),Raw_Data[[#This Row],[Opening_Stock]]&gt;0),Raw_Data[[#This Row],[Units_Sold]]/Raw_Data[[#This Row],[Opening_Stock]],"")</f>
        <v>0.28301886792452829</v>
      </c>
      <c r="L846" t="str">
        <f>IF(NOT(ISNUMBER(Raw_Data[[#This Row],[Sell_through%]])),"Check",IF(Raw_Data[[#This Row],[Sell_through%]]=0,"Non-moving",IF(Raw_Data[[#This Row],[Sell_through%]]&gt;=0.6,"Fast","Slow")))</f>
        <v>Slow</v>
      </c>
      <c r="M846">
        <f>IF(AND(ISNUMBER(Raw_Data[[#This Row],[Closing_Stock]]),ISNUMBER(Raw_Data[[#This Row],[Unit_Cost]])),Raw_Data[[#This Row],[Closing_Stock]]*Raw_Data[[#This Row],[Unit_Cost]],"")</f>
        <v>78204</v>
      </c>
      <c r="N84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47" spans="1:14" x14ac:dyDescent="0.3">
      <c r="A847" t="s">
        <v>1210</v>
      </c>
      <c r="B847" t="s">
        <v>324</v>
      </c>
      <c r="C847" t="s">
        <v>31</v>
      </c>
      <c r="D847" t="s">
        <v>36</v>
      </c>
      <c r="E847" s="3">
        <v>46176</v>
      </c>
      <c r="F847">
        <v>345</v>
      </c>
      <c r="G847">
        <v>109</v>
      </c>
      <c r="H847">
        <v>236</v>
      </c>
      <c r="I847">
        <v>2263</v>
      </c>
      <c r="J847" t="s">
        <v>14</v>
      </c>
      <c r="K847" s="4">
        <f>IF(AND(ISNUMBER(Raw_Data[[#This Row],[Opening_Stock]]),ISNUMBER(Raw_Data[[#This Row],[Units_Sold]]),Raw_Data[[#This Row],[Opening_Stock]]&gt;0),Raw_Data[[#This Row],[Units_Sold]]/Raw_Data[[#This Row],[Opening_Stock]],"")</f>
        <v>0.31594202898550727</v>
      </c>
      <c r="L847" t="str">
        <f>IF(NOT(ISNUMBER(Raw_Data[[#This Row],[Sell_through%]])),"Check",IF(Raw_Data[[#This Row],[Sell_through%]]=0,"Non-moving",IF(Raw_Data[[#This Row],[Sell_through%]]&gt;=0.6,"Fast","Slow")))</f>
        <v>Slow</v>
      </c>
      <c r="M847">
        <f>IF(AND(ISNUMBER(Raw_Data[[#This Row],[Closing_Stock]]),ISNUMBER(Raw_Data[[#This Row],[Unit_Cost]])),Raw_Data[[#This Row],[Closing_Stock]]*Raw_Data[[#This Row],[Unit_Cost]],"")</f>
        <v>534068</v>
      </c>
      <c r="N84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48" spans="1:14" x14ac:dyDescent="0.3">
      <c r="A848" t="s">
        <v>1211</v>
      </c>
      <c r="B848" t="s">
        <v>134</v>
      </c>
      <c r="C848" t="s">
        <v>31</v>
      </c>
      <c r="D848" t="s">
        <v>36</v>
      </c>
      <c r="E848" s="3">
        <v>46188</v>
      </c>
      <c r="F848">
        <v>478</v>
      </c>
      <c r="G848">
        <v>438</v>
      </c>
      <c r="H848">
        <v>40</v>
      </c>
      <c r="I848">
        <v>2377</v>
      </c>
      <c r="J848" t="s">
        <v>17</v>
      </c>
      <c r="K848" s="4">
        <f>IF(AND(ISNUMBER(Raw_Data[[#This Row],[Opening_Stock]]),ISNUMBER(Raw_Data[[#This Row],[Units_Sold]]),Raw_Data[[#This Row],[Opening_Stock]]&gt;0),Raw_Data[[#This Row],[Units_Sold]]/Raw_Data[[#This Row],[Opening_Stock]],"")</f>
        <v>0.91631799163179917</v>
      </c>
      <c r="L848" t="str">
        <f>IF(NOT(ISNUMBER(Raw_Data[[#This Row],[Sell_through%]])),"Check",IF(Raw_Data[[#This Row],[Sell_through%]]=0,"Non-moving",IF(Raw_Data[[#This Row],[Sell_through%]]&gt;=0.6,"Fast","Slow")))</f>
        <v>Fast</v>
      </c>
      <c r="M848">
        <f>IF(AND(ISNUMBER(Raw_Data[[#This Row],[Closing_Stock]]),ISNUMBER(Raw_Data[[#This Row],[Unit_Cost]])),Raw_Data[[#This Row],[Closing_Stock]]*Raw_Data[[#This Row],[Unit_Cost]],"")</f>
        <v>95080</v>
      </c>
      <c r="N84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49" spans="1:14" x14ac:dyDescent="0.3">
      <c r="A849" t="s">
        <v>1212</v>
      </c>
      <c r="B849" t="s">
        <v>315</v>
      </c>
      <c r="C849" t="s">
        <v>49</v>
      </c>
      <c r="D849" t="s">
        <v>21</v>
      </c>
      <c r="E849" s="3">
        <v>46014</v>
      </c>
      <c r="F849">
        <v>60</v>
      </c>
      <c r="G849">
        <v>12</v>
      </c>
      <c r="H849">
        <v>48</v>
      </c>
      <c r="I849">
        <v>2403</v>
      </c>
      <c r="J849" t="s">
        <v>17</v>
      </c>
      <c r="K849" s="4">
        <f>IF(AND(ISNUMBER(Raw_Data[[#This Row],[Opening_Stock]]),ISNUMBER(Raw_Data[[#This Row],[Units_Sold]]),Raw_Data[[#This Row],[Opening_Stock]]&gt;0),Raw_Data[[#This Row],[Units_Sold]]/Raw_Data[[#This Row],[Opening_Stock]],"")</f>
        <v>0.2</v>
      </c>
      <c r="L849" t="str">
        <f>IF(NOT(ISNUMBER(Raw_Data[[#This Row],[Sell_through%]])),"Check",IF(Raw_Data[[#This Row],[Sell_through%]]=0,"Non-moving",IF(Raw_Data[[#This Row],[Sell_through%]]&gt;=0.6,"Fast","Slow")))</f>
        <v>Slow</v>
      </c>
      <c r="M849">
        <f>IF(AND(ISNUMBER(Raw_Data[[#This Row],[Closing_Stock]]),ISNUMBER(Raw_Data[[#This Row],[Unit_Cost]])),Raw_Data[[#This Row],[Closing_Stock]]*Raw_Data[[#This Row],[Unit_Cost]],"")</f>
        <v>115344</v>
      </c>
      <c r="N84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50" spans="1:14" x14ac:dyDescent="0.3">
      <c r="A850" t="s">
        <v>1214</v>
      </c>
      <c r="B850" t="s">
        <v>387</v>
      </c>
      <c r="C850" t="s">
        <v>12</v>
      </c>
      <c r="D850" t="s">
        <v>13</v>
      </c>
      <c r="E850" s="3"/>
      <c r="F850">
        <v>238</v>
      </c>
      <c r="G850">
        <v>0</v>
      </c>
      <c r="H850">
        <v>238</v>
      </c>
      <c r="I850">
        <v>90</v>
      </c>
      <c r="J850" t="s">
        <v>14</v>
      </c>
      <c r="K850" s="4">
        <f>IF(AND(ISNUMBER(Raw_Data[[#This Row],[Opening_Stock]]),ISNUMBER(Raw_Data[[#This Row],[Units_Sold]]),Raw_Data[[#This Row],[Opening_Stock]]&gt;0),Raw_Data[[#This Row],[Units_Sold]]/Raw_Data[[#This Row],[Opening_Stock]],"")</f>
        <v>0</v>
      </c>
      <c r="L850" t="str">
        <f>IF(NOT(ISNUMBER(Raw_Data[[#This Row],[Sell_through%]])),"Check",IF(Raw_Data[[#This Row],[Sell_through%]]=0,"Non-moving",IF(Raw_Data[[#This Row],[Sell_through%]]&gt;=0.6,"Fast","Slow")))</f>
        <v>Non-moving</v>
      </c>
      <c r="M850">
        <f>IF(AND(ISNUMBER(Raw_Data[[#This Row],[Closing_Stock]]),ISNUMBER(Raw_Data[[#This Row],[Unit_Cost]])),Raw_Data[[#This Row],[Closing_Stock]]*Raw_Data[[#This Row],[Unit_Cost]],"")</f>
        <v>21420</v>
      </c>
      <c r="N85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51" spans="1:14" x14ac:dyDescent="0.3">
      <c r="A851" t="s">
        <v>1215</v>
      </c>
      <c r="B851" t="s">
        <v>98</v>
      </c>
      <c r="C851" t="s">
        <v>12</v>
      </c>
      <c r="D851" t="s">
        <v>32</v>
      </c>
      <c r="E851" s="3"/>
      <c r="F851">
        <v>258</v>
      </c>
      <c r="G851">
        <v>0</v>
      </c>
      <c r="H851">
        <v>258</v>
      </c>
      <c r="I851">
        <v>1185</v>
      </c>
      <c r="J851" t="s">
        <v>14</v>
      </c>
      <c r="K851" s="4">
        <f>IF(AND(ISNUMBER(Raw_Data[[#This Row],[Opening_Stock]]),ISNUMBER(Raw_Data[[#This Row],[Units_Sold]]),Raw_Data[[#This Row],[Opening_Stock]]&gt;0),Raw_Data[[#This Row],[Units_Sold]]/Raw_Data[[#This Row],[Opening_Stock]],"")</f>
        <v>0</v>
      </c>
      <c r="L851" t="str">
        <f>IF(NOT(ISNUMBER(Raw_Data[[#This Row],[Sell_through%]])),"Check",IF(Raw_Data[[#This Row],[Sell_through%]]=0,"Non-moving",IF(Raw_Data[[#This Row],[Sell_through%]]&gt;=0.6,"Fast","Slow")))</f>
        <v>Non-moving</v>
      </c>
      <c r="M851">
        <f>IF(AND(ISNUMBER(Raw_Data[[#This Row],[Closing_Stock]]),ISNUMBER(Raw_Data[[#This Row],[Unit_Cost]])),Raw_Data[[#This Row],[Closing_Stock]]*Raw_Data[[#This Row],[Unit_Cost]],"")</f>
        <v>305730</v>
      </c>
      <c r="N85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52" spans="1:14" x14ac:dyDescent="0.3">
      <c r="A852" t="s">
        <v>1216</v>
      </c>
      <c r="B852" t="s">
        <v>80</v>
      </c>
      <c r="D852" t="s">
        <v>13</v>
      </c>
      <c r="E852" s="3"/>
      <c r="F852">
        <v>368</v>
      </c>
      <c r="G852">
        <v>0</v>
      </c>
      <c r="H852">
        <v>368</v>
      </c>
      <c r="J852" t="s">
        <v>14</v>
      </c>
      <c r="K852" s="4">
        <f>IF(AND(ISNUMBER(Raw_Data[[#This Row],[Opening_Stock]]),ISNUMBER(Raw_Data[[#This Row],[Units_Sold]]),Raw_Data[[#This Row],[Opening_Stock]]&gt;0),Raw_Data[[#This Row],[Units_Sold]]/Raw_Data[[#This Row],[Opening_Stock]],"")</f>
        <v>0</v>
      </c>
      <c r="L852" t="str">
        <f>IF(NOT(ISNUMBER(Raw_Data[[#This Row],[Sell_through%]])),"Check",IF(Raw_Data[[#This Row],[Sell_through%]]=0,"Non-moving",IF(Raw_Data[[#This Row],[Sell_through%]]&gt;=0.6,"Fast","Slow")))</f>
        <v>Non-moving</v>
      </c>
      <c r="M852" t="str">
        <f>IF(AND(ISNUMBER(Raw_Data[[#This Row],[Closing_Stock]]),ISNUMBER(Raw_Data[[#This Row],[Unit_Cost]])),Raw_Data[[#This Row],[Closing_Stock]]*Raw_Data[[#This Row],[Unit_Cost]],"")</f>
        <v/>
      </c>
      <c r="N85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53" spans="1:14" x14ac:dyDescent="0.3">
      <c r="A853" t="s">
        <v>1217</v>
      </c>
      <c r="B853" t="s">
        <v>211</v>
      </c>
      <c r="C853" t="s">
        <v>35</v>
      </c>
      <c r="D853" t="s">
        <v>13</v>
      </c>
      <c r="E853" s="3"/>
      <c r="F853">
        <v>355</v>
      </c>
      <c r="G853">
        <v>0</v>
      </c>
      <c r="H853">
        <v>355</v>
      </c>
      <c r="I853">
        <v>1827</v>
      </c>
      <c r="K853" s="4">
        <f>IF(AND(ISNUMBER(Raw_Data[[#This Row],[Opening_Stock]]),ISNUMBER(Raw_Data[[#This Row],[Units_Sold]]),Raw_Data[[#This Row],[Opening_Stock]]&gt;0),Raw_Data[[#This Row],[Units_Sold]]/Raw_Data[[#This Row],[Opening_Stock]],"")</f>
        <v>0</v>
      </c>
      <c r="L853" t="str">
        <f>IF(NOT(ISNUMBER(Raw_Data[[#This Row],[Sell_through%]])),"Check",IF(Raw_Data[[#This Row],[Sell_through%]]=0,"Non-moving",IF(Raw_Data[[#This Row],[Sell_through%]]&gt;=0.6,"Fast","Slow")))</f>
        <v>Non-moving</v>
      </c>
      <c r="M853">
        <f>IF(AND(ISNUMBER(Raw_Data[[#This Row],[Closing_Stock]]),ISNUMBER(Raw_Data[[#This Row],[Unit_Cost]])),Raw_Data[[#This Row],[Closing_Stock]]*Raw_Data[[#This Row],[Unit_Cost]],"")</f>
        <v>648585</v>
      </c>
      <c r="N853"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54" spans="1:14" x14ac:dyDescent="0.3">
      <c r="A854" t="s">
        <v>1218</v>
      </c>
      <c r="B854" t="s">
        <v>23</v>
      </c>
      <c r="C854" t="s">
        <v>35</v>
      </c>
      <c r="D854" t="s">
        <v>36</v>
      </c>
      <c r="E854" s="3">
        <v>46124</v>
      </c>
      <c r="F854">
        <v>355</v>
      </c>
      <c r="G854">
        <v>281</v>
      </c>
      <c r="H854">
        <v>74</v>
      </c>
      <c r="I854">
        <v>2818</v>
      </c>
      <c r="J854" t="s">
        <v>14</v>
      </c>
      <c r="K854" s="4">
        <f>IF(AND(ISNUMBER(Raw_Data[[#This Row],[Opening_Stock]]),ISNUMBER(Raw_Data[[#This Row],[Units_Sold]]),Raw_Data[[#This Row],[Opening_Stock]]&gt;0),Raw_Data[[#This Row],[Units_Sold]]/Raw_Data[[#This Row],[Opening_Stock]],"")</f>
        <v>0.79154929577464783</v>
      </c>
      <c r="L854" t="str">
        <f>IF(NOT(ISNUMBER(Raw_Data[[#This Row],[Sell_through%]])),"Check",IF(Raw_Data[[#This Row],[Sell_through%]]=0,"Non-moving",IF(Raw_Data[[#This Row],[Sell_through%]]&gt;=0.6,"Fast","Slow")))</f>
        <v>Fast</v>
      </c>
      <c r="M854">
        <f>IF(AND(ISNUMBER(Raw_Data[[#This Row],[Closing_Stock]]),ISNUMBER(Raw_Data[[#This Row],[Unit_Cost]])),Raw_Data[[#This Row],[Closing_Stock]]*Raw_Data[[#This Row],[Unit_Cost]],"")</f>
        <v>208532</v>
      </c>
      <c r="N85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55" spans="1:14" x14ac:dyDescent="0.3">
      <c r="A855" t="s">
        <v>1219</v>
      </c>
      <c r="B855" t="s">
        <v>1343</v>
      </c>
      <c r="C855" t="s">
        <v>28</v>
      </c>
      <c r="D855" t="s">
        <v>36</v>
      </c>
      <c r="E855" s="3">
        <v>46246</v>
      </c>
      <c r="F855">
        <v>344</v>
      </c>
      <c r="G855">
        <v>55</v>
      </c>
      <c r="H855">
        <v>289</v>
      </c>
      <c r="I855">
        <v>1035</v>
      </c>
      <c r="J855" t="s">
        <v>14</v>
      </c>
      <c r="K855" s="4">
        <f>IF(AND(ISNUMBER(Raw_Data[[#This Row],[Opening_Stock]]),ISNUMBER(Raw_Data[[#This Row],[Units_Sold]]),Raw_Data[[#This Row],[Opening_Stock]]&gt;0),Raw_Data[[#This Row],[Units_Sold]]/Raw_Data[[#This Row],[Opening_Stock]],"")</f>
        <v>0.15988372093023256</v>
      </c>
      <c r="L855" t="str">
        <f>IF(NOT(ISNUMBER(Raw_Data[[#This Row],[Sell_through%]])),"Check",IF(Raw_Data[[#This Row],[Sell_through%]]=0,"Non-moving",IF(Raw_Data[[#This Row],[Sell_through%]]&gt;=0.6,"Fast","Slow")))</f>
        <v>Slow</v>
      </c>
      <c r="M855">
        <f>IF(AND(ISNUMBER(Raw_Data[[#This Row],[Closing_Stock]]),ISNUMBER(Raw_Data[[#This Row],[Unit_Cost]])),Raw_Data[[#This Row],[Closing_Stock]]*Raw_Data[[#This Row],[Unit_Cost]],"")</f>
        <v>299115</v>
      </c>
      <c r="N85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56" spans="1:14" x14ac:dyDescent="0.3">
      <c r="A856" t="s">
        <v>1220</v>
      </c>
      <c r="B856" t="s">
        <v>158</v>
      </c>
      <c r="C856" t="s">
        <v>31</v>
      </c>
      <c r="D856" t="s">
        <v>32</v>
      </c>
      <c r="E856" s="3">
        <v>46110</v>
      </c>
      <c r="F856">
        <v>223</v>
      </c>
      <c r="G856">
        <v>73</v>
      </c>
      <c r="H856">
        <v>150</v>
      </c>
      <c r="I856">
        <v>1220</v>
      </c>
      <c r="J856" t="s">
        <v>14</v>
      </c>
      <c r="K856" s="4">
        <f>IF(AND(ISNUMBER(Raw_Data[[#This Row],[Opening_Stock]]),ISNUMBER(Raw_Data[[#This Row],[Units_Sold]]),Raw_Data[[#This Row],[Opening_Stock]]&gt;0),Raw_Data[[#This Row],[Units_Sold]]/Raw_Data[[#This Row],[Opening_Stock]],"")</f>
        <v>0.3273542600896861</v>
      </c>
      <c r="L856" t="str">
        <f>IF(NOT(ISNUMBER(Raw_Data[[#This Row],[Sell_through%]])),"Check",IF(Raw_Data[[#This Row],[Sell_through%]]=0,"Non-moving",IF(Raw_Data[[#This Row],[Sell_through%]]&gt;=0.6,"Fast","Slow")))</f>
        <v>Slow</v>
      </c>
      <c r="M856">
        <f>IF(AND(ISNUMBER(Raw_Data[[#This Row],[Closing_Stock]]),ISNUMBER(Raw_Data[[#This Row],[Unit_Cost]])),Raw_Data[[#This Row],[Closing_Stock]]*Raw_Data[[#This Row],[Unit_Cost]],"")</f>
        <v>183000</v>
      </c>
      <c r="N85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57" spans="1:14" x14ac:dyDescent="0.3">
      <c r="A857" t="s">
        <v>1221</v>
      </c>
      <c r="B857" t="s">
        <v>101</v>
      </c>
      <c r="C857" t="s">
        <v>12</v>
      </c>
      <c r="D857" t="s">
        <v>21</v>
      </c>
      <c r="E857" s="3">
        <v>46030</v>
      </c>
      <c r="F857">
        <v>323</v>
      </c>
      <c r="G857">
        <v>32</v>
      </c>
      <c r="H857">
        <v>291</v>
      </c>
      <c r="J857" t="s">
        <v>14</v>
      </c>
      <c r="K857" s="4">
        <f>IF(AND(ISNUMBER(Raw_Data[[#This Row],[Opening_Stock]]),ISNUMBER(Raw_Data[[#This Row],[Units_Sold]]),Raw_Data[[#This Row],[Opening_Stock]]&gt;0),Raw_Data[[#This Row],[Units_Sold]]/Raw_Data[[#This Row],[Opening_Stock]],"")</f>
        <v>9.9071207430340563E-2</v>
      </c>
      <c r="L857" t="str">
        <f>IF(NOT(ISNUMBER(Raw_Data[[#This Row],[Sell_through%]])),"Check",IF(Raw_Data[[#This Row],[Sell_through%]]=0,"Non-moving",IF(Raw_Data[[#This Row],[Sell_through%]]&gt;=0.6,"Fast","Slow")))</f>
        <v>Slow</v>
      </c>
      <c r="M857" t="str">
        <f>IF(AND(ISNUMBER(Raw_Data[[#This Row],[Closing_Stock]]),ISNUMBER(Raw_Data[[#This Row],[Unit_Cost]])),Raw_Data[[#This Row],[Closing_Stock]]*Raw_Data[[#This Row],[Unit_Cost]],"")</f>
        <v/>
      </c>
      <c r="N85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58" spans="1:14" x14ac:dyDescent="0.3">
      <c r="A858" t="s">
        <v>1222</v>
      </c>
      <c r="B858" t="s">
        <v>11</v>
      </c>
      <c r="C858" t="s">
        <v>12</v>
      </c>
      <c r="D858" t="s">
        <v>32</v>
      </c>
      <c r="E858" s="3">
        <v>46125</v>
      </c>
      <c r="F858">
        <v>214</v>
      </c>
      <c r="G858">
        <v>163</v>
      </c>
      <c r="H858">
        <v>51</v>
      </c>
      <c r="I858">
        <v>1840</v>
      </c>
      <c r="J858" t="s">
        <v>17</v>
      </c>
      <c r="K858" s="4">
        <f>IF(AND(ISNUMBER(Raw_Data[[#This Row],[Opening_Stock]]),ISNUMBER(Raw_Data[[#This Row],[Units_Sold]]),Raw_Data[[#This Row],[Opening_Stock]]&gt;0),Raw_Data[[#This Row],[Units_Sold]]/Raw_Data[[#This Row],[Opening_Stock]],"")</f>
        <v>0.76168224299065423</v>
      </c>
      <c r="L858" t="str">
        <f>IF(NOT(ISNUMBER(Raw_Data[[#This Row],[Sell_through%]])),"Check",IF(Raw_Data[[#This Row],[Sell_through%]]=0,"Non-moving",IF(Raw_Data[[#This Row],[Sell_through%]]&gt;=0.6,"Fast","Slow")))</f>
        <v>Fast</v>
      </c>
      <c r="M858">
        <f>IF(AND(ISNUMBER(Raw_Data[[#This Row],[Closing_Stock]]),ISNUMBER(Raw_Data[[#This Row],[Unit_Cost]])),Raw_Data[[#This Row],[Closing_Stock]]*Raw_Data[[#This Row],[Unit_Cost]],"")</f>
        <v>93840</v>
      </c>
      <c r="N85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59" spans="1:14" x14ac:dyDescent="0.3">
      <c r="A859" t="s">
        <v>1223</v>
      </c>
      <c r="B859" t="s">
        <v>151</v>
      </c>
      <c r="C859" t="s">
        <v>35</v>
      </c>
      <c r="D859" t="s">
        <v>36</v>
      </c>
      <c r="E859" s="3">
        <v>46176</v>
      </c>
      <c r="F859">
        <v>180</v>
      </c>
      <c r="G859">
        <v>25</v>
      </c>
      <c r="H859">
        <v>155</v>
      </c>
      <c r="I859">
        <v>249</v>
      </c>
      <c r="J859" t="s">
        <v>14</v>
      </c>
      <c r="K859" s="4">
        <f>IF(AND(ISNUMBER(Raw_Data[[#This Row],[Opening_Stock]]),ISNUMBER(Raw_Data[[#This Row],[Units_Sold]]),Raw_Data[[#This Row],[Opening_Stock]]&gt;0),Raw_Data[[#This Row],[Units_Sold]]/Raw_Data[[#This Row],[Opening_Stock]],"")</f>
        <v>0.1388888888888889</v>
      </c>
      <c r="L859" t="str">
        <f>IF(NOT(ISNUMBER(Raw_Data[[#This Row],[Sell_through%]])),"Check",IF(Raw_Data[[#This Row],[Sell_through%]]=0,"Non-moving",IF(Raw_Data[[#This Row],[Sell_through%]]&gt;=0.6,"Fast","Slow")))</f>
        <v>Slow</v>
      </c>
      <c r="M859">
        <f>IF(AND(ISNUMBER(Raw_Data[[#This Row],[Closing_Stock]]),ISNUMBER(Raw_Data[[#This Row],[Unit_Cost]])),Raw_Data[[#This Row],[Closing_Stock]]*Raw_Data[[#This Row],[Unit_Cost]],"")</f>
        <v>38595</v>
      </c>
      <c r="N85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60" spans="1:14" x14ac:dyDescent="0.3">
      <c r="A860" t="s">
        <v>1224</v>
      </c>
      <c r="B860" t="s">
        <v>294</v>
      </c>
      <c r="C860" t="s">
        <v>35</v>
      </c>
      <c r="D860" t="s">
        <v>32</v>
      </c>
      <c r="E860" s="3"/>
      <c r="F860">
        <v>181</v>
      </c>
      <c r="G860">
        <v>0</v>
      </c>
      <c r="H860">
        <v>181</v>
      </c>
      <c r="I860">
        <v>1512</v>
      </c>
      <c r="J860" t="s">
        <v>14</v>
      </c>
      <c r="K860" s="4">
        <f>IF(AND(ISNUMBER(Raw_Data[[#This Row],[Opening_Stock]]),ISNUMBER(Raw_Data[[#This Row],[Units_Sold]]),Raw_Data[[#This Row],[Opening_Stock]]&gt;0),Raw_Data[[#This Row],[Units_Sold]]/Raw_Data[[#This Row],[Opening_Stock]],"")</f>
        <v>0</v>
      </c>
      <c r="L860" t="str">
        <f>IF(NOT(ISNUMBER(Raw_Data[[#This Row],[Sell_through%]])),"Check",IF(Raw_Data[[#This Row],[Sell_through%]]=0,"Non-moving",IF(Raw_Data[[#This Row],[Sell_through%]]&gt;=0.6,"Fast","Slow")))</f>
        <v>Non-moving</v>
      </c>
      <c r="M860">
        <f>IF(AND(ISNUMBER(Raw_Data[[#This Row],[Closing_Stock]]),ISNUMBER(Raw_Data[[#This Row],[Unit_Cost]])),Raw_Data[[#This Row],[Closing_Stock]]*Raw_Data[[#This Row],[Unit_Cost]],"")</f>
        <v>273672</v>
      </c>
      <c r="N86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61" spans="1:14" x14ac:dyDescent="0.3">
      <c r="A861" t="s">
        <v>1225</v>
      </c>
      <c r="B861" t="s">
        <v>367</v>
      </c>
      <c r="C861" t="s">
        <v>35</v>
      </c>
      <c r="D861" t="s">
        <v>32</v>
      </c>
      <c r="E861" s="3">
        <v>46221</v>
      </c>
      <c r="F861">
        <v>310</v>
      </c>
      <c r="G861">
        <v>56</v>
      </c>
      <c r="H861">
        <v>254</v>
      </c>
      <c r="I861">
        <v>847</v>
      </c>
      <c r="J861" t="s">
        <v>14</v>
      </c>
      <c r="K861" s="4">
        <f>IF(AND(ISNUMBER(Raw_Data[[#This Row],[Opening_Stock]]),ISNUMBER(Raw_Data[[#This Row],[Units_Sold]]),Raw_Data[[#This Row],[Opening_Stock]]&gt;0),Raw_Data[[#This Row],[Units_Sold]]/Raw_Data[[#This Row],[Opening_Stock]],"")</f>
        <v>0.18064516129032257</v>
      </c>
      <c r="L861" t="str">
        <f>IF(NOT(ISNUMBER(Raw_Data[[#This Row],[Sell_through%]])),"Check",IF(Raw_Data[[#This Row],[Sell_through%]]=0,"Non-moving",IF(Raw_Data[[#This Row],[Sell_through%]]&gt;=0.6,"Fast","Slow")))</f>
        <v>Slow</v>
      </c>
      <c r="M861">
        <f>IF(AND(ISNUMBER(Raw_Data[[#This Row],[Closing_Stock]]),ISNUMBER(Raw_Data[[#This Row],[Unit_Cost]])),Raw_Data[[#This Row],[Closing_Stock]]*Raw_Data[[#This Row],[Unit_Cost]],"")</f>
        <v>215138</v>
      </c>
      <c r="N86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62" spans="1:14" x14ac:dyDescent="0.3">
      <c r="A862" t="s">
        <v>1226</v>
      </c>
      <c r="B862" t="s">
        <v>71</v>
      </c>
      <c r="C862" t="s">
        <v>35</v>
      </c>
      <c r="D862" t="s">
        <v>21</v>
      </c>
      <c r="E862" s="3"/>
      <c r="F862">
        <v>100</v>
      </c>
      <c r="G862">
        <v>0</v>
      </c>
      <c r="H862">
        <v>100</v>
      </c>
      <c r="I862">
        <v>2413</v>
      </c>
      <c r="J862" t="s">
        <v>14</v>
      </c>
      <c r="K862" s="4">
        <f>IF(AND(ISNUMBER(Raw_Data[[#This Row],[Opening_Stock]]),ISNUMBER(Raw_Data[[#This Row],[Units_Sold]]),Raw_Data[[#This Row],[Opening_Stock]]&gt;0),Raw_Data[[#This Row],[Units_Sold]]/Raw_Data[[#This Row],[Opening_Stock]],"")</f>
        <v>0</v>
      </c>
      <c r="L862" t="str">
        <f>IF(NOT(ISNUMBER(Raw_Data[[#This Row],[Sell_through%]])),"Check",IF(Raw_Data[[#This Row],[Sell_through%]]=0,"Non-moving",IF(Raw_Data[[#This Row],[Sell_through%]]&gt;=0.6,"Fast","Slow")))</f>
        <v>Non-moving</v>
      </c>
      <c r="M862">
        <f>IF(AND(ISNUMBER(Raw_Data[[#This Row],[Closing_Stock]]),ISNUMBER(Raw_Data[[#This Row],[Unit_Cost]])),Raw_Data[[#This Row],[Closing_Stock]]*Raw_Data[[#This Row],[Unit_Cost]],"")</f>
        <v>241300</v>
      </c>
      <c r="N86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63" spans="1:14" x14ac:dyDescent="0.3">
      <c r="A863" t="s">
        <v>1227</v>
      </c>
      <c r="B863" t="s">
        <v>240</v>
      </c>
      <c r="C863" t="s">
        <v>49</v>
      </c>
      <c r="D863" t="s">
        <v>21</v>
      </c>
      <c r="E863" s="3">
        <v>46165</v>
      </c>
      <c r="F863">
        <v>345</v>
      </c>
      <c r="G863">
        <v>80</v>
      </c>
      <c r="H863">
        <v>265</v>
      </c>
      <c r="I863">
        <v>2624</v>
      </c>
      <c r="J863" t="s">
        <v>14</v>
      </c>
      <c r="K863" s="4">
        <f>IF(AND(ISNUMBER(Raw_Data[[#This Row],[Opening_Stock]]),ISNUMBER(Raw_Data[[#This Row],[Units_Sold]]),Raw_Data[[#This Row],[Opening_Stock]]&gt;0),Raw_Data[[#This Row],[Units_Sold]]/Raw_Data[[#This Row],[Opening_Stock]],"")</f>
        <v>0.2318840579710145</v>
      </c>
      <c r="L863" t="str">
        <f>IF(NOT(ISNUMBER(Raw_Data[[#This Row],[Sell_through%]])),"Check",IF(Raw_Data[[#This Row],[Sell_through%]]=0,"Non-moving",IF(Raw_Data[[#This Row],[Sell_through%]]&gt;=0.6,"Fast","Slow")))</f>
        <v>Slow</v>
      </c>
      <c r="M863">
        <f>IF(AND(ISNUMBER(Raw_Data[[#This Row],[Closing_Stock]]),ISNUMBER(Raw_Data[[#This Row],[Unit_Cost]])),Raw_Data[[#This Row],[Closing_Stock]]*Raw_Data[[#This Row],[Unit_Cost]],"")</f>
        <v>695360</v>
      </c>
      <c r="N86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64" spans="1:14" x14ac:dyDescent="0.3">
      <c r="A864" t="s">
        <v>1228</v>
      </c>
      <c r="B864" t="s">
        <v>98</v>
      </c>
      <c r="C864" t="s">
        <v>12</v>
      </c>
      <c r="D864" t="s">
        <v>13</v>
      </c>
      <c r="E864" s="3"/>
      <c r="F864">
        <v>105</v>
      </c>
      <c r="G864">
        <v>0</v>
      </c>
      <c r="H864">
        <v>105</v>
      </c>
      <c r="I864">
        <v>370</v>
      </c>
      <c r="J864" t="s">
        <v>14</v>
      </c>
      <c r="K864" s="4">
        <f>IF(AND(ISNUMBER(Raw_Data[[#This Row],[Opening_Stock]]),ISNUMBER(Raw_Data[[#This Row],[Units_Sold]]),Raw_Data[[#This Row],[Opening_Stock]]&gt;0),Raw_Data[[#This Row],[Units_Sold]]/Raw_Data[[#This Row],[Opening_Stock]],"")</f>
        <v>0</v>
      </c>
      <c r="L864" t="str">
        <f>IF(NOT(ISNUMBER(Raw_Data[[#This Row],[Sell_through%]])),"Check",IF(Raw_Data[[#This Row],[Sell_through%]]=0,"Non-moving",IF(Raw_Data[[#This Row],[Sell_through%]]&gt;=0.6,"Fast","Slow")))</f>
        <v>Non-moving</v>
      </c>
      <c r="M864">
        <f>IF(AND(ISNUMBER(Raw_Data[[#This Row],[Closing_Stock]]),ISNUMBER(Raw_Data[[#This Row],[Unit_Cost]])),Raw_Data[[#This Row],[Closing_Stock]]*Raw_Data[[#This Row],[Unit_Cost]],"")</f>
        <v>38850</v>
      </c>
      <c r="N86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65" spans="1:14" x14ac:dyDescent="0.3">
      <c r="A865" t="s">
        <v>1229</v>
      </c>
      <c r="B865" t="s">
        <v>16</v>
      </c>
      <c r="C865" t="s">
        <v>12</v>
      </c>
      <c r="D865" t="s">
        <v>32</v>
      </c>
      <c r="E865" s="3">
        <v>46206</v>
      </c>
      <c r="F865">
        <v>234</v>
      </c>
      <c r="G865">
        <v>181</v>
      </c>
      <c r="H865">
        <v>53</v>
      </c>
      <c r="I865">
        <v>2985</v>
      </c>
      <c r="J865" t="s">
        <v>17</v>
      </c>
      <c r="K865" s="4">
        <f>IF(AND(ISNUMBER(Raw_Data[[#This Row],[Opening_Stock]]),ISNUMBER(Raw_Data[[#This Row],[Units_Sold]]),Raw_Data[[#This Row],[Opening_Stock]]&gt;0),Raw_Data[[#This Row],[Units_Sold]]/Raw_Data[[#This Row],[Opening_Stock]],"")</f>
        <v>0.77350427350427353</v>
      </c>
      <c r="L865" t="str">
        <f>IF(NOT(ISNUMBER(Raw_Data[[#This Row],[Sell_through%]])),"Check",IF(Raw_Data[[#This Row],[Sell_through%]]=0,"Non-moving",IF(Raw_Data[[#This Row],[Sell_through%]]&gt;=0.6,"Fast","Slow")))</f>
        <v>Fast</v>
      </c>
      <c r="M865">
        <f>IF(AND(ISNUMBER(Raw_Data[[#This Row],[Closing_Stock]]),ISNUMBER(Raw_Data[[#This Row],[Unit_Cost]])),Raw_Data[[#This Row],[Closing_Stock]]*Raw_Data[[#This Row],[Unit_Cost]],"")</f>
        <v>158205</v>
      </c>
      <c r="N865"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66" spans="1:14" x14ac:dyDescent="0.3">
      <c r="A866" t="s">
        <v>1230</v>
      </c>
      <c r="B866" t="s">
        <v>367</v>
      </c>
      <c r="C866" t="s">
        <v>35</v>
      </c>
      <c r="D866" t="s">
        <v>36</v>
      </c>
      <c r="E866" s="3">
        <v>46200</v>
      </c>
      <c r="F866">
        <v>110</v>
      </c>
      <c r="G866">
        <v>33</v>
      </c>
      <c r="H866">
        <v>77</v>
      </c>
      <c r="I866">
        <v>1238</v>
      </c>
      <c r="J866" t="s">
        <v>14</v>
      </c>
      <c r="K866" s="4">
        <f>IF(AND(ISNUMBER(Raw_Data[[#This Row],[Opening_Stock]]),ISNUMBER(Raw_Data[[#This Row],[Units_Sold]]),Raw_Data[[#This Row],[Opening_Stock]]&gt;0),Raw_Data[[#This Row],[Units_Sold]]/Raw_Data[[#This Row],[Opening_Stock]],"")</f>
        <v>0.3</v>
      </c>
      <c r="L866" t="str">
        <f>IF(NOT(ISNUMBER(Raw_Data[[#This Row],[Sell_through%]])),"Check",IF(Raw_Data[[#This Row],[Sell_through%]]=0,"Non-moving",IF(Raw_Data[[#This Row],[Sell_through%]]&gt;=0.6,"Fast","Slow")))</f>
        <v>Slow</v>
      </c>
      <c r="M866">
        <f>IF(AND(ISNUMBER(Raw_Data[[#This Row],[Closing_Stock]]),ISNUMBER(Raw_Data[[#This Row],[Unit_Cost]])),Raw_Data[[#This Row],[Closing_Stock]]*Raw_Data[[#This Row],[Unit_Cost]],"")</f>
        <v>95326</v>
      </c>
      <c r="N86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67" spans="1:14" x14ac:dyDescent="0.3">
      <c r="A867" t="s">
        <v>1231</v>
      </c>
      <c r="B867" t="s">
        <v>1343</v>
      </c>
      <c r="C867" t="s">
        <v>28</v>
      </c>
      <c r="D867" t="s">
        <v>36</v>
      </c>
      <c r="E867" s="3">
        <v>46236</v>
      </c>
      <c r="F867">
        <v>449</v>
      </c>
      <c r="G867">
        <v>358</v>
      </c>
      <c r="H867">
        <v>91</v>
      </c>
      <c r="I867">
        <v>1968</v>
      </c>
      <c r="J867" t="s">
        <v>14</v>
      </c>
      <c r="K867" s="4">
        <f>IF(AND(ISNUMBER(Raw_Data[[#This Row],[Opening_Stock]]),ISNUMBER(Raw_Data[[#This Row],[Units_Sold]]),Raw_Data[[#This Row],[Opening_Stock]]&gt;0),Raw_Data[[#This Row],[Units_Sold]]/Raw_Data[[#This Row],[Opening_Stock]],"")</f>
        <v>0.79732739420935417</v>
      </c>
      <c r="L867" t="str">
        <f>IF(NOT(ISNUMBER(Raw_Data[[#This Row],[Sell_through%]])),"Check",IF(Raw_Data[[#This Row],[Sell_through%]]=0,"Non-moving",IF(Raw_Data[[#This Row],[Sell_through%]]&gt;=0.6,"Fast","Slow")))</f>
        <v>Fast</v>
      </c>
      <c r="M867">
        <f>IF(AND(ISNUMBER(Raw_Data[[#This Row],[Closing_Stock]]),ISNUMBER(Raw_Data[[#This Row],[Unit_Cost]])),Raw_Data[[#This Row],[Closing_Stock]]*Raw_Data[[#This Row],[Unit_Cost]],"")</f>
        <v>179088</v>
      </c>
      <c r="N867"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68" spans="1:14" x14ac:dyDescent="0.3">
      <c r="A868" t="s">
        <v>1232</v>
      </c>
      <c r="B868" t="s">
        <v>415</v>
      </c>
      <c r="C868" t="s">
        <v>31</v>
      </c>
      <c r="D868" t="s">
        <v>36</v>
      </c>
      <c r="E868" s="3"/>
      <c r="F868">
        <v>87</v>
      </c>
      <c r="G868">
        <v>0</v>
      </c>
      <c r="H868">
        <v>87</v>
      </c>
      <c r="I868">
        <v>149</v>
      </c>
      <c r="J868" t="s">
        <v>14</v>
      </c>
      <c r="K868" s="4">
        <f>IF(AND(ISNUMBER(Raw_Data[[#This Row],[Opening_Stock]]),ISNUMBER(Raw_Data[[#This Row],[Units_Sold]]),Raw_Data[[#This Row],[Opening_Stock]]&gt;0),Raw_Data[[#This Row],[Units_Sold]]/Raw_Data[[#This Row],[Opening_Stock]],"")</f>
        <v>0</v>
      </c>
      <c r="L868" t="str">
        <f>IF(NOT(ISNUMBER(Raw_Data[[#This Row],[Sell_through%]])),"Check",IF(Raw_Data[[#This Row],[Sell_through%]]=0,"Non-moving",IF(Raw_Data[[#This Row],[Sell_through%]]&gt;=0.6,"Fast","Slow")))</f>
        <v>Non-moving</v>
      </c>
      <c r="M868">
        <f>IF(AND(ISNUMBER(Raw_Data[[#This Row],[Closing_Stock]]),ISNUMBER(Raw_Data[[#This Row],[Unit_Cost]])),Raw_Data[[#This Row],[Closing_Stock]]*Raw_Data[[#This Row],[Unit_Cost]],"")</f>
        <v>12963</v>
      </c>
      <c r="N86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69" spans="1:14" x14ac:dyDescent="0.3">
      <c r="A869" t="s">
        <v>1233</v>
      </c>
      <c r="B869" t="s">
        <v>262</v>
      </c>
      <c r="C869" t="s">
        <v>12</v>
      </c>
      <c r="D869" t="s">
        <v>32</v>
      </c>
      <c r="E869" s="3">
        <v>46186</v>
      </c>
      <c r="F869">
        <v>160</v>
      </c>
      <c r="G869">
        <v>15</v>
      </c>
      <c r="H869">
        <v>145</v>
      </c>
      <c r="I869">
        <v>234</v>
      </c>
      <c r="J869" t="s">
        <v>14</v>
      </c>
      <c r="K869" s="4">
        <f>IF(AND(ISNUMBER(Raw_Data[[#This Row],[Opening_Stock]]),ISNUMBER(Raw_Data[[#This Row],[Units_Sold]]),Raw_Data[[#This Row],[Opening_Stock]]&gt;0),Raw_Data[[#This Row],[Units_Sold]]/Raw_Data[[#This Row],[Opening_Stock]],"")</f>
        <v>9.375E-2</v>
      </c>
      <c r="L869" t="str">
        <f>IF(NOT(ISNUMBER(Raw_Data[[#This Row],[Sell_through%]])),"Check",IF(Raw_Data[[#This Row],[Sell_through%]]=0,"Non-moving",IF(Raw_Data[[#This Row],[Sell_through%]]&gt;=0.6,"Fast","Slow")))</f>
        <v>Slow</v>
      </c>
      <c r="M869">
        <f>IF(AND(ISNUMBER(Raw_Data[[#This Row],[Closing_Stock]]),ISNUMBER(Raw_Data[[#This Row],[Unit_Cost]])),Raw_Data[[#This Row],[Closing_Stock]]*Raw_Data[[#This Row],[Unit_Cost]],"")</f>
        <v>33930</v>
      </c>
      <c r="N86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70" spans="1:14" x14ac:dyDescent="0.3">
      <c r="A870" t="s">
        <v>1234</v>
      </c>
      <c r="B870" t="s">
        <v>294</v>
      </c>
      <c r="C870" t="s">
        <v>35</v>
      </c>
      <c r="D870" t="s">
        <v>13</v>
      </c>
      <c r="E870" s="3">
        <v>46074</v>
      </c>
      <c r="F870">
        <v>400</v>
      </c>
      <c r="G870">
        <v>369</v>
      </c>
      <c r="H870">
        <v>31</v>
      </c>
      <c r="I870">
        <v>2090</v>
      </c>
      <c r="J870" t="s">
        <v>17</v>
      </c>
      <c r="K870" s="4">
        <f>IF(AND(ISNUMBER(Raw_Data[[#This Row],[Opening_Stock]]),ISNUMBER(Raw_Data[[#This Row],[Units_Sold]]),Raw_Data[[#This Row],[Opening_Stock]]&gt;0),Raw_Data[[#This Row],[Units_Sold]]/Raw_Data[[#This Row],[Opening_Stock]],"")</f>
        <v>0.92249999999999999</v>
      </c>
      <c r="L870" t="str">
        <f>IF(NOT(ISNUMBER(Raw_Data[[#This Row],[Sell_through%]])),"Check",IF(Raw_Data[[#This Row],[Sell_through%]]=0,"Non-moving",IF(Raw_Data[[#This Row],[Sell_through%]]&gt;=0.6,"Fast","Slow")))</f>
        <v>Fast</v>
      </c>
      <c r="M870">
        <f>IF(AND(ISNUMBER(Raw_Data[[#This Row],[Closing_Stock]]),ISNUMBER(Raw_Data[[#This Row],[Unit_Cost]])),Raw_Data[[#This Row],[Closing_Stock]]*Raw_Data[[#This Row],[Unit_Cost]],"")</f>
        <v>64790</v>
      </c>
      <c r="N87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71" spans="1:14" x14ac:dyDescent="0.3">
      <c r="A871" t="s">
        <v>1235</v>
      </c>
      <c r="B871" t="s">
        <v>11</v>
      </c>
      <c r="C871" t="s">
        <v>12</v>
      </c>
      <c r="D871" t="s">
        <v>36</v>
      </c>
      <c r="E871" s="3">
        <v>46206</v>
      </c>
      <c r="F871">
        <v>352</v>
      </c>
      <c r="G871">
        <v>123</v>
      </c>
      <c r="H871">
        <v>229</v>
      </c>
      <c r="I871">
        <v>669</v>
      </c>
      <c r="K871" s="4">
        <f>IF(AND(ISNUMBER(Raw_Data[[#This Row],[Opening_Stock]]),ISNUMBER(Raw_Data[[#This Row],[Units_Sold]]),Raw_Data[[#This Row],[Opening_Stock]]&gt;0),Raw_Data[[#This Row],[Units_Sold]]/Raw_Data[[#This Row],[Opening_Stock]],"")</f>
        <v>0.34943181818181818</v>
      </c>
      <c r="L871" t="str">
        <f>IF(NOT(ISNUMBER(Raw_Data[[#This Row],[Sell_through%]])),"Check",IF(Raw_Data[[#This Row],[Sell_through%]]=0,"Non-moving",IF(Raw_Data[[#This Row],[Sell_through%]]&gt;=0.6,"Fast","Slow")))</f>
        <v>Slow</v>
      </c>
      <c r="M871">
        <f>IF(AND(ISNUMBER(Raw_Data[[#This Row],[Closing_Stock]]),ISNUMBER(Raw_Data[[#This Row],[Unit_Cost]])),Raw_Data[[#This Row],[Closing_Stock]]*Raw_Data[[#This Row],[Unit_Cost]],"")</f>
        <v>153201</v>
      </c>
      <c r="N871"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72" spans="1:14" x14ac:dyDescent="0.3">
      <c r="A872" t="s">
        <v>1238</v>
      </c>
      <c r="B872" t="s">
        <v>19</v>
      </c>
      <c r="C872" t="s">
        <v>28</v>
      </c>
      <c r="D872" t="s">
        <v>13</v>
      </c>
      <c r="E872" s="3">
        <v>46205</v>
      </c>
      <c r="F872">
        <v>381</v>
      </c>
      <c r="G872">
        <v>29</v>
      </c>
      <c r="H872">
        <v>352</v>
      </c>
      <c r="I872">
        <v>2136</v>
      </c>
      <c r="J872" t="s">
        <v>14</v>
      </c>
      <c r="K872" s="4">
        <f>IF(AND(ISNUMBER(Raw_Data[[#This Row],[Opening_Stock]]),ISNUMBER(Raw_Data[[#This Row],[Units_Sold]]),Raw_Data[[#This Row],[Opening_Stock]]&gt;0),Raw_Data[[#This Row],[Units_Sold]]/Raw_Data[[#This Row],[Opening_Stock]],"")</f>
        <v>7.6115485564304461E-2</v>
      </c>
      <c r="L872" t="str">
        <f>IF(NOT(ISNUMBER(Raw_Data[[#This Row],[Sell_through%]])),"Check",IF(Raw_Data[[#This Row],[Sell_through%]]=0,"Non-moving",IF(Raw_Data[[#This Row],[Sell_through%]]&gt;=0.6,"Fast","Slow")))</f>
        <v>Slow</v>
      </c>
      <c r="M872">
        <f>IF(AND(ISNUMBER(Raw_Data[[#This Row],[Closing_Stock]]),ISNUMBER(Raw_Data[[#This Row],[Unit_Cost]])),Raw_Data[[#This Row],[Closing_Stock]]*Raw_Data[[#This Row],[Unit_Cost]],"")</f>
        <v>751872</v>
      </c>
      <c r="N87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73" spans="1:14" x14ac:dyDescent="0.3">
      <c r="A873" t="s">
        <v>1239</v>
      </c>
      <c r="B873" t="s">
        <v>479</v>
      </c>
      <c r="C873" t="s">
        <v>31</v>
      </c>
      <c r="D873" t="s">
        <v>32</v>
      </c>
      <c r="E873" s="3">
        <v>46032</v>
      </c>
      <c r="F873">
        <v>405</v>
      </c>
      <c r="G873">
        <v>38</v>
      </c>
      <c r="H873">
        <v>367</v>
      </c>
      <c r="I873">
        <v>871</v>
      </c>
      <c r="J873" t="s">
        <v>14</v>
      </c>
      <c r="K873" s="4">
        <f>IF(AND(ISNUMBER(Raw_Data[[#This Row],[Opening_Stock]]),ISNUMBER(Raw_Data[[#This Row],[Units_Sold]]),Raw_Data[[#This Row],[Opening_Stock]]&gt;0),Raw_Data[[#This Row],[Units_Sold]]/Raw_Data[[#This Row],[Opening_Stock]],"")</f>
        <v>9.3827160493827166E-2</v>
      </c>
      <c r="L873" t="str">
        <f>IF(NOT(ISNUMBER(Raw_Data[[#This Row],[Sell_through%]])),"Check",IF(Raw_Data[[#This Row],[Sell_through%]]=0,"Non-moving",IF(Raw_Data[[#This Row],[Sell_through%]]&gt;=0.6,"Fast","Slow")))</f>
        <v>Slow</v>
      </c>
      <c r="M873">
        <f>IF(AND(ISNUMBER(Raw_Data[[#This Row],[Closing_Stock]]),ISNUMBER(Raw_Data[[#This Row],[Unit_Cost]])),Raw_Data[[#This Row],[Closing_Stock]]*Raw_Data[[#This Row],[Unit_Cost]],"")</f>
        <v>319657</v>
      </c>
      <c r="N87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74" spans="1:14" x14ac:dyDescent="0.3">
      <c r="A874" t="s">
        <v>1240</v>
      </c>
      <c r="B874" t="s">
        <v>57</v>
      </c>
      <c r="C874" t="s">
        <v>28</v>
      </c>
      <c r="D874" t="s">
        <v>32</v>
      </c>
      <c r="E874" s="3">
        <v>46209</v>
      </c>
      <c r="F874">
        <v>324</v>
      </c>
      <c r="G874">
        <v>26</v>
      </c>
      <c r="H874">
        <v>298</v>
      </c>
      <c r="I874">
        <v>2369</v>
      </c>
      <c r="J874" t="s">
        <v>14</v>
      </c>
      <c r="K874" s="4">
        <f>IF(AND(ISNUMBER(Raw_Data[[#This Row],[Opening_Stock]]),ISNUMBER(Raw_Data[[#This Row],[Units_Sold]]),Raw_Data[[#This Row],[Opening_Stock]]&gt;0),Raw_Data[[#This Row],[Units_Sold]]/Raw_Data[[#This Row],[Opening_Stock]],"")</f>
        <v>8.0246913580246909E-2</v>
      </c>
      <c r="L874" t="str">
        <f>IF(NOT(ISNUMBER(Raw_Data[[#This Row],[Sell_through%]])),"Check",IF(Raw_Data[[#This Row],[Sell_through%]]=0,"Non-moving",IF(Raw_Data[[#This Row],[Sell_through%]]&gt;=0.6,"Fast","Slow")))</f>
        <v>Slow</v>
      </c>
      <c r="M874">
        <f>IF(AND(ISNUMBER(Raw_Data[[#This Row],[Closing_Stock]]),ISNUMBER(Raw_Data[[#This Row],[Unit_Cost]])),Raw_Data[[#This Row],[Closing_Stock]]*Raw_Data[[#This Row],[Unit_Cost]],"")</f>
        <v>705962</v>
      </c>
      <c r="N87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75" spans="1:14" x14ac:dyDescent="0.3">
      <c r="A875" t="s">
        <v>1242</v>
      </c>
      <c r="B875" t="s">
        <v>80</v>
      </c>
      <c r="C875" t="s">
        <v>12</v>
      </c>
      <c r="D875" t="s">
        <v>13</v>
      </c>
      <c r="E875" s="3">
        <v>46054</v>
      </c>
      <c r="F875">
        <v>145</v>
      </c>
      <c r="G875">
        <v>137</v>
      </c>
      <c r="H875">
        <v>8</v>
      </c>
      <c r="I875">
        <v>358</v>
      </c>
      <c r="J875" t="s">
        <v>17</v>
      </c>
      <c r="K875" s="4">
        <f>IF(AND(ISNUMBER(Raw_Data[[#This Row],[Opening_Stock]]),ISNUMBER(Raw_Data[[#This Row],[Units_Sold]]),Raw_Data[[#This Row],[Opening_Stock]]&gt;0),Raw_Data[[#This Row],[Units_Sold]]/Raw_Data[[#This Row],[Opening_Stock]],"")</f>
        <v>0.94482758620689655</v>
      </c>
      <c r="L875" t="str">
        <f>IF(NOT(ISNUMBER(Raw_Data[[#This Row],[Sell_through%]])),"Check",IF(Raw_Data[[#This Row],[Sell_through%]]=0,"Non-moving",IF(Raw_Data[[#This Row],[Sell_through%]]&gt;=0.6,"Fast","Slow")))</f>
        <v>Fast</v>
      </c>
      <c r="M875">
        <f>IF(AND(ISNUMBER(Raw_Data[[#This Row],[Closing_Stock]]),ISNUMBER(Raw_Data[[#This Row],[Unit_Cost]])),Raw_Data[[#This Row],[Closing_Stock]]*Raw_Data[[#This Row],[Unit_Cost]],"")</f>
        <v>2864</v>
      </c>
      <c r="N875"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76" spans="1:14" x14ac:dyDescent="0.3">
      <c r="A876" t="s">
        <v>1243</v>
      </c>
      <c r="B876" t="s">
        <v>161</v>
      </c>
      <c r="C876" t="s">
        <v>12</v>
      </c>
      <c r="D876" t="s">
        <v>32</v>
      </c>
      <c r="E876" s="3"/>
      <c r="F876">
        <v>120</v>
      </c>
      <c r="G876">
        <v>5</v>
      </c>
      <c r="H876">
        <v>120</v>
      </c>
      <c r="I876">
        <v>1141</v>
      </c>
      <c r="J876" t="s">
        <v>14</v>
      </c>
      <c r="K876" s="4">
        <f>IF(AND(ISNUMBER(Raw_Data[[#This Row],[Opening_Stock]]),ISNUMBER(Raw_Data[[#This Row],[Units_Sold]]),Raw_Data[[#This Row],[Opening_Stock]]&gt;0),Raw_Data[[#This Row],[Units_Sold]]/Raw_Data[[#This Row],[Opening_Stock]],"")</f>
        <v>4.1666666666666664E-2</v>
      </c>
      <c r="L876" t="str">
        <f>IF(NOT(ISNUMBER(Raw_Data[[#This Row],[Sell_through%]])),"Check",IF(Raw_Data[[#This Row],[Sell_through%]]=0,"Non-moving",IF(Raw_Data[[#This Row],[Sell_through%]]&gt;=0.6,"Fast","Slow")))</f>
        <v>Slow</v>
      </c>
      <c r="M876">
        <f>IF(AND(ISNUMBER(Raw_Data[[#This Row],[Closing_Stock]]),ISNUMBER(Raw_Data[[#This Row],[Unit_Cost]])),Raw_Data[[#This Row],[Closing_Stock]]*Raw_Data[[#This Row],[Unit_Cost]],"")</f>
        <v>136920</v>
      </c>
      <c r="N87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77" spans="1:14" x14ac:dyDescent="0.3">
      <c r="A877" t="s">
        <v>1244</v>
      </c>
      <c r="B877" t="s">
        <v>131</v>
      </c>
      <c r="C877" t="s">
        <v>49</v>
      </c>
      <c r="D877" t="s">
        <v>13</v>
      </c>
      <c r="E877" s="3">
        <v>46041</v>
      </c>
      <c r="F877">
        <v>472</v>
      </c>
      <c r="G877">
        <v>146</v>
      </c>
      <c r="H877">
        <v>326</v>
      </c>
      <c r="I877">
        <v>1446</v>
      </c>
      <c r="J877" t="s">
        <v>14</v>
      </c>
      <c r="K877" s="4">
        <f>IF(AND(ISNUMBER(Raw_Data[[#This Row],[Opening_Stock]]),ISNUMBER(Raw_Data[[#This Row],[Units_Sold]]),Raw_Data[[#This Row],[Opening_Stock]]&gt;0),Raw_Data[[#This Row],[Units_Sold]]/Raw_Data[[#This Row],[Opening_Stock]],"")</f>
        <v>0.30932203389830509</v>
      </c>
      <c r="L877" t="str">
        <f>IF(NOT(ISNUMBER(Raw_Data[[#This Row],[Sell_through%]])),"Check",IF(Raw_Data[[#This Row],[Sell_through%]]=0,"Non-moving",IF(Raw_Data[[#This Row],[Sell_through%]]&gt;=0.6,"Fast","Slow")))</f>
        <v>Slow</v>
      </c>
      <c r="M877">
        <f>IF(AND(ISNUMBER(Raw_Data[[#This Row],[Closing_Stock]]),ISNUMBER(Raw_Data[[#This Row],[Unit_Cost]])),Raw_Data[[#This Row],[Closing_Stock]]*Raw_Data[[#This Row],[Unit_Cost]],"")</f>
        <v>471396</v>
      </c>
      <c r="N87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78" spans="1:14" x14ac:dyDescent="0.3">
      <c r="A878" t="s">
        <v>1245</v>
      </c>
      <c r="B878" t="s">
        <v>182</v>
      </c>
      <c r="C878" t="s">
        <v>12</v>
      </c>
      <c r="D878" t="s">
        <v>21</v>
      </c>
      <c r="E878" s="3">
        <v>46231</v>
      </c>
      <c r="F878">
        <v>135</v>
      </c>
      <c r="G878">
        <v>116</v>
      </c>
      <c r="H878">
        <v>19</v>
      </c>
      <c r="J878" t="s">
        <v>17</v>
      </c>
      <c r="K878" s="4">
        <f>IF(AND(ISNUMBER(Raw_Data[[#This Row],[Opening_Stock]]),ISNUMBER(Raw_Data[[#This Row],[Units_Sold]]),Raw_Data[[#This Row],[Opening_Stock]]&gt;0),Raw_Data[[#This Row],[Units_Sold]]/Raw_Data[[#This Row],[Opening_Stock]],"")</f>
        <v>0.85925925925925928</v>
      </c>
      <c r="L878" t="str">
        <f>IF(NOT(ISNUMBER(Raw_Data[[#This Row],[Sell_through%]])),"Check",IF(Raw_Data[[#This Row],[Sell_through%]]=0,"Non-moving",IF(Raw_Data[[#This Row],[Sell_through%]]&gt;=0.6,"Fast","Slow")))</f>
        <v>Fast</v>
      </c>
      <c r="M878" t="str">
        <f>IF(AND(ISNUMBER(Raw_Data[[#This Row],[Closing_Stock]]),ISNUMBER(Raw_Data[[#This Row],[Unit_Cost]])),Raw_Data[[#This Row],[Closing_Stock]]*Raw_Data[[#This Row],[Unit_Cost]],"")</f>
        <v/>
      </c>
      <c r="N87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79" spans="1:14" x14ac:dyDescent="0.3">
      <c r="A879" t="s">
        <v>1246</v>
      </c>
      <c r="B879" t="s">
        <v>19</v>
      </c>
      <c r="C879" t="s">
        <v>28</v>
      </c>
      <c r="D879" t="s">
        <v>36</v>
      </c>
      <c r="E879" s="3">
        <v>46106</v>
      </c>
      <c r="F879">
        <v>79</v>
      </c>
      <c r="G879">
        <v>10</v>
      </c>
      <c r="H879">
        <v>69</v>
      </c>
      <c r="I879">
        <v>349</v>
      </c>
      <c r="J879" t="s">
        <v>14</v>
      </c>
      <c r="K879" s="4">
        <f>IF(AND(ISNUMBER(Raw_Data[[#This Row],[Opening_Stock]]),ISNUMBER(Raw_Data[[#This Row],[Units_Sold]]),Raw_Data[[#This Row],[Opening_Stock]]&gt;0),Raw_Data[[#This Row],[Units_Sold]]/Raw_Data[[#This Row],[Opening_Stock]],"")</f>
        <v>0.12658227848101267</v>
      </c>
      <c r="L879" t="str">
        <f>IF(NOT(ISNUMBER(Raw_Data[[#This Row],[Sell_through%]])),"Check",IF(Raw_Data[[#This Row],[Sell_through%]]=0,"Non-moving",IF(Raw_Data[[#This Row],[Sell_through%]]&gt;=0.6,"Fast","Slow")))</f>
        <v>Slow</v>
      </c>
      <c r="M879">
        <f>IF(AND(ISNUMBER(Raw_Data[[#This Row],[Closing_Stock]]),ISNUMBER(Raw_Data[[#This Row],[Unit_Cost]])),Raw_Data[[#This Row],[Closing_Stock]]*Raw_Data[[#This Row],[Unit_Cost]],"")</f>
        <v>24081</v>
      </c>
      <c r="N87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80" spans="1:14" x14ac:dyDescent="0.3">
      <c r="A880" t="s">
        <v>1248</v>
      </c>
      <c r="B880" t="s">
        <v>57</v>
      </c>
      <c r="C880" t="s">
        <v>28</v>
      </c>
      <c r="D880" t="s">
        <v>36</v>
      </c>
      <c r="E880" s="3">
        <v>46221</v>
      </c>
      <c r="F880">
        <v>394</v>
      </c>
      <c r="G880">
        <v>107</v>
      </c>
      <c r="H880">
        <v>287</v>
      </c>
      <c r="I880">
        <v>1835</v>
      </c>
      <c r="J880" t="s">
        <v>14</v>
      </c>
      <c r="K880" s="4">
        <f>IF(AND(ISNUMBER(Raw_Data[[#This Row],[Opening_Stock]]),ISNUMBER(Raw_Data[[#This Row],[Units_Sold]]),Raw_Data[[#This Row],[Opening_Stock]]&gt;0),Raw_Data[[#This Row],[Units_Sold]]/Raw_Data[[#This Row],[Opening_Stock]],"")</f>
        <v>0.27157360406091369</v>
      </c>
      <c r="L880" t="str">
        <f>IF(NOT(ISNUMBER(Raw_Data[[#This Row],[Sell_through%]])),"Check",IF(Raw_Data[[#This Row],[Sell_through%]]=0,"Non-moving",IF(Raw_Data[[#This Row],[Sell_through%]]&gt;=0.6,"Fast","Slow")))</f>
        <v>Slow</v>
      </c>
      <c r="M880">
        <f>IF(AND(ISNUMBER(Raw_Data[[#This Row],[Closing_Stock]]),ISNUMBER(Raw_Data[[#This Row],[Unit_Cost]])),Raw_Data[[#This Row],[Closing_Stock]]*Raw_Data[[#This Row],[Unit_Cost]],"")</f>
        <v>526645</v>
      </c>
      <c r="N88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81" spans="1:14" x14ac:dyDescent="0.3">
      <c r="A881" t="s">
        <v>1249</v>
      </c>
      <c r="B881" t="s">
        <v>455</v>
      </c>
      <c r="C881" t="s">
        <v>35</v>
      </c>
      <c r="D881" t="s">
        <v>13</v>
      </c>
      <c r="E881" s="3"/>
      <c r="F881">
        <v>148</v>
      </c>
      <c r="G881">
        <v>0</v>
      </c>
      <c r="H881">
        <v>148</v>
      </c>
      <c r="I881">
        <v>50</v>
      </c>
      <c r="J881" t="s">
        <v>14</v>
      </c>
      <c r="K881" s="4">
        <f>IF(AND(ISNUMBER(Raw_Data[[#This Row],[Opening_Stock]]),ISNUMBER(Raw_Data[[#This Row],[Units_Sold]]),Raw_Data[[#This Row],[Opening_Stock]]&gt;0),Raw_Data[[#This Row],[Units_Sold]]/Raw_Data[[#This Row],[Opening_Stock]],"")</f>
        <v>0</v>
      </c>
      <c r="L881" t="str">
        <f>IF(NOT(ISNUMBER(Raw_Data[[#This Row],[Sell_through%]])),"Check",IF(Raw_Data[[#This Row],[Sell_through%]]=0,"Non-moving",IF(Raw_Data[[#This Row],[Sell_through%]]&gt;=0.6,"Fast","Slow")))</f>
        <v>Non-moving</v>
      </c>
      <c r="M881">
        <f>IF(AND(ISNUMBER(Raw_Data[[#This Row],[Closing_Stock]]),ISNUMBER(Raw_Data[[#This Row],[Unit_Cost]])),Raw_Data[[#This Row],[Closing_Stock]]*Raw_Data[[#This Row],[Unit_Cost]],"")</f>
        <v>7400</v>
      </c>
      <c r="N88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82" spans="1:14" x14ac:dyDescent="0.3">
      <c r="A882" t="s">
        <v>1250</v>
      </c>
      <c r="B882" t="s">
        <v>89</v>
      </c>
      <c r="C882" t="s">
        <v>49</v>
      </c>
      <c r="D882" t="s">
        <v>32</v>
      </c>
      <c r="E882" s="3"/>
      <c r="F882">
        <v>97</v>
      </c>
      <c r="G882">
        <v>0</v>
      </c>
      <c r="H882">
        <v>97</v>
      </c>
      <c r="I882">
        <v>2125</v>
      </c>
      <c r="J882" t="s">
        <v>14</v>
      </c>
      <c r="K882" s="4">
        <f>IF(AND(ISNUMBER(Raw_Data[[#This Row],[Opening_Stock]]),ISNUMBER(Raw_Data[[#This Row],[Units_Sold]]),Raw_Data[[#This Row],[Opening_Stock]]&gt;0),Raw_Data[[#This Row],[Units_Sold]]/Raw_Data[[#This Row],[Opening_Stock]],"")</f>
        <v>0</v>
      </c>
      <c r="L882" t="str">
        <f>IF(NOT(ISNUMBER(Raw_Data[[#This Row],[Sell_through%]])),"Check",IF(Raw_Data[[#This Row],[Sell_through%]]=0,"Non-moving",IF(Raw_Data[[#This Row],[Sell_through%]]&gt;=0.6,"Fast","Slow")))</f>
        <v>Non-moving</v>
      </c>
      <c r="M882">
        <f>IF(AND(ISNUMBER(Raw_Data[[#This Row],[Closing_Stock]]),ISNUMBER(Raw_Data[[#This Row],[Unit_Cost]])),Raw_Data[[#This Row],[Closing_Stock]]*Raw_Data[[#This Row],[Unit_Cost]],"")</f>
        <v>206125</v>
      </c>
      <c r="N88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83" spans="1:14" x14ac:dyDescent="0.3">
      <c r="A883" t="s">
        <v>1251</v>
      </c>
      <c r="B883" t="s">
        <v>161</v>
      </c>
      <c r="C883" t="s">
        <v>12</v>
      </c>
      <c r="D883" t="s">
        <v>13</v>
      </c>
      <c r="E883" s="3">
        <v>46111</v>
      </c>
      <c r="F883">
        <v>262</v>
      </c>
      <c r="G883">
        <v>230</v>
      </c>
      <c r="H883">
        <v>32</v>
      </c>
      <c r="I883">
        <v>2874</v>
      </c>
      <c r="J883" t="s">
        <v>17</v>
      </c>
      <c r="K883" s="4">
        <f>IF(AND(ISNUMBER(Raw_Data[[#This Row],[Opening_Stock]]),ISNUMBER(Raw_Data[[#This Row],[Units_Sold]]),Raw_Data[[#This Row],[Opening_Stock]]&gt;0),Raw_Data[[#This Row],[Units_Sold]]/Raw_Data[[#This Row],[Opening_Stock]],"")</f>
        <v>0.87786259541984735</v>
      </c>
      <c r="L883" t="str">
        <f>IF(NOT(ISNUMBER(Raw_Data[[#This Row],[Sell_through%]])),"Check",IF(Raw_Data[[#This Row],[Sell_through%]]=0,"Non-moving",IF(Raw_Data[[#This Row],[Sell_through%]]&gt;=0.6,"Fast","Slow")))</f>
        <v>Fast</v>
      </c>
      <c r="M883">
        <f>IF(AND(ISNUMBER(Raw_Data[[#This Row],[Closing_Stock]]),ISNUMBER(Raw_Data[[#This Row],[Unit_Cost]])),Raw_Data[[#This Row],[Closing_Stock]]*Raw_Data[[#This Row],[Unit_Cost]],"")</f>
        <v>91968</v>
      </c>
      <c r="N883"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884" spans="1:14" x14ac:dyDescent="0.3">
      <c r="A884" t="s">
        <v>1252</v>
      </c>
      <c r="B884" t="s">
        <v>62</v>
      </c>
      <c r="C884" t="s">
        <v>49</v>
      </c>
      <c r="D884" t="s">
        <v>21</v>
      </c>
      <c r="E884" s="3"/>
      <c r="F884">
        <v>425</v>
      </c>
      <c r="G884">
        <v>0</v>
      </c>
      <c r="H884">
        <v>425</v>
      </c>
      <c r="I884">
        <v>1000</v>
      </c>
      <c r="J884" t="s">
        <v>14</v>
      </c>
      <c r="K884" s="4">
        <f>IF(AND(ISNUMBER(Raw_Data[[#This Row],[Opening_Stock]]),ISNUMBER(Raw_Data[[#This Row],[Units_Sold]]),Raw_Data[[#This Row],[Opening_Stock]]&gt;0),Raw_Data[[#This Row],[Units_Sold]]/Raw_Data[[#This Row],[Opening_Stock]],"")</f>
        <v>0</v>
      </c>
      <c r="L884" t="str">
        <f>IF(NOT(ISNUMBER(Raw_Data[[#This Row],[Sell_through%]])),"Check",IF(Raw_Data[[#This Row],[Sell_through%]]=0,"Non-moving",IF(Raw_Data[[#This Row],[Sell_through%]]&gt;=0.6,"Fast","Slow")))</f>
        <v>Non-moving</v>
      </c>
      <c r="M884">
        <f>IF(AND(ISNUMBER(Raw_Data[[#This Row],[Closing_Stock]]),ISNUMBER(Raw_Data[[#This Row],[Unit_Cost]])),Raw_Data[[#This Row],[Closing_Stock]]*Raw_Data[[#This Row],[Unit_Cost]],"")</f>
        <v>425000</v>
      </c>
      <c r="N88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85" spans="1:14" x14ac:dyDescent="0.3">
      <c r="A885" t="s">
        <v>1254</v>
      </c>
      <c r="B885" t="s">
        <v>1342</v>
      </c>
      <c r="C885" t="s">
        <v>28</v>
      </c>
      <c r="D885" t="s">
        <v>36</v>
      </c>
      <c r="E885" s="3">
        <v>46103</v>
      </c>
      <c r="F885">
        <v>201</v>
      </c>
      <c r="G885">
        <v>44</v>
      </c>
      <c r="H885">
        <v>157</v>
      </c>
      <c r="I885">
        <v>2839</v>
      </c>
      <c r="J885" t="s">
        <v>14</v>
      </c>
      <c r="K885" s="4">
        <f>IF(AND(ISNUMBER(Raw_Data[[#This Row],[Opening_Stock]]),ISNUMBER(Raw_Data[[#This Row],[Units_Sold]]),Raw_Data[[#This Row],[Opening_Stock]]&gt;0),Raw_Data[[#This Row],[Units_Sold]]/Raw_Data[[#This Row],[Opening_Stock]],"")</f>
        <v>0.21890547263681592</v>
      </c>
      <c r="L885" t="str">
        <f>IF(NOT(ISNUMBER(Raw_Data[[#This Row],[Sell_through%]])),"Check",IF(Raw_Data[[#This Row],[Sell_through%]]=0,"Non-moving",IF(Raw_Data[[#This Row],[Sell_through%]]&gt;=0.6,"Fast","Slow")))</f>
        <v>Slow</v>
      </c>
      <c r="M885">
        <f>IF(AND(ISNUMBER(Raw_Data[[#This Row],[Closing_Stock]]),ISNUMBER(Raw_Data[[#This Row],[Unit_Cost]])),Raw_Data[[#This Row],[Closing_Stock]]*Raw_Data[[#This Row],[Unit_Cost]],"")</f>
        <v>445723</v>
      </c>
      <c r="N88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86" spans="1:14" x14ac:dyDescent="0.3">
      <c r="A886" t="s">
        <v>1255</v>
      </c>
      <c r="B886" t="s">
        <v>198</v>
      </c>
      <c r="C886" t="s">
        <v>31</v>
      </c>
      <c r="D886" t="s">
        <v>32</v>
      </c>
      <c r="E886" s="3">
        <v>46181</v>
      </c>
      <c r="F886">
        <v>453</v>
      </c>
      <c r="G886">
        <v>379</v>
      </c>
      <c r="H886">
        <v>74</v>
      </c>
      <c r="I886">
        <v>2978</v>
      </c>
      <c r="J886" t="s">
        <v>14</v>
      </c>
      <c r="K886" s="4">
        <f>IF(AND(ISNUMBER(Raw_Data[[#This Row],[Opening_Stock]]),ISNUMBER(Raw_Data[[#This Row],[Units_Sold]]),Raw_Data[[#This Row],[Opening_Stock]]&gt;0),Raw_Data[[#This Row],[Units_Sold]]/Raw_Data[[#This Row],[Opening_Stock]],"")</f>
        <v>0.83664459161147908</v>
      </c>
      <c r="L886" t="str">
        <f>IF(NOT(ISNUMBER(Raw_Data[[#This Row],[Sell_through%]])),"Check",IF(Raw_Data[[#This Row],[Sell_through%]]=0,"Non-moving",IF(Raw_Data[[#This Row],[Sell_through%]]&gt;=0.6,"Fast","Slow")))</f>
        <v>Fast</v>
      </c>
      <c r="M886">
        <f>IF(AND(ISNUMBER(Raw_Data[[#This Row],[Closing_Stock]]),ISNUMBER(Raw_Data[[#This Row],[Unit_Cost]])),Raw_Data[[#This Row],[Closing_Stock]]*Raw_Data[[#This Row],[Unit_Cost]],"")</f>
        <v>220372</v>
      </c>
      <c r="N886"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87" spans="1:14" x14ac:dyDescent="0.3">
      <c r="A887" t="s">
        <v>1257</v>
      </c>
      <c r="B887" t="s">
        <v>161</v>
      </c>
      <c r="C887" t="s">
        <v>12</v>
      </c>
      <c r="D887" t="s">
        <v>32</v>
      </c>
      <c r="E887" s="3"/>
      <c r="F887">
        <v>183</v>
      </c>
      <c r="G887">
        <v>0</v>
      </c>
      <c r="H887">
        <v>183</v>
      </c>
      <c r="I887">
        <v>184</v>
      </c>
      <c r="J887" t="s">
        <v>14</v>
      </c>
      <c r="K887" s="4">
        <f>IF(AND(ISNUMBER(Raw_Data[[#This Row],[Opening_Stock]]),ISNUMBER(Raw_Data[[#This Row],[Units_Sold]]),Raw_Data[[#This Row],[Opening_Stock]]&gt;0),Raw_Data[[#This Row],[Units_Sold]]/Raw_Data[[#This Row],[Opening_Stock]],"")</f>
        <v>0</v>
      </c>
      <c r="L887" t="str">
        <f>IF(NOT(ISNUMBER(Raw_Data[[#This Row],[Sell_through%]])),"Check",IF(Raw_Data[[#This Row],[Sell_through%]]=0,"Non-moving",IF(Raw_Data[[#This Row],[Sell_through%]]&gt;=0.6,"Fast","Slow")))</f>
        <v>Non-moving</v>
      </c>
      <c r="M887">
        <f>IF(AND(ISNUMBER(Raw_Data[[#This Row],[Closing_Stock]]),ISNUMBER(Raw_Data[[#This Row],[Unit_Cost]])),Raw_Data[[#This Row],[Closing_Stock]]*Raw_Data[[#This Row],[Unit_Cost]],"")</f>
        <v>33672</v>
      </c>
      <c r="N88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88" spans="1:14" x14ac:dyDescent="0.3">
      <c r="A888" t="s">
        <v>1258</v>
      </c>
      <c r="B888" t="s">
        <v>422</v>
      </c>
      <c r="C888" t="s">
        <v>12</v>
      </c>
      <c r="D888" t="s">
        <v>13</v>
      </c>
      <c r="E888" s="3">
        <v>46254</v>
      </c>
      <c r="F888">
        <v>273</v>
      </c>
      <c r="G888">
        <v>205</v>
      </c>
      <c r="H888">
        <v>68</v>
      </c>
      <c r="I888">
        <v>2833</v>
      </c>
      <c r="J888" t="s">
        <v>14</v>
      </c>
      <c r="K888" s="4">
        <f>IF(AND(ISNUMBER(Raw_Data[[#This Row],[Opening_Stock]]),ISNUMBER(Raw_Data[[#This Row],[Units_Sold]]),Raw_Data[[#This Row],[Opening_Stock]]&gt;0),Raw_Data[[#This Row],[Units_Sold]]/Raw_Data[[#This Row],[Opening_Stock]],"")</f>
        <v>0.75091575091575091</v>
      </c>
      <c r="L888" t="str">
        <f>IF(NOT(ISNUMBER(Raw_Data[[#This Row],[Sell_through%]])),"Check",IF(Raw_Data[[#This Row],[Sell_through%]]=0,"Non-moving",IF(Raw_Data[[#This Row],[Sell_through%]]&gt;=0.6,"Fast","Slow")))</f>
        <v>Fast</v>
      </c>
      <c r="M888">
        <f>IF(AND(ISNUMBER(Raw_Data[[#This Row],[Closing_Stock]]),ISNUMBER(Raw_Data[[#This Row],[Unit_Cost]])),Raw_Data[[#This Row],[Closing_Stock]]*Raw_Data[[#This Row],[Unit_Cost]],"")</f>
        <v>192644</v>
      </c>
      <c r="N888"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89" spans="1:14" x14ac:dyDescent="0.3">
      <c r="A889" t="s">
        <v>1259</v>
      </c>
      <c r="B889" t="s">
        <v>60</v>
      </c>
      <c r="C889" t="s">
        <v>28</v>
      </c>
      <c r="D889" t="s">
        <v>13</v>
      </c>
      <c r="E889" s="3">
        <v>46186</v>
      </c>
      <c r="F889">
        <v>160</v>
      </c>
      <c r="G889">
        <v>14</v>
      </c>
      <c r="H889">
        <v>146</v>
      </c>
      <c r="I889">
        <v>657</v>
      </c>
      <c r="J889" t="s">
        <v>14</v>
      </c>
      <c r="K889" s="4">
        <f>IF(AND(ISNUMBER(Raw_Data[[#This Row],[Opening_Stock]]),ISNUMBER(Raw_Data[[#This Row],[Units_Sold]]),Raw_Data[[#This Row],[Opening_Stock]]&gt;0),Raw_Data[[#This Row],[Units_Sold]]/Raw_Data[[#This Row],[Opening_Stock]],"")</f>
        <v>8.7499999999999994E-2</v>
      </c>
      <c r="L889" t="str">
        <f>IF(NOT(ISNUMBER(Raw_Data[[#This Row],[Sell_through%]])),"Check",IF(Raw_Data[[#This Row],[Sell_through%]]=0,"Non-moving",IF(Raw_Data[[#This Row],[Sell_through%]]&gt;=0.6,"Fast","Slow")))</f>
        <v>Slow</v>
      </c>
      <c r="M889">
        <f>IF(AND(ISNUMBER(Raw_Data[[#This Row],[Closing_Stock]]),ISNUMBER(Raw_Data[[#This Row],[Unit_Cost]])),Raw_Data[[#This Row],[Closing_Stock]]*Raw_Data[[#This Row],[Unit_Cost]],"")</f>
        <v>95922</v>
      </c>
      <c r="N88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90" spans="1:14" x14ac:dyDescent="0.3">
      <c r="A890" t="s">
        <v>1261</v>
      </c>
      <c r="B890" t="s">
        <v>71</v>
      </c>
      <c r="C890" t="s">
        <v>35</v>
      </c>
      <c r="D890" t="s">
        <v>36</v>
      </c>
      <c r="E890" s="3">
        <v>46180</v>
      </c>
      <c r="F890">
        <v>241</v>
      </c>
      <c r="G890">
        <v>61</v>
      </c>
      <c r="H890">
        <v>180</v>
      </c>
      <c r="I890">
        <v>367</v>
      </c>
      <c r="J890" t="s">
        <v>14</v>
      </c>
      <c r="K890" s="4">
        <f>IF(AND(ISNUMBER(Raw_Data[[#This Row],[Opening_Stock]]),ISNUMBER(Raw_Data[[#This Row],[Units_Sold]]),Raw_Data[[#This Row],[Opening_Stock]]&gt;0),Raw_Data[[#This Row],[Units_Sold]]/Raw_Data[[#This Row],[Opening_Stock]],"")</f>
        <v>0.25311203319502074</v>
      </c>
      <c r="L890" t="str">
        <f>IF(NOT(ISNUMBER(Raw_Data[[#This Row],[Sell_through%]])),"Check",IF(Raw_Data[[#This Row],[Sell_through%]]=0,"Non-moving",IF(Raw_Data[[#This Row],[Sell_through%]]&gt;=0.6,"Fast","Slow")))</f>
        <v>Slow</v>
      </c>
      <c r="M890">
        <f>IF(AND(ISNUMBER(Raw_Data[[#This Row],[Closing_Stock]]),ISNUMBER(Raw_Data[[#This Row],[Unit_Cost]])),Raw_Data[[#This Row],[Closing_Stock]]*Raw_Data[[#This Row],[Unit_Cost]],"")</f>
        <v>66060</v>
      </c>
      <c r="N89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91" spans="1:14" x14ac:dyDescent="0.3">
      <c r="A891" t="s">
        <v>1262</v>
      </c>
      <c r="B891" t="s">
        <v>294</v>
      </c>
      <c r="C891" t="s">
        <v>35</v>
      </c>
      <c r="D891" t="s">
        <v>21</v>
      </c>
      <c r="E891" s="3">
        <v>46037</v>
      </c>
      <c r="F891">
        <v>116</v>
      </c>
      <c r="G891">
        <v>38</v>
      </c>
      <c r="H891">
        <v>78</v>
      </c>
      <c r="I891">
        <v>1577</v>
      </c>
      <c r="J891" t="s">
        <v>14</v>
      </c>
      <c r="K891" s="4">
        <f>IF(AND(ISNUMBER(Raw_Data[[#This Row],[Opening_Stock]]),ISNUMBER(Raw_Data[[#This Row],[Units_Sold]]),Raw_Data[[#This Row],[Opening_Stock]]&gt;0),Raw_Data[[#This Row],[Units_Sold]]/Raw_Data[[#This Row],[Opening_Stock]],"")</f>
        <v>0.32758620689655171</v>
      </c>
      <c r="L891" t="str">
        <f>IF(NOT(ISNUMBER(Raw_Data[[#This Row],[Sell_through%]])),"Check",IF(Raw_Data[[#This Row],[Sell_through%]]=0,"Non-moving",IF(Raw_Data[[#This Row],[Sell_through%]]&gt;=0.6,"Fast","Slow")))</f>
        <v>Slow</v>
      </c>
      <c r="M891">
        <f>IF(AND(ISNUMBER(Raw_Data[[#This Row],[Closing_Stock]]),ISNUMBER(Raw_Data[[#This Row],[Unit_Cost]])),Raw_Data[[#This Row],[Closing_Stock]]*Raw_Data[[#This Row],[Unit_Cost]],"")</f>
        <v>123006</v>
      </c>
      <c r="N89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92" spans="1:14" x14ac:dyDescent="0.3">
      <c r="A892" t="s">
        <v>1263</v>
      </c>
      <c r="B892" t="s">
        <v>415</v>
      </c>
      <c r="C892" t="s">
        <v>31</v>
      </c>
      <c r="D892" t="s">
        <v>32</v>
      </c>
      <c r="E892" s="3">
        <v>46264</v>
      </c>
      <c r="G892">
        <v>110</v>
      </c>
      <c r="H892">
        <v>33</v>
      </c>
      <c r="I892">
        <v>1333</v>
      </c>
      <c r="J892" t="s">
        <v>17</v>
      </c>
      <c r="K892" s="4" t="str">
        <f>IF(AND(ISNUMBER(Raw_Data[[#This Row],[Opening_Stock]]),ISNUMBER(Raw_Data[[#This Row],[Units_Sold]]),Raw_Data[[#This Row],[Opening_Stock]]&gt;0),Raw_Data[[#This Row],[Units_Sold]]/Raw_Data[[#This Row],[Opening_Stock]],"")</f>
        <v/>
      </c>
      <c r="L892" t="str">
        <f>IF(NOT(ISNUMBER(Raw_Data[[#This Row],[Sell_through%]])),"Check",IF(Raw_Data[[#This Row],[Sell_through%]]=0,"Non-moving",IF(Raw_Data[[#This Row],[Sell_through%]]&gt;=0.6,"Fast","Slow")))</f>
        <v>Check</v>
      </c>
      <c r="M892">
        <f>IF(AND(ISNUMBER(Raw_Data[[#This Row],[Closing_Stock]]),ISNUMBER(Raw_Data[[#This Row],[Unit_Cost]])),Raw_Data[[#This Row],[Closing_Stock]]*Raw_Data[[#This Row],[Unit_Cost]],"")</f>
        <v>43989</v>
      </c>
      <c r="N892"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93" spans="1:14" x14ac:dyDescent="0.3">
      <c r="A893" t="s">
        <v>1264</v>
      </c>
      <c r="B893" t="s">
        <v>65</v>
      </c>
      <c r="C893" t="s">
        <v>49</v>
      </c>
      <c r="D893" t="s">
        <v>36</v>
      </c>
      <c r="E893" s="3"/>
      <c r="F893">
        <v>380</v>
      </c>
      <c r="G893">
        <v>0</v>
      </c>
      <c r="H893">
        <v>380</v>
      </c>
      <c r="J893" t="s">
        <v>14</v>
      </c>
      <c r="K893" s="4">
        <f>IF(AND(ISNUMBER(Raw_Data[[#This Row],[Opening_Stock]]),ISNUMBER(Raw_Data[[#This Row],[Units_Sold]]),Raw_Data[[#This Row],[Opening_Stock]]&gt;0),Raw_Data[[#This Row],[Units_Sold]]/Raw_Data[[#This Row],[Opening_Stock]],"")</f>
        <v>0</v>
      </c>
      <c r="L893" t="str">
        <f>IF(NOT(ISNUMBER(Raw_Data[[#This Row],[Sell_through%]])),"Check",IF(Raw_Data[[#This Row],[Sell_through%]]=0,"Non-moving",IF(Raw_Data[[#This Row],[Sell_through%]]&gt;=0.6,"Fast","Slow")))</f>
        <v>Non-moving</v>
      </c>
      <c r="M893" t="str">
        <f>IF(AND(ISNUMBER(Raw_Data[[#This Row],[Closing_Stock]]),ISNUMBER(Raw_Data[[#This Row],[Unit_Cost]])),Raw_Data[[#This Row],[Closing_Stock]]*Raw_Data[[#This Row],[Unit_Cost]],"")</f>
        <v/>
      </c>
      <c r="N89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94" spans="1:14" x14ac:dyDescent="0.3">
      <c r="A894" t="s">
        <v>1265</v>
      </c>
      <c r="B894" t="s">
        <v>236</v>
      </c>
      <c r="C894" t="s">
        <v>12</v>
      </c>
      <c r="D894" t="s">
        <v>13</v>
      </c>
      <c r="E894" s="3">
        <v>46287</v>
      </c>
      <c r="F894">
        <v>452</v>
      </c>
      <c r="G894">
        <v>30</v>
      </c>
      <c r="H894">
        <v>422</v>
      </c>
      <c r="I894">
        <v>2006</v>
      </c>
      <c r="J894" t="s">
        <v>14</v>
      </c>
      <c r="K894" s="4">
        <f>IF(AND(ISNUMBER(Raw_Data[[#This Row],[Opening_Stock]]),ISNUMBER(Raw_Data[[#This Row],[Units_Sold]]),Raw_Data[[#This Row],[Opening_Stock]]&gt;0),Raw_Data[[#This Row],[Units_Sold]]/Raw_Data[[#This Row],[Opening_Stock]],"")</f>
        <v>6.637168141592921E-2</v>
      </c>
      <c r="L894" t="str">
        <f>IF(NOT(ISNUMBER(Raw_Data[[#This Row],[Sell_through%]])),"Check",IF(Raw_Data[[#This Row],[Sell_through%]]=0,"Non-moving",IF(Raw_Data[[#This Row],[Sell_through%]]&gt;=0.6,"Fast","Slow")))</f>
        <v>Slow</v>
      </c>
      <c r="M894">
        <f>IF(AND(ISNUMBER(Raw_Data[[#This Row],[Closing_Stock]]),ISNUMBER(Raw_Data[[#This Row],[Unit_Cost]])),Raw_Data[[#This Row],[Closing_Stock]]*Raw_Data[[#This Row],[Unit_Cost]],"")</f>
        <v>846532</v>
      </c>
      <c r="N89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95" spans="1:14" x14ac:dyDescent="0.3">
      <c r="A895" t="s">
        <v>1266</v>
      </c>
      <c r="B895" t="s">
        <v>562</v>
      </c>
      <c r="C895" t="s">
        <v>35</v>
      </c>
      <c r="D895" t="s">
        <v>36</v>
      </c>
      <c r="E895" s="3">
        <v>46016</v>
      </c>
      <c r="F895">
        <v>422</v>
      </c>
      <c r="G895">
        <v>28</v>
      </c>
      <c r="H895">
        <v>394</v>
      </c>
      <c r="I895">
        <v>2476</v>
      </c>
      <c r="J895" t="s">
        <v>14</v>
      </c>
      <c r="K895" s="4">
        <f>IF(AND(ISNUMBER(Raw_Data[[#This Row],[Opening_Stock]]),ISNUMBER(Raw_Data[[#This Row],[Units_Sold]]),Raw_Data[[#This Row],[Opening_Stock]]&gt;0),Raw_Data[[#This Row],[Units_Sold]]/Raw_Data[[#This Row],[Opening_Stock]],"")</f>
        <v>6.6350710900473939E-2</v>
      </c>
      <c r="L895" t="str">
        <f>IF(NOT(ISNUMBER(Raw_Data[[#This Row],[Sell_through%]])),"Check",IF(Raw_Data[[#This Row],[Sell_through%]]=0,"Non-moving",IF(Raw_Data[[#This Row],[Sell_through%]]&gt;=0.6,"Fast","Slow")))</f>
        <v>Slow</v>
      </c>
      <c r="M895">
        <f>IF(AND(ISNUMBER(Raw_Data[[#This Row],[Closing_Stock]]),ISNUMBER(Raw_Data[[#This Row],[Unit_Cost]])),Raw_Data[[#This Row],[Closing_Stock]]*Raw_Data[[#This Row],[Unit_Cost]],"")</f>
        <v>975544</v>
      </c>
      <c r="N89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96" spans="1:14" x14ac:dyDescent="0.3">
      <c r="A896" t="s">
        <v>1267</v>
      </c>
      <c r="B896" t="s">
        <v>134</v>
      </c>
      <c r="C896" t="s">
        <v>31</v>
      </c>
      <c r="D896" t="s">
        <v>21</v>
      </c>
      <c r="E896" s="3"/>
      <c r="F896">
        <v>180</v>
      </c>
      <c r="G896">
        <v>0</v>
      </c>
      <c r="H896">
        <v>180</v>
      </c>
      <c r="I896">
        <v>2925</v>
      </c>
      <c r="J896" t="s">
        <v>14</v>
      </c>
      <c r="K896" s="4">
        <f>IF(AND(ISNUMBER(Raw_Data[[#This Row],[Opening_Stock]]),ISNUMBER(Raw_Data[[#This Row],[Units_Sold]]),Raw_Data[[#This Row],[Opening_Stock]]&gt;0),Raw_Data[[#This Row],[Units_Sold]]/Raw_Data[[#This Row],[Opening_Stock]],"")</f>
        <v>0</v>
      </c>
      <c r="L896" t="str">
        <f>IF(NOT(ISNUMBER(Raw_Data[[#This Row],[Sell_through%]])),"Check",IF(Raw_Data[[#This Row],[Sell_through%]]=0,"Non-moving",IF(Raw_Data[[#This Row],[Sell_through%]]&gt;=0.6,"Fast","Slow")))</f>
        <v>Non-moving</v>
      </c>
      <c r="M896">
        <f>IF(AND(ISNUMBER(Raw_Data[[#This Row],[Closing_Stock]]),ISNUMBER(Raw_Data[[#This Row],[Unit_Cost]])),Raw_Data[[#This Row],[Closing_Stock]]*Raw_Data[[#This Row],[Unit_Cost]],"")</f>
        <v>526500</v>
      </c>
      <c r="N89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97" spans="1:14" x14ac:dyDescent="0.3">
      <c r="A897" t="s">
        <v>1268</v>
      </c>
      <c r="B897" t="s">
        <v>189</v>
      </c>
      <c r="C897" t="s">
        <v>49</v>
      </c>
      <c r="D897" t="s">
        <v>13</v>
      </c>
      <c r="E897" s="3"/>
      <c r="G897">
        <v>0</v>
      </c>
      <c r="H897">
        <v>434</v>
      </c>
      <c r="I897">
        <v>2298</v>
      </c>
      <c r="J897" t="s">
        <v>14</v>
      </c>
      <c r="K897" s="4" t="str">
        <f>IF(AND(ISNUMBER(Raw_Data[[#This Row],[Opening_Stock]]),ISNUMBER(Raw_Data[[#This Row],[Units_Sold]]),Raw_Data[[#This Row],[Opening_Stock]]&gt;0),Raw_Data[[#This Row],[Units_Sold]]/Raw_Data[[#This Row],[Opening_Stock]],"")</f>
        <v/>
      </c>
      <c r="L897" t="str">
        <f>IF(NOT(ISNUMBER(Raw_Data[[#This Row],[Sell_through%]])),"Check",IF(Raw_Data[[#This Row],[Sell_through%]]=0,"Non-moving",IF(Raw_Data[[#This Row],[Sell_through%]]&gt;=0.6,"Fast","Slow")))</f>
        <v>Check</v>
      </c>
      <c r="M897">
        <f>IF(AND(ISNUMBER(Raw_Data[[#This Row],[Closing_Stock]]),ISNUMBER(Raw_Data[[#This Row],[Unit_Cost]])),Raw_Data[[#This Row],[Closing_Stock]]*Raw_Data[[#This Row],[Unit_Cost]],"")</f>
        <v>997332</v>
      </c>
      <c r="N897"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898" spans="1:14" x14ac:dyDescent="0.3">
      <c r="A898" t="s">
        <v>1270</v>
      </c>
      <c r="B898" t="s">
        <v>1344</v>
      </c>
      <c r="C898" t="s">
        <v>28</v>
      </c>
      <c r="D898" t="s">
        <v>32</v>
      </c>
      <c r="E898" s="3"/>
      <c r="F898">
        <v>95</v>
      </c>
      <c r="G898">
        <v>0</v>
      </c>
      <c r="H898">
        <v>95</v>
      </c>
      <c r="I898">
        <v>881</v>
      </c>
      <c r="J898" t="s">
        <v>14</v>
      </c>
      <c r="K898" s="4">
        <f>IF(AND(ISNUMBER(Raw_Data[[#This Row],[Opening_Stock]]),ISNUMBER(Raw_Data[[#This Row],[Units_Sold]]),Raw_Data[[#This Row],[Opening_Stock]]&gt;0),Raw_Data[[#This Row],[Units_Sold]]/Raw_Data[[#This Row],[Opening_Stock]],"")</f>
        <v>0</v>
      </c>
      <c r="L898" t="str">
        <f>IF(NOT(ISNUMBER(Raw_Data[[#This Row],[Sell_through%]])),"Check",IF(Raw_Data[[#This Row],[Sell_through%]]=0,"Non-moving",IF(Raw_Data[[#This Row],[Sell_through%]]&gt;=0.6,"Fast","Slow")))</f>
        <v>Non-moving</v>
      </c>
      <c r="M898">
        <f>IF(AND(ISNUMBER(Raw_Data[[#This Row],[Closing_Stock]]),ISNUMBER(Raw_Data[[#This Row],[Unit_Cost]])),Raw_Data[[#This Row],[Closing_Stock]]*Raw_Data[[#This Row],[Unit_Cost]],"")</f>
        <v>83695</v>
      </c>
      <c r="N89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899" spans="1:14" x14ac:dyDescent="0.3">
      <c r="A899" t="s">
        <v>1271</v>
      </c>
      <c r="B899" t="s">
        <v>60</v>
      </c>
      <c r="C899" t="s">
        <v>28</v>
      </c>
      <c r="D899" t="s">
        <v>21</v>
      </c>
      <c r="E899" s="3">
        <v>46070</v>
      </c>
      <c r="F899">
        <v>393</v>
      </c>
      <c r="G899">
        <v>370</v>
      </c>
      <c r="H899">
        <v>23</v>
      </c>
      <c r="I899">
        <v>821</v>
      </c>
      <c r="J899" t="s">
        <v>17</v>
      </c>
      <c r="K899" s="4">
        <f>IF(AND(ISNUMBER(Raw_Data[[#This Row],[Opening_Stock]]),ISNUMBER(Raw_Data[[#This Row],[Units_Sold]]),Raw_Data[[#This Row],[Opening_Stock]]&gt;0),Raw_Data[[#This Row],[Units_Sold]]/Raw_Data[[#This Row],[Opening_Stock]],"")</f>
        <v>0.94147582697201015</v>
      </c>
      <c r="L899" t="str">
        <f>IF(NOT(ISNUMBER(Raw_Data[[#This Row],[Sell_through%]])),"Check",IF(Raw_Data[[#This Row],[Sell_through%]]=0,"Non-moving",IF(Raw_Data[[#This Row],[Sell_through%]]&gt;=0.6,"Fast","Slow")))</f>
        <v>Fast</v>
      </c>
      <c r="M899">
        <f>IF(AND(ISNUMBER(Raw_Data[[#This Row],[Closing_Stock]]),ISNUMBER(Raw_Data[[#This Row],[Unit_Cost]])),Raw_Data[[#This Row],[Closing_Stock]]*Raw_Data[[#This Row],[Unit_Cost]],"")</f>
        <v>18883</v>
      </c>
      <c r="N899"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900" spans="1:14" x14ac:dyDescent="0.3">
      <c r="A900" t="s">
        <v>1272</v>
      </c>
      <c r="B900" t="s">
        <v>95</v>
      </c>
      <c r="C900" t="s">
        <v>31</v>
      </c>
      <c r="D900" t="s">
        <v>13</v>
      </c>
      <c r="E900" s="3">
        <v>46198</v>
      </c>
      <c r="F900">
        <v>279</v>
      </c>
      <c r="G900">
        <v>57</v>
      </c>
      <c r="H900">
        <v>222</v>
      </c>
      <c r="I900">
        <v>2118</v>
      </c>
      <c r="J900" t="s">
        <v>14</v>
      </c>
      <c r="K900" s="4">
        <f>IF(AND(ISNUMBER(Raw_Data[[#This Row],[Opening_Stock]]),ISNUMBER(Raw_Data[[#This Row],[Units_Sold]]),Raw_Data[[#This Row],[Opening_Stock]]&gt;0),Raw_Data[[#This Row],[Units_Sold]]/Raw_Data[[#This Row],[Opening_Stock]],"")</f>
        <v>0.20430107526881722</v>
      </c>
      <c r="L900" t="str">
        <f>IF(NOT(ISNUMBER(Raw_Data[[#This Row],[Sell_through%]])),"Check",IF(Raw_Data[[#This Row],[Sell_through%]]=0,"Non-moving",IF(Raw_Data[[#This Row],[Sell_through%]]&gt;=0.6,"Fast","Slow")))</f>
        <v>Slow</v>
      </c>
      <c r="M900">
        <f>IF(AND(ISNUMBER(Raw_Data[[#This Row],[Closing_Stock]]),ISNUMBER(Raw_Data[[#This Row],[Unit_Cost]])),Raw_Data[[#This Row],[Closing_Stock]]*Raw_Data[[#This Row],[Unit_Cost]],"")</f>
        <v>470196</v>
      </c>
      <c r="N90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01" spans="1:14" x14ac:dyDescent="0.3">
      <c r="A901" t="s">
        <v>1274</v>
      </c>
      <c r="B901" t="s">
        <v>236</v>
      </c>
      <c r="C901" t="s">
        <v>12</v>
      </c>
      <c r="D901" t="s">
        <v>13</v>
      </c>
      <c r="E901" s="3">
        <v>46225</v>
      </c>
      <c r="F901">
        <v>276</v>
      </c>
      <c r="G901">
        <v>218</v>
      </c>
      <c r="H901">
        <v>58</v>
      </c>
      <c r="I901">
        <v>1593</v>
      </c>
      <c r="J901" t="s">
        <v>17</v>
      </c>
      <c r="K901" s="4">
        <f>IF(AND(ISNUMBER(Raw_Data[[#This Row],[Opening_Stock]]),ISNUMBER(Raw_Data[[#This Row],[Units_Sold]]),Raw_Data[[#This Row],[Opening_Stock]]&gt;0),Raw_Data[[#This Row],[Units_Sold]]/Raw_Data[[#This Row],[Opening_Stock]],"")</f>
        <v>0.78985507246376807</v>
      </c>
      <c r="L901" t="str">
        <f>IF(NOT(ISNUMBER(Raw_Data[[#This Row],[Sell_through%]])),"Check",IF(Raw_Data[[#This Row],[Sell_through%]]=0,"Non-moving",IF(Raw_Data[[#This Row],[Sell_through%]]&gt;=0.6,"Fast","Slow")))</f>
        <v>Fast</v>
      </c>
      <c r="M901">
        <f>IF(AND(ISNUMBER(Raw_Data[[#This Row],[Closing_Stock]]),ISNUMBER(Raw_Data[[#This Row],[Unit_Cost]])),Raw_Data[[#This Row],[Closing_Stock]]*Raw_Data[[#This Row],[Unit_Cost]],"")</f>
        <v>92394</v>
      </c>
      <c r="N90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902" spans="1:14" x14ac:dyDescent="0.3">
      <c r="A902" t="s">
        <v>1275</v>
      </c>
      <c r="B902" t="s">
        <v>51</v>
      </c>
      <c r="C902" t="s">
        <v>49</v>
      </c>
      <c r="D902" t="s">
        <v>21</v>
      </c>
      <c r="E902" s="3"/>
      <c r="F902">
        <v>137</v>
      </c>
      <c r="G902">
        <v>0</v>
      </c>
      <c r="H902">
        <v>137</v>
      </c>
      <c r="I902">
        <v>1565</v>
      </c>
      <c r="J902" t="s">
        <v>14</v>
      </c>
      <c r="K902" s="4">
        <f>IF(AND(ISNUMBER(Raw_Data[[#This Row],[Opening_Stock]]),ISNUMBER(Raw_Data[[#This Row],[Units_Sold]]),Raw_Data[[#This Row],[Opening_Stock]]&gt;0),Raw_Data[[#This Row],[Units_Sold]]/Raw_Data[[#This Row],[Opening_Stock]],"")</f>
        <v>0</v>
      </c>
      <c r="L902" t="str">
        <f>IF(NOT(ISNUMBER(Raw_Data[[#This Row],[Sell_through%]])),"Check",IF(Raw_Data[[#This Row],[Sell_through%]]=0,"Non-moving",IF(Raw_Data[[#This Row],[Sell_through%]]&gt;=0.6,"Fast","Slow")))</f>
        <v>Non-moving</v>
      </c>
      <c r="M902">
        <f>IF(AND(ISNUMBER(Raw_Data[[#This Row],[Closing_Stock]]),ISNUMBER(Raw_Data[[#This Row],[Unit_Cost]])),Raw_Data[[#This Row],[Closing_Stock]]*Raw_Data[[#This Row],[Unit_Cost]],"")</f>
        <v>214405</v>
      </c>
      <c r="N90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03" spans="1:14" x14ac:dyDescent="0.3">
      <c r="A903" t="s">
        <v>1277</v>
      </c>
      <c r="B903" t="s">
        <v>315</v>
      </c>
      <c r="C903" t="s">
        <v>49</v>
      </c>
      <c r="D903" t="s">
        <v>21</v>
      </c>
      <c r="E903" s="3">
        <v>46286</v>
      </c>
      <c r="F903">
        <v>463</v>
      </c>
      <c r="G903">
        <v>45</v>
      </c>
      <c r="H903">
        <v>418</v>
      </c>
      <c r="I903">
        <v>2293</v>
      </c>
      <c r="J903" t="s">
        <v>14</v>
      </c>
      <c r="K903" s="4">
        <f>IF(AND(ISNUMBER(Raw_Data[[#This Row],[Opening_Stock]]),ISNUMBER(Raw_Data[[#This Row],[Units_Sold]]),Raw_Data[[#This Row],[Opening_Stock]]&gt;0),Raw_Data[[#This Row],[Units_Sold]]/Raw_Data[[#This Row],[Opening_Stock]],"")</f>
        <v>9.719222462203024E-2</v>
      </c>
      <c r="L903" t="str">
        <f>IF(NOT(ISNUMBER(Raw_Data[[#This Row],[Sell_through%]])),"Check",IF(Raw_Data[[#This Row],[Sell_through%]]=0,"Non-moving",IF(Raw_Data[[#This Row],[Sell_through%]]&gt;=0.6,"Fast","Slow")))</f>
        <v>Slow</v>
      </c>
      <c r="M903">
        <f>IF(AND(ISNUMBER(Raw_Data[[#This Row],[Closing_Stock]]),ISNUMBER(Raw_Data[[#This Row],[Unit_Cost]])),Raw_Data[[#This Row],[Closing_Stock]]*Raw_Data[[#This Row],[Unit_Cost]],"")</f>
        <v>958474</v>
      </c>
      <c r="N90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04" spans="1:14" x14ac:dyDescent="0.3">
      <c r="A904" t="s">
        <v>1279</v>
      </c>
      <c r="B904" t="s">
        <v>182</v>
      </c>
      <c r="C904" t="s">
        <v>12</v>
      </c>
      <c r="D904" t="s">
        <v>36</v>
      </c>
      <c r="E904" s="3">
        <v>46100</v>
      </c>
      <c r="F904">
        <v>200</v>
      </c>
      <c r="G904">
        <v>16</v>
      </c>
      <c r="H904">
        <v>184</v>
      </c>
      <c r="I904">
        <v>2397</v>
      </c>
      <c r="J904" t="s">
        <v>14</v>
      </c>
      <c r="K904" s="4">
        <f>IF(AND(ISNUMBER(Raw_Data[[#This Row],[Opening_Stock]]),ISNUMBER(Raw_Data[[#This Row],[Units_Sold]]),Raw_Data[[#This Row],[Opening_Stock]]&gt;0),Raw_Data[[#This Row],[Units_Sold]]/Raw_Data[[#This Row],[Opening_Stock]],"")</f>
        <v>0.08</v>
      </c>
      <c r="L904" t="str">
        <f>IF(NOT(ISNUMBER(Raw_Data[[#This Row],[Sell_through%]])),"Check",IF(Raw_Data[[#This Row],[Sell_through%]]=0,"Non-moving",IF(Raw_Data[[#This Row],[Sell_through%]]&gt;=0.6,"Fast","Slow")))</f>
        <v>Slow</v>
      </c>
      <c r="M904">
        <f>IF(AND(ISNUMBER(Raw_Data[[#This Row],[Closing_Stock]]),ISNUMBER(Raw_Data[[#This Row],[Unit_Cost]])),Raw_Data[[#This Row],[Closing_Stock]]*Raw_Data[[#This Row],[Unit_Cost]],"")</f>
        <v>441048</v>
      </c>
      <c r="N90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05" spans="1:14" x14ac:dyDescent="0.3">
      <c r="A905" t="s">
        <v>1280</v>
      </c>
      <c r="B905" t="s">
        <v>189</v>
      </c>
      <c r="D905" t="s">
        <v>36</v>
      </c>
      <c r="E905" s="3">
        <v>46046</v>
      </c>
      <c r="F905">
        <v>293</v>
      </c>
      <c r="G905">
        <v>50</v>
      </c>
      <c r="H905">
        <v>243</v>
      </c>
      <c r="I905">
        <v>254</v>
      </c>
      <c r="J905" t="s">
        <v>14</v>
      </c>
      <c r="K905" s="4">
        <f>IF(AND(ISNUMBER(Raw_Data[[#This Row],[Opening_Stock]]),ISNUMBER(Raw_Data[[#This Row],[Units_Sold]]),Raw_Data[[#This Row],[Opening_Stock]]&gt;0),Raw_Data[[#This Row],[Units_Sold]]/Raw_Data[[#This Row],[Opening_Stock]],"")</f>
        <v>0.17064846416382254</v>
      </c>
      <c r="L905" t="str">
        <f>IF(NOT(ISNUMBER(Raw_Data[[#This Row],[Sell_through%]])),"Check",IF(Raw_Data[[#This Row],[Sell_through%]]=0,"Non-moving",IF(Raw_Data[[#This Row],[Sell_through%]]&gt;=0.6,"Fast","Slow")))</f>
        <v>Slow</v>
      </c>
      <c r="M905">
        <f>IF(AND(ISNUMBER(Raw_Data[[#This Row],[Closing_Stock]]),ISNUMBER(Raw_Data[[#This Row],[Unit_Cost]])),Raw_Data[[#This Row],[Closing_Stock]]*Raw_Data[[#This Row],[Unit_Cost]],"")</f>
        <v>61722</v>
      </c>
      <c r="N90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06" spans="1:14" x14ac:dyDescent="0.3">
      <c r="A906" t="s">
        <v>1281</v>
      </c>
      <c r="B906" t="s">
        <v>146</v>
      </c>
      <c r="C906" t="s">
        <v>35</v>
      </c>
      <c r="D906" t="s">
        <v>32</v>
      </c>
      <c r="E906" s="3">
        <v>46015</v>
      </c>
      <c r="F906">
        <v>184</v>
      </c>
      <c r="G906">
        <v>51</v>
      </c>
      <c r="H906">
        <v>133</v>
      </c>
      <c r="I906">
        <v>1726</v>
      </c>
      <c r="J906" t="s">
        <v>14</v>
      </c>
      <c r="K906" s="4">
        <f>IF(AND(ISNUMBER(Raw_Data[[#This Row],[Opening_Stock]]),ISNUMBER(Raw_Data[[#This Row],[Units_Sold]]),Raw_Data[[#This Row],[Opening_Stock]]&gt;0),Raw_Data[[#This Row],[Units_Sold]]/Raw_Data[[#This Row],[Opening_Stock]],"")</f>
        <v>0.27717391304347827</v>
      </c>
      <c r="L906" t="str">
        <f>IF(NOT(ISNUMBER(Raw_Data[[#This Row],[Sell_through%]])),"Check",IF(Raw_Data[[#This Row],[Sell_through%]]=0,"Non-moving",IF(Raw_Data[[#This Row],[Sell_through%]]&gt;=0.6,"Fast","Slow")))</f>
        <v>Slow</v>
      </c>
      <c r="M906">
        <f>IF(AND(ISNUMBER(Raw_Data[[#This Row],[Closing_Stock]]),ISNUMBER(Raw_Data[[#This Row],[Unit_Cost]])),Raw_Data[[#This Row],[Closing_Stock]]*Raw_Data[[#This Row],[Unit_Cost]],"")</f>
        <v>229558</v>
      </c>
      <c r="N90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07" spans="1:14" x14ac:dyDescent="0.3">
      <c r="A907" t="s">
        <v>1282</v>
      </c>
      <c r="B907" t="s">
        <v>93</v>
      </c>
      <c r="C907" t="s">
        <v>12</v>
      </c>
      <c r="D907" t="s">
        <v>36</v>
      </c>
      <c r="E907" s="3">
        <v>46239</v>
      </c>
      <c r="F907">
        <v>394</v>
      </c>
      <c r="G907">
        <v>135</v>
      </c>
      <c r="H907">
        <v>259</v>
      </c>
      <c r="I907">
        <v>502</v>
      </c>
      <c r="J907" t="s">
        <v>14</v>
      </c>
      <c r="K907" s="4">
        <f>IF(AND(ISNUMBER(Raw_Data[[#This Row],[Opening_Stock]]),ISNUMBER(Raw_Data[[#This Row],[Units_Sold]]),Raw_Data[[#This Row],[Opening_Stock]]&gt;0),Raw_Data[[#This Row],[Units_Sold]]/Raw_Data[[#This Row],[Opening_Stock]],"")</f>
        <v>0.34263959390862941</v>
      </c>
      <c r="L907" t="str">
        <f>IF(NOT(ISNUMBER(Raw_Data[[#This Row],[Sell_through%]])),"Check",IF(Raw_Data[[#This Row],[Sell_through%]]=0,"Non-moving",IF(Raw_Data[[#This Row],[Sell_through%]]&gt;=0.6,"Fast","Slow")))</f>
        <v>Slow</v>
      </c>
      <c r="M907">
        <f>IF(AND(ISNUMBER(Raw_Data[[#This Row],[Closing_Stock]]),ISNUMBER(Raw_Data[[#This Row],[Unit_Cost]])),Raw_Data[[#This Row],[Closing_Stock]]*Raw_Data[[#This Row],[Unit_Cost]],"")</f>
        <v>130018</v>
      </c>
      <c r="N90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08" spans="1:14" x14ac:dyDescent="0.3">
      <c r="A908" t="s">
        <v>1283</v>
      </c>
      <c r="B908" t="s">
        <v>89</v>
      </c>
      <c r="C908" t="s">
        <v>49</v>
      </c>
      <c r="D908" t="s">
        <v>21</v>
      </c>
      <c r="E908" s="3">
        <v>46075</v>
      </c>
      <c r="F908">
        <v>166</v>
      </c>
      <c r="G908">
        <v>135</v>
      </c>
      <c r="H908">
        <v>31</v>
      </c>
      <c r="I908">
        <v>108</v>
      </c>
      <c r="J908" t="s">
        <v>17</v>
      </c>
      <c r="K908" s="4">
        <f>IF(AND(ISNUMBER(Raw_Data[[#This Row],[Opening_Stock]]),ISNUMBER(Raw_Data[[#This Row],[Units_Sold]]),Raw_Data[[#This Row],[Opening_Stock]]&gt;0),Raw_Data[[#This Row],[Units_Sold]]/Raw_Data[[#This Row],[Opening_Stock]],"")</f>
        <v>0.81325301204819278</v>
      </c>
      <c r="L908" t="str">
        <f>IF(NOT(ISNUMBER(Raw_Data[[#This Row],[Sell_through%]])),"Check",IF(Raw_Data[[#This Row],[Sell_through%]]=0,"Non-moving",IF(Raw_Data[[#This Row],[Sell_through%]]&gt;=0.6,"Fast","Slow")))</f>
        <v>Fast</v>
      </c>
      <c r="M908">
        <f>IF(AND(ISNUMBER(Raw_Data[[#This Row],[Closing_Stock]]),ISNUMBER(Raw_Data[[#This Row],[Unit_Cost]])),Raw_Data[[#This Row],[Closing_Stock]]*Raw_Data[[#This Row],[Unit_Cost]],"")</f>
        <v>3348</v>
      </c>
      <c r="N90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909" spans="1:14" x14ac:dyDescent="0.3">
      <c r="A909" t="s">
        <v>1284</v>
      </c>
      <c r="B909" t="s">
        <v>479</v>
      </c>
      <c r="C909" t="s">
        <v>31</v>
      </c>
      <c r="D909" t="s">
        <v>36</v>
      </c>
      <c r="E909" s="3">
        <v>46263</v>
      </c>
      <c r="F909">
        <v>277</v>
      </c>
      <c r="G909">
        <v>85</v>
      </c>
      <c r="H909">
        <v>192</v>
      </c>
      <c r="I909">
        <v>2070</v>
      </c>
      <c r="J909" t="s">
        <v>14</v>
      </c>
      <c r="K909" s="4">
        <f>IF(AND(ISNUMBER(Raw_Data[[#This Row],[Opening_Stock]]),ISNUMBER(Raw_Data[[#This Row],[Units_Sold]]),Raw_Data[[#This Row],[Opening_Stock]]&gt;0),Raw_Data[[#This Row],[Units_Sold]]/Raw_Data[[#This Row],[Opening_Stock]],"")</f>
        <v>0.30685920577617326</v>
      </c>
      <c r="L909" t="str">
        <f>IF(NOT(ISNUMBER(Raw_Data[[#This Row],[Sell_through%]])),"Check",IF(Raw_Data[[#This Row],[Sell_through%]]=0,"Non-moving",IF(Raw_Data[[#This Row],[Sell_through%]]&gt;=0.6,"Fast","Slow")))</f>
        <v>Slow</v>
      </c>
      <c r="M909">
        <f>IF(AND(ISNUMBER(Raw_Data[[#This Row],[Closing_Stock]]),ISNUMBER(Raw_Data[[#This Row],[Unit_Cost]])),Raw_Data[[#This Row],[Closing_Stock]]*Raw_Data[[#This Row],[Unit_Cost]],"")</f>
        <v>397440</v>
      </c>
      <c r="N90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10" spans="1:14" x14ac:dyDescent="0.3">
      <c r="A910" t="s">
        <v>1285</v>
      </c>
      <c r="B910" t="s">
        <v>243</v>
      </c>
      <c r="C910" t="s">
        <v>28</v>
      </c>
      <c r="D910" t="s">
        <v>36</v>
      </c>
      <c r="E910" s="3">
        <v>46157</v>
      </c>
      <c r="F910">
        <v>265</v>
      </c>
      <c r="G910">
        <v>246</v>
      </c>
      <c r="H910">
        <v>19</v>
      </c>
      <c r="I910">
        <v>411</v>
      </c>
      <c r="J910" t="s">
        <v>17</v>
      </c>
      <c r="K910" s="4">
        <f>IF(AND(ISNUMBER(Raw_Data[[#This Row],[Opening_Stock]]),ISNUMBER(Raw_Data[[#This Row],[Units_Sold]]),Raw_Data[[#This Row],[Opening_Stock]]&gt;0),Raw_Data[[#This Row],[Units_Sold]]/Raw_Data[[#This Row],[Opening_Stock]],"")</f>
        <v>0.92830188679245285</v>
      </c>
      <c r="L910" t="str">
        <f>IF(NOT(ISNUMBER(Raw_Data[[#This Row],[Sell_through%]])),"Check",IF(Raw_Data[[#This Row],[Sell_through%]]=0,"Non-moving",IF(Raw_Data[[#This Row],[Sell_through%]]&gt;=0.6,"Fast","Slow")))</f>
        <v>Fast</v>
      </c>
      <c r="M910">
        <f>IF(AND(ISNUMBER(Raw_Data[[#This Row],[Closing_Stock]]),ISNUMBER(Raw_Data[[#This Row],[Unit_Cost]])),Raw_Data[[#This Row],[Closing_Stock]]*Raw_Data[[#This Row],[Unit_Cost]],"")</f>
        <v>7809</v>
      </c>
      <c r="N91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911" spans="1:14" x14ac:dyDescent="0.3">
      <c r="A911" t="s">
        <v>1286</v>
      </c>
      <c r="B911" t="s">
        <v>27</v>
      </c>
      <c r="C911" t="s">
        <v>28</v>
      </c>
      <c r="D911" t="s">
        <v>13</v>
      </c>
      <c r="E911" s="3">
        <v>46070</v>
      </c>
      <c r="F911">
        <v>387</v>
      </c>
      <c r="G911">
        <v>377</v>
      </c>
      <c r="H911">
        <v>10</v>
      </c>
      <c r="J911" t="s">
        <v>17</v>
      </c>
      <c r="K911" s="4">
        <f>IF(AND(ISNUMBER(Raw_Data[[#This Row],[Opening_Stock]]),ISNUMBER(Raw_Data[[#This Row],[Units_Sold]]),Raw_Data[[#This Row],[Opening_Stock]]&gt;0),Raw_Data[[#This Row],[Units_Sold]]/Raw_Data[[#This Row],[Opening_Stock]],"")</f>
        <v>0.97416020671834624</v>
      </c>
      <c r="L911" t="str">
        <f>IF(NOT(ISNUMBER(Raw_Data[[#This Row],[Sell_through%]])),"Check",IF(Raw_Data[[#This Row],[Sell_through%]]=0,"Non-moving",IF(Raw_Data[[#This Row],[Sell_through%]]&gt;=0.6,"Fast","Slow")))</f>
        <v>Fast</v>
      </c>
      <c r="M911" t="str">
        <f>IF(AND(ISNUMBER(Raw_Data[[#This Row],[Closing_Stock]]),ISNUMBER(Raw_Data[[#This Row],[Unit_Cost]])),Raw_Data[[#This Row],[Closing_Stock]]*Raw_Data[[#This Row],[Unit_Cost]],"")</f>
        <v/>
      </c>
      <c r="N911"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912" spans="1:14" x14ac:dyDescent="0.3">
      <c r="A912" t="s">
        <v>1287</v>
      </c>
      <c r="B912" t="s">
        <v>211</v>
      </c>
      <c r="C912" t="s">
        <v>35</v>
      </c>
      <c r="D912" t="s">
        <v>36</v>
      </c>
      <c r="E912" s="3">
        <v>46067</v>
      </c>
      <c r="F912">
        <v>383</v>
      </c>
      <c r="G912">
        <v>292</v>
      </c>
      <c r="H912">
        <v>91</v>
      </c>
      <c r="I912">
        <v>2237</v>
      </c>
      <c r="J912" t="s">
        <v>14</v>
      </c>
      <c r="K912" s="4">
        <f>IF(AND(ISNUMBER(Raw_Data[[#This Row],[Opening_Stock]]),ISNUMBER(Raw_Data[[#This Row],[Units_Sold]]),Raw_Data[[#This Row],[Opening_Stock]]&gt;0),Raw_Data[[#This Row],[Units_Sold]]/Raw_Data[[#This Row],[Opening_Stock]],"")</f>
        <v>0.76240208877284599</v>
      </c>
      <c r="L912" t="str">
        <f>IF(NOT(ISNUMBER(Raw_Data[[#This Row],[Sell_through%]])),"Check",IF(Raw_Data[[#This Row],[Sell_through%]]=0,"Non-moving",IF(Raw_Data[[#This Row],[Sell_through%]]&gt;=0.6,"Fast","Slow")))</f>
        <v>Fast</v>
      </c>
      <c r="M912">
        <f>IF(AND(ISNUMBER(Raw_Data[[#This Row],[Closing_Stock]]),ISNUMBER(Raw_Data[[#This Row],[Unit_Cost]])),Raw_Data[[#This Row],[Closing_Stock]]*Raw_Data[[#This Row],[Unit_Cost]],"")</f>
        <v>203567</v>
      </c>
      <c r="N912"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913" spans="1:14" x14ac:dyDescent="0.3">
      <c r="A913" t="s">
        <v>1288</v>
      </c>
      <c r="B913" t="s">
        <v>499</v>
      </c>
      <c r="C913" t="s">
        <v>28</v>
      </c>
      <c r="D913" t="s">
        <v>36</v>
      </c>
      <c r="E913" s="3">
        <v>46228</v>
      </c>
      <c r="F913">
        <v>166</v>
      </c>
      <c r="G913">
        <v>153</v>
      </c>
      <c r="H913">
        <v>13</v>
      </c>
      <c r="I913">
        <v>1437</v>
      </c>
      <c r="J913" t="s">
        <v>17</v>
      </c>
      <c r="K913" s="4">
        <f>IF(AND(ISNUMBER(Raw_Data[[#This Row],[Opening_Stock]]),ISNUMBER(Raw_Data[[#This Row],[Units_Sold]]),Raw_Data[[#This Row],[Opening_Stock]]&gt;0),Raw_Data[[#This Row],[Units_Sold]]/Raw_Data[[#This Row],[Opening_Stock]],"")</f>
        <v>0.92168674698795183</v>
      </c>
      <c r="L913" t="str">
        <f>IF(NOT(ISNUMBER(Raw_Data[[#This Row],[Sell_through%]])),"Check",IF(Raw_Data[[#This Row],[Sell_through%]]=0,"Non-moving",IF(Raw_Data[[#This Row],[Sell_through%]]&gt;=0.6,"Fast","Slow")))</f>
        <v>Fast</v>
      </c>
      <c r="M913">
        <f>IF(AND(ISNUMBER(Raw_Data[[#This Row],[Closing_Stock]]),ISNUMBER(Raw_Data[[#This Row],[Unit_Cost]])),Raw_Data[[#This Row],[Closing_Stock]]*Raw_Data[[#This Row],[Unit_Cost]],"")</f>
        <v>18681</v>
      </c>
      <c r="N913"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914" spans="1:14" x14ac:dyDescent="0.3">
      <c r="A914" t="s">
        <v>1289</v>
      </c>
      <c r="B914" t="s">
        <v>95</v>
      </c>
      <c r="C914" t="s">
        <v>31</v>
      </c>
      <c r="D914" t="s">
        <v>36</v>
      </c>
      <c r="E914" s="3">
        <v>46045</v>
      </c>
      <c r="F914">
        <v>163</v>
      </c>
      <c r="G914">
        <v>157</v>
      </c>
      <c r="H914">
        <v>6</v>
      </c>
      <c r="I914">
        <v>2810</v>
      </c>
      <c r="K914" s="4">
        <f>IF(AND(ISNUMBER(Raw_Data[[#This Row],[Opening_Stock]]),ISNUMBER(Raw_Data[[#This Row],[Units_Sold]]),Raw_Data[[#This Row],[Opening_Stock]]&gt;0),Raw_Data[[#This Row],[Units_Sold]]/Raw_Data[[#This Row],[Opening_Stock]],"")</f>
        <v>0.96319018404907975</v>
      </c>
      <c r="L914" t="str">
        <f>IF(NOT(ISNUMBER(Raw_Data[[#This Row],[Sell_through%]])),"Check",IF(Raw_Data[[#This Row],[Sell_through%]]=0,"Non-moving",IF(Raw_Data[[#This Row],[Sell_through%]]&gt;=0.6,"Fast","Slow")))</f>
        <v>Fast</v>
      </c>
      <c r="M914">
        <f>IF(AND(ISNUMBER(Raw_Data[[#This Row],[Closing_Stock]]),ISNUMBER(Raw_Data[[#This Row],[Unit_Cost]])),Raw_Data[[#This Row],[Closing_Stock]]*Raw_Data[[#This Row],[Unit_Cost]],"")</f>
        <v>16860</v>
      </c>
      <c r="N914"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915" spans="1:14" x14ac:dyDescent="0.3">
      <c r="A915" t="s">
        <v>1290</v>
      </c>
      <c r="B915" t="s">
        <v>243</v>
      </c>
      <c r="C915" t="s">
        <v>28</v>
      </c>
      <c r="D915" t="s">
        <v>32</v>
      </c>
      <c r="E915" s="3"/>
      <c r="F915">
        <v>279</v>
      </c>
      <c r="G915">
        <v>0</v>
      </c>
      <c r="H915">
        <v>279</v>
      </c>
      <c r="I915">
        <v>2986</v>
      </c>
      <c r="J915" t="s">
        <v>14</v>
      </c>
      <c r="K915" s="4">
        <f>IF(AND(ISNUMBER(Raw_Data[[#This Row],[Opening_Stock]]),ISNUMBER(Raw_Data[[#This Row],[Units_Sold]]),Raw_Data[[#This Row],[Opening_Stock]]&gt;0),Raw_Data[[#This Row],[Units_Sold]]/Raw_Data[[#This Row],[Opening_Stock]],"")</f>
        <v>0</v>
      </c>
      <c r="L915" t="str">
        <f>IF(NOT(ISNUMBER(Raw_Data[[#This Row],[Sell_through%]])),"Check",IF(Raw_Data[[#This Row],[Sell_through%]]=0,"Non-moving",IF(Raw_Data[[#This Row],[Sell_through%]]&gt;=0.6,"Fast","Slow")))</f>
        <v>Non-moving</v>
      </c>
      <c r="M915">
        <f>IF(AND(ISNUMBER(Raw_Data[[#This Row],[Closing_Stock]]),ISNUMBER(Raw_Data[[#This Row],[Unit_Cost]])),Raw_Data[[#This Row],[Closing_Stock]]*Raw_Data[[#This Row],[Unit_Cost]],"")</f>
        <v>833094</v>
      </c>
      <c r="N91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16" spans="1:14" x14ac:dyDescent="0.3">
      <c r="A916" t="s">
        <v>1292</v>
      </c>
      <c r="B916" t="s">
        <v>499</v>
      </c>
      <c r="C916" t="s">
        <v>28</v>
      </c>
      <c r="D916" t="s">
        <v>13</v>
      </c>
      <c r="E916" s="3"/>
      <c r="F916">
        <v>301</v>
      </c>
      <c r="G916">
        <v>0</v>
      </c>
      <c r="H916">
        <v>301</v>
      </c>
      <c r="I916">
        <v>1908</v>
      </c>
      <c r="J916" t="s">
        <v>14</v>
      </c>
      <c r="K916" s="4">
        <f>IF(AND(ISNUMBER(Raw_Data[[#This Row],[Opening_Stock]]),ISNUMBER(Raw_Data[[#This Row],[Units_Sold]]),Raw_Data[[#This Row],[Opening_Stock]]&gt;0),Raw_Data[[#This Row],[Units_Sold]]/Raw_Data[[#This Row],[Opening_Stock]],"")</f>
        <v>0</v>
      </c>
      <c r="L916" t="str">
        <f>IF(NOT(ISNUMBER(Raw_Data[[#This Row],[Sell_through%]])),"Check",IF(Raw_Data[[#This Row],[Sell_through%]]=0,"Non-moving",IF(Raw_Data[[#This Row],[Sell_through%]]&gt;=0.6,"Fast","Slow")))</f>
        <v>Non-moving</v>
      </c>
      <c r="M916">
        <f>IF(AND(ISNUMBER(Raw_Data[[#This Row],[Closing_Stock]]),ISNUMBER(Raw_Data[[#This Row],[Unit_Cost]])),Raw_Data[[#This Row],[Closing_Stock]]*Raw_Data[[#This Row],[Unit_Cost]],"")</f>
        <v>574308</v>
      </c>
      <c r="N91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17" spans="1:14" x14ac:dyDescent="0.3">
      <c r="A917" t="s">
        <v>1293</v>
      </c>
      <c r="B917" t="s">
        <v>200</v>
      </c>
      <c r="C917" t="s">
        <v>35</v>
      </c>
      <c r="D917" t="s">
        <v>32</v>
      </c>
      <c r="E917" s="3"/>
      <c r="F917">
        <v>296</v>
      </c>
      <c r="G917">
        <v>0</v>
      </c>
      <c r="H917">
        <v>296</v>
      </c>
      <c r="I917">
        <v>2321</v>
      </c>
      <c r="J917" t="s">
        <v>14</v>
      </c>
      <c r="K917" s="4">
        <f>IF(AND(ISNUMBER(Raw_Data[[#This Row],[Opening_Stock]]),ISNUMBER(Raw_Data[[#This Row],[Units_Sold]]),Raw_Data[[#This Row],[Opening_Stock]]&gt;0),Raw_Data[[#This Row],[Units_Sold]]/Raw_Data[[#This Row],[Opening_Stock]],"")</f>
        <v>0</v>
      </c>
      <c r="L917" t="str">
        <f>IF(NOT(ISNUMBER(Raw_Data[[#This Row],[Sell_through%]])),"Check",IF(Raw_Data[[#This Row],[Sell_through%]]=0,"Non-moving",IF(Raw_Data[[#This Row],[Sell_through%]]&gt;=0.6,"Fast","Slow")))</f>
        <v>Non-moving</v>
      </c>
      <c r="M917">
        <f>IF(AND(ISNUMBER(Raw_Data[[#This Row],[Closing_Stock]]),ISNUMBER(Raw_Data[[#This Row],[Unit_Cost]])),Raw_Data[[#This Row],[Closing_Stock]]*Raw_Data[[#This Row],[Unit_Cost]],"")</f>
        <v>687016</v>
      </c>
      <c r="N91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18" spans="1:14" x14ac:dyDescent="0.3">
      <c r="A918" t="s">
        <v>1294</v>
      </c>
      <c r="B918" t="s">
        <v>117</v>
      </c>
      <c r="C918" t="s">
        <v>28</v>
      </c>
      <c r="D918" t="s">
        <v>21</v>
      </c>
      <c r="E918" s="3"/>
      <c r="F918">
        <v>137</v>
      </c>
      <c r="G918">
        <v>0</v>
      </c>
      <c r="H918">
        <v>137</v>
      </c>
      <c r="I918">
        <v>859</v>
      </c>
      <c r="J918" t="s">
        <v>14</v>
      </c>
      <c r="K918" s="4">
        <f>IF(AND(ISNUMBER(Raw_Data[[#This Row],[Opening_Stock]]),ISNUMBER(Raw_Data[[#This Row],[Units_Sold]]),Raw_Data[[#This Row],[Opening_Stock]]&gt;0),Raw_Data[[#This Row],[Units_Sold]]/Raw_Data[[#This Row],[Opening_Stock]],"")</f>
        <v>0</v>
      </c>
      <c r="L918" t="str">
        <f>IF(NOT(ISNUMBER(Raw_Data[[#This Row],[Sell_through%]])),"Check",IF(Raw_Data[[#This Row],[Sell_through%]]=0,"Non-moving",IF(Raw_Data[[#This Row],[Sell_through%]]&gt;=0.6,"Fast","Slow")))</f>
        <v>Non-moving</v>
      </c>
      <c r="M918">
        <f>IF(AND(ISNUMBER(Raw_Data[[#This Row],[Closing_Stock]]),ISNUMBER(Raw_Data[[#This Row],[Unit_Cost]])),Raw_Data[[#This Row],[Closing_Stock]]*Raw_Data[[#This Row],[Unit_Cost]],"")</f>
        <v>117683</v>
      </c>
      <c r="N91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19" spans="1:14" x14ac:dyDescent="0.3">
      <c r="A919" t="s">
        <v>1296</v>
      </c>
      <c r="B919" t="s">
        <v>363</v>
      </c>
      <c r="C919" t="s">
        <v>12</v>
      </c>
      <c r="D919" t="s">
        <v>13</v>
      </c>
      <c r="E919" s="3">
        <v>46000</v>
      </c>
      <c r="G919">
        <v>269</v>
      </c>
      <c r="H919">
        <v>98</v>
      </c>
      <c r="I919">
        <v>1986</v>
      </c>
      <c r="J919" t="s">
        <v>14</v>
      </c>
      <c r="K919" s="4" t="str">
        <f>IF(AND(ISNUMBER(Raw_Data[[#This Row],[Opening_Stock]]),ISNUMBER(Raw_Data[[#This Row],[Units_Sold]]),Raw_Data[[#This Row],[Opening_Stock]]&gt;0),Raw_Data[[#This Row],[Units_Sold]]/Raw_Data[[#This Row],[Opening_Stock]],"")</f>
        <v/>
      </c>
      <c r="L919" t="str">
        <f>IF(NOT(ISNUMBER(Raw_Data[[#This Row],[Sell_through%]])),"Check",IF(Raw_Data[[#This Row],[Sell_through%]]=0,"Non-moving",IF(Raw_Data[[#This Row],[Sell_through%]]&gt;=0.6,"Fast","Slow")))</f>
        <v>Check</v>
      </c>
      <c r="M919">
        <f>IF(AND(ISNUMBER(Raw_Data[[#This Row],[Closing_Stock]]),ISNUMBER(Raw_Data[[#This Row],[Unit_Cost]])),Raw_Data[[#This Row],[Closing_Stock]]*Raw_Data[[#This Row],[Unit_Cost]],"")</f>
        <v>194628</v>
      </c>
      <c r="N91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920" spans="1:14" x14ac:dyDescent="0.3">
      <c r="A920" t="s">
        <v>1297</v>
      </c>
      <c r="B920" t="s">
        <v>363</v>
      </c>
      <c r="C920" t="s">
        <v>12</v>
      </c>
      <c r="D920" t="s">
        <v>36</v>
      </c>
      <c r="E920" s="3">
        <v>46017</v>
      </c>
      <c r="F920">
        <v>148</v>
      </c>
      <c r="G920">
        <v>11</v>
      </c>
      <c r="I920">
        <v>1987</v>
      </c>
      <c r="J920" t="s">
        <v>14</v>
      </c>
      <c r="K920" s="4">
        <f>IF(AND(ISNUMBER(Raw_Data[[#This Row],[Opening_Stock]]),ISNUMBER(Raw_Data[[#This Row],[Units_Sold]]),Raw_Data[[#This Row],[Opening_Stock]]&gt;0),Raw_Data[[#This Row],[Units_Sold]]/Raw_Data[[#This Row],[Opening_Stock]],"")</f>
        <v>7.4324324324324328E-2</v>
      </c>
      <c r="L920" t="str">
        <f>IF(NOT(ISNUMBER(Raw_Data[[#This Row],[Sell_through%]])),"Check",IF(Raw_Data[[#This Row],[Sell_through%]]=0,"Non-moving",IF(Raw_Data[[#This Row],[Sell_through%]]&gt;=0.6,"Fast","Slow")))</f>
        <v>Slow</v>
      </c>
      <c r="M920" t="str">
        <f>IF(AND(ISNUMBER(Raw_Data[[#This Row],[Closing_Stock]]),ISNUMBER(Raw_Data[[#This Row],[Unit_Cost]])),Raw_Data[[#This Row],[Closing_Stock]]*Raw_Data[[#This Row],[Unit_Cost]],"")</f>
        <v/>
      </c>
      <c r="N92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21" spans="1:14" x14ac:dyDescent="0.3">
      <c r="A921" t="s">
        <v>1299</v>
      </c>
      <c r="B921" t="s">
        <v>224</v>
      </c>
      <c r="C921" t="s">
        <v>49</v>
      </c>
      <c r="D921" t="s">
        <v>36</v>
      </c>
      <c r="E921" s="3">
        <v>46035</v>
      </c>
      <c r="F921">
        <v>130</v>
      </c>
      <c r="G921">
        <v>49</v>
      </c>
      <c r="H921">
        <v>81</v>
      </c>
      <c r="I921">
        <v>1741</v>
      </c>
      <c r="J921" t="s">
        <v>14</v>
      </c>
      <c r="K921" s="4">
        <f>IF(AND(ISNUMBER(Raw_Data[[#This Row],[Opening_Stock]]),ISNUMBER(Raw_Data[[#This Row],[Units_Sold]]),Raw_Data[[#This Row],[Opening_Stock]]&gt;0),Raw_Data[[#This Row],[Units_Sold]]/Raw_Data[[#This Row],[Opening_Stock]],"")</f>
        <v>0.37692307692307692</v>
      </c>
      <c r="L921" t="str">
        <f>IF(NOT(ISNUMBER(Raw_Data[[#This Row],[Sell_through%]])),"Check",IF(Raw_Data[[#This Row],[Sell_through%]]=0,"Non-moving",IF(Raw_Data[[#This Row],[Sell_through%]]&gt;=0.6,"Fast","Slow")))</f>
        <v>Slow</v>
      </c>
      <c r="M921">
        <f>IF(AND(ISNUMBER(Raw_Data[[#This Row],[Closing_Stock]]),ISNUMBER(Raw_Data[[#This Row],[Unit_Cost]])),Raw_Data[[#This Row],[Closing_Stock]]*Raw_Data[[#This Row],[Unit_Cost]],"")</f>
        <v>141021</v>
      </c>
      <c r="N92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22" spans="1:14" x14ac:dyDescent="0.3">
      <c r="A922" t="s">
        <v>1300</v>
      </c>
      <c r="B922" t="s">
        <v>54</v>
      </c>
      <c r="C922" t="s">
        <v>31</v>
      </c>
      <c r="D922" t="s">
        <v>36</v>
      </c>
      <c r="E922" s="3"/>
      <c r="F922">
        <v>230</v>
      </c>
      <c r="G922">
        <v>0</v>
      </c>
      <c r="H922">
        <v>230</v>
      </c>
      <c r="J922" t="s">
        <v>14</v>
      </c>
      <c r="K922" s="4">
        <f>IF(AND(ISNUMBER(Raw_Data[[#This Row],[Opening_Stock]]),ISNUMBER(Raw_Data[[#This Row],[Units_Sold]]),Raw_Data[[#This Row],[Opening_Stock]]&gt;0),Raw_Data[[#This Row],[Units_Sold]]/Raw_Data[[#This Row],[Opening_Stock]],"")</f>
        <v>0</v>
      </c>
      <c r="L922" t="str">
        <f>IF(NOT(ISNUMBER(Raw_Data[[#This Row],[Sell_through%]])),"Check",IF(Raw_Data[[#This Row],[Sell_through%]]=0,"Non-moving",IF(Raw_Data[[#This Row],[Sell_through%]]&gt;=0.6,"Fast","Slow")))</f>
        <v>Non-moving</v>
      </c>
      <c r="M922" t="str">
        <f>IF(AND(ISNUMBER(Raw_Data[[#This Row],[Closing_Stock]]),ISNUMBER(Raw_Data[[#This Row],[Unit_Cost]])),Raw_Data[[#This Row],[Closing_Stock]]*Raw_Data[[#This Row],[Unit_Cost]],"")</f>
        <v/>
      </c>
      <c r="N92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23" spans="1:14" x14ac:dyDescent="0.3">
      <c r="A923" t="s">
        <v>1301</v>
      </c>
      <c r="B923" t="s">
        <v>189</v>
      </c>
      <c r="C923" t="s">
        <v>49</v>
      </c>
      <c r="D923" t="s">
        <v>21</v>
      </c>
      <c r="E923" s="3">
        <v>46119</v>
      </c>
      <c r="F923">
        <v>385</v>
      </c>
      <c r="G923">
        <v>38</v>
      </c>
      <c r="H923">
        <v>347</v>
      </c>
      <c r="I923">
        <v>416</v>
      </c>
      <c r="J923" t="s">
        <v>14</v>
      </c>
      <c r="K923" s="4">
        <f>IF(AND(ISNUMBER(Raw_Data[[#This Row],[Opening_Stock]]),ISNUMBER(Raw_Data[[#This Row],[Units_Sold]]),Raw_Data[[#This Row],[Opening_Stock]]&gt;0),Raw_Data[[#This Row],[Units_Sold]]/Raw_Data[[#This Row],[Opening_Stock]],"")</f>
        <v>9.8701298701298706E-2</v>
      </c>
      <c r="L923" t="str">
        <f>IF(NOT(ISNUMBER(Raw_Data[[#This Row],[Sell_through%]])),"Check",IF(Raw_Data[[#This Row],[Sell_through%]]=0,"Non-moving",IF(Raw_Data[[#This Row],[Sell_through%]]&gt;=0.6,"Fast","Slow")))</f>
        <v>Slow</v>
      </c>
      <c r="M923">
        <f>IF(AND(ISNUMBER(Raw_Data[[#This Row],[Closing_Stock]]),ISNUMBER(Raw_Data[[#This Row],[Unit_Cost]])),Raw_Data[[#This Row],[Closing_Stock]]*Raw_Data[[#This Row],[Unit_Cost]],"")</f>
        <v>144352</v>
      </c>
      <c r="N92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24" spans="1:14" x14ac:dyDescent="0.3">
      <c r="A924" t="s">
        <v>1303</v>
      </c>
      <c r="B924" t="s">
        <v>211</v>
      </c>
      <c r="C924" t="s">
        <v>35</v>
      </c>
      <c r="D924" t="s">
        <v>13</v>
      </c>
      <c r="E924" s="3">
        <v>46279</v>
      </c>
      <c r="F924">
        <v>297</v>
      </c>
      <c r="G924">
        <v>93</v>
      </c>
      <c r="H924">
        <v>204</v>
      </c>
      <c r="I924">
        <v>1982</v>
      </c>
      <c r="J924" t="s">
        <v>14</v>
      </c>
      <c r="K924" s="4">
        <f>IF(AND(ISNUMBER(Raw_Data[[#This Row],[Opening_Stock]]),ISNUMBER(Raw_Data[[#This Row],[Units_Sold]]),Raw_Data[[#This Row],[Opening_Stock]]&gt;0),Raw_Data[[#This Row],[Units_Sold]]/Raw_Data[[#This Row],[Opening_Stock]],"")</f>
        <v>0.31313131313131315</v>
      </c>
      <c r="L924" t="str">
        <f>IF(NOT(ISNUMBER(Raw_Data[[#This Row],[Sell_through%]])),"Check",IF(Raw_Data[[#This Row],[Sell_through%]]=0,"Non-moving",IF(Raw_Data[[#This Row],[Sell_through%]]&gt;=0.6,"Fast","Slow")))</f>
        <v>Slow</v>
      </c>
      <c r="M924">
        <f>IF(AND(ISNUMBER(Raw_Data[[#This Row],[Closing_Stock]]),ISNUMBER(Raw_Data[[#This Row],[Unit_Cost]])),Raw_Data[[#This Row],[Closing_Stock]]*Raw_Data[[#This Row],[Unit_Cost]],"")</f>
        <v>404328</v>
      </c>
      <c r="N92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25" spans="1:14" x14ac:dyDescent="0.3">
      <c r="A925" t="s">
        <v>1304</v>
      </c>
      <c r="B925" t="s">
        <v>262</v>
      </c>
      <c r="C925" t="s">
        <v>12</v>
      </c>
      <c r="D925" t="s">
        <v>36</v>
      </c>
      <c r="E925" s="3"/>
      <c r="F925">
        <v>439</v>
      </c>
      <c r="G925">
        <v>0</v>
      </c>
      <c r="H925">
        <v>439</v>
      </c>
      <c r="I925">
        <v>1249</v>
      </c>
      <c r="J925" t="s">
        <v>14</v>
      </c>
      <c r="K925" s="4">
        <f>IF(AND(ISNUMBER(Raw_Data[[#This Row],[Opening_Stock]]),ISNUMBER(Raw_Data[[#This Row],[Units_Sold]]),Raw_Data[[#This Row],[Opening_Stock]]&gt;0),Raw_Data[[#This Row],[Units_Sold]]/Raw_Data[[#This Row],[Opening_Stock]],"")</f>
        <v>0</v>
      </c>
      <c r="L925" t="str">
        <f>IF(NOT(ISNUMBER(Raw_Data[[#This Row],[Sell_through%]])),"Check",IF(Raw_Data[[#This Row],[Sell_through%]]=0,"Non-moving",IF(Raw_Data[[#This Row],[Sell_through%]]&gt;=0.6,"Fast","Slow")))</f>
        <v>Non-moving</v>
      </c>
      <c r="M925">
        <f>IF(AND(ISNUMBER(Raw_Data[[#This Row],[Closing_Stock]]),ISNUMBER(Raw_Data[[#This Row],[Unit_Cost]])),Raw_Data[[#This Row],[Closing_Stock]]*Raw_Data[[#This Row],[Unit_Cost]],"")</f>
        <v>548311</v>
      </c>
      <c r="N92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26" spans="1:14" x14ac:dyDescent="0.3">
      <c r="A926" t="s">
        <v>1306</v>
      </c>
      <c r="B926" t="s">
        <v>234</v>
      </c>
      <c r="C926" t="s">
        <v>28</v>
      </c>
      <c r="D926" t="s">
        <v>32</v>
      </c>
      <c r="E926" s="3">
        <v>46272</v>
      </c>
      <c r="F926">
        <v>392</v>
      </c>
      <c r="G926">
        <v>50</v>
      </c>
      <c r="H926">
        <v>342</v>
      </c>
      <c r="I926">
        <v>83</v>
      </c>
      <c r="J926" t="s">
        <v>14</v>
      </c>
      <c r="K926" s="4">
        <f>IF(AND(ISNUMBER(Raw_Data[[#This Row],[Opening_Stock]]),ISNUMBER(Raw_Data[[#This Row],[Units_Sold]]),Raw_Data[[#This Row],[Opening_Stock]]&gt;0),Raw_Data[[#This Row],[Units_Sold]]/Raw_Data[[#This Row],[Opening_Stock]],"")</f>
        <v>0.12755102040816327</v>
      </c>
      <c r="L926" t="str">
        <f>IF(NOT(ISNUMBER(Raw_Data[[#This Row],[Sell_through%]])),"Check",IF(Raw_Data[[#This Row],[Sell_through%]]=0,"Non-moving",IF(Raw_Data[[#This Row],[Sell_through%]]&gt;=0.6,"Fast","Slow")))</f>
        <v>Slow</v>
      </c>
      <c r="M926">
        <f>IF(AND(ISNUMBER(Raw_Data[[#This Row],[Closing_Stock]]),ISNUMBER(Raw_Data[[#This Row],[Unit_Cost]])),Raw_Data[[#This Row],[Closing_Stock]]*Raw_Data[[#This Row],[Unit_Cost]],"")</f>
        <v>28386</v>
      </c>
      <c r="N926"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27" spans="1:14" x14ac:dyDescent="0.3">
      <c r="A927" t="s">
        <v>1307</v>
      </c>
      <c r="B927" t="s">
        <v>89</v>
      </c>
      <c r="C927" t="s">
        <v>49</v>
      </c>
      <c r="D927" t="s">
        <v>21</v>
      </c>
      <c r="E927" s="3"/>
      <c r="F927">
        <v>155</v>
      </c>
      <c r="G927">
        <v>0</v>
      </c>
      <c r="H927">
        <v>155</v>
      </c>
      <c r="I927">
        <v>2224</v>
      </c>
      <c r="J927" t="s">
        <v>14</v>
      </c>
      <c r="K927" s="4">
        <f>IF(AND(ISNUMBER(Raw_Data[[#This Row],[Opening_Stock]]),ISNUMBER(Raw_Data[[#This Row],[Units_Sold]]),Raw_Data[[#This Row],[Opening_Stock]]&gt;0),Raw_Data[[#This Row],[Units_Sold]]/Raw_Data[[#This Row],[Opening_Stock]],"")</f>
        <v>0</v>
      </c>
      <c r="L927" t="str">
        <f>IF(NOT(ISNUMBER(Raw_Data[[#This Row],[Sell_through%]])),"Check",IF(Raw_Data[[#This Row],[Sell_through%]]=0,"Non-moving",IF(Raw_Data[[#This Row],[Sell_through%]]&gt;=0.6,"Fast","Slow")))</f>
        <v>Non-moving</v>
      </c>
      <c r="M927">
        <f>IF(AND(ISNUMBER(Raw_Data[[#This Row],[Closing_Stock]]),ISNUMBER(Raw_Data[[#This Row],[Unit_Cost]])),Raw_Data[[#This Row],[Closing_Stock]]*Raw_Data[[#This Row],[Unit_Cost]],"")</f>
        <v>344720</v>
      </c>
      <c r="N92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28" spans="1:14" x14ac:dyDescent="0.3">
      <c r="A928" t="s">
        <v>1308</v>
      </c>
      <c r="B928" t="s">
        <v>19</v>
      </c>
      <c r="C928" t="s">
        <v>28</v>
      </c>
      <c r="D928" t="s">
        <v>32</v>
      </c>
      <c r="E928" s="3"/>
      <c r="F928">
        <v>338</v>
      </c>
      <c r="G928">
        <v>0</v>
      </c>
      <c r="H928">
        <v>338</v>
      </c>
      <c r="I928">
        <v>289</v>
      </c>
      <c r="J928" t="s">
        <v>14</v>
      </c>
      <c r="K928" s="4">
        <f>IF(AND(ISNUMBER(Raw_Data[[#This Row],[Opening_Stock]]),ISNUMBER(Raw_Data[[#This Row],[Units_Sold]]),Raw_Data[[#This Row],[Opening_Stock]]&gt;0),Raw_Data[[#This Row],[Units_Sold]]/Raw_Data[[#This Row],[Opening_Stock]],"")</f>
        <v>0</v>
      </c>
      <c r="L928" t="str">
        <f>IF(NOT(ISNUMBER(Raw_Data[[#This Row],[Sell_through%]])),"Check",IF(Raw_Data[[#This Row],[Sell_through%]]=0,"Non-moving",IF(Raw_Data[[#This Row],[Sell_through%]]&gt;=0.6,"Fast","Slow")))</f>
        <v>Non-moving</v>
      </c>
      <c r="M928">
        <f>IF(AND(ISNUMBER(Raw_Data[[#This Row],[Closing_Stock]]),ISNUMBER(Raw_Data[[#This Row],[Unit_Cost]])),Raw_Data[[#This Row],[Closing_Stock]]*Raw_Data[[#This Row],[Unit_Cost]],"")</f>
        <v>97682</v>
      </c>
      <c r="N928"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29" spans="1:14" x14ac:dyDescent="0.3">
      <c r="A929" t="s">
        <v>1309</v>
      </c>
      <c r="B929" t="s">
        <v>67</v>
      </c>
      <c r="C929" t="s">
        <v>31</v>
      </c>
      <c r="D929" t="s">
        <v>21</v>
      </c>
      <c r="E929" s="3">
        <v>45998</v>
      </c>
      <c r="F929">
        <v>427</v>
      </c>
      <c r="G929">
        <v>323</v>
      </c>
      <c r="H929">
        <v>104</v>
      </c>
      <c r="I929">
        <v>839</v>
      </c>
      <c r="J929" t="s">
        <v>14</v>
      </c>
      <c r="K929" s="4">
        <f>IF(AND(ISNUMBER(Raw_Data[[#This Row],[Opening_Stock]]),ISNUMBER(Raw_Data[[#This Row],[Units_Sold]]),Raw_Data[[#This Row],[Opening_Stock]]&gt;0),Raw_Data[[#This Row],[Units_Sold]]/Raw_Data[[#This Row],[Opening_Stock]],"")</f>
        <v>0.75644028103044492</v>
      </c>
      <c r="L929" t="str">
        <f>IF(NOT(ISNUMBER(Raw_Data[[#This Row],[Sell_through%]])),"Check",IF(Raw_Data[[#This Row],[Sell_through%]]=0,"Non-moving",IF(Raw_Data[[#This Row],[Sell_through%]]&gt;=0.6,"Fast","Slow")))</f>
        <v>Fast</v>
      </c>
      <c r="M929">
        <f>IF(AND(ISNUMBER(Raw_Data[[#This Row],[Closing_Stock]]),ISNUMBER(Raw_Data[[#This Row],[Unit_Cost]])),Raw_Data[[#This Row],[Closing_Stock]]*Raw_Data[[#This Row],[Unit_Cost]],"")</f>
        <v>87256</v>
      </c>
      <c r="N929"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930" spans="1:14" x14ac:dyDescent="0.3">
      <c r="A930" t="s">
        <v>1310</v>
      </c>
      <c r="B930" t="s">
        <v>455</v>
      </c>
      <c r="C930" t="s">
        <v>35</v>
      </c>
      <c r="D930" t="s">
        <v>21</v>
      </c>
      <c r="E930" s="3"/>
      <c r="F930">
        <v>356</v>
      </c>
      <c r="G930">
        <v>0</v>
      </c>
      <c r="H930">
        <v>356</v>
      </c>
      <c r="I930">
        <v>1012</v>
      </c>
      <c r="J930" t="s">
        <v>14</v>
      </c>
      <c r="K930" s="4">
        <f>IF(AND(ISNUMBER(Raw_Data[[#This Row],[Opening_Stock]]),ISNUMBER(Raw_Data[[#This Row],[Units_Sold]]),Raw_Data[[#This Row],[Opening_Stock]]&gt;0),Raw_Data[[#This Row],[Units_Sold]]/Raw_Data[[#This Row],[Opening_Stock]],"")</f>
        <v>0</v>
      </c>
      <c r="L930" t="str">
        <f>IF(NOT(ISNUMBER(Raw_Data[[#This Row],[Sell_through%]])),"Check",IF(Raw_Data[[#This Row],[Sell_through%]]=0,"Non-moving",IF(Raw_Data[[#This Row],[Sell_through%]]&gt;=0.6,"Fast","Slow")))</f>
        <v>Non-moving</v>
      </c>
      <c r="M930">
        <f>IF(AND(ISNUMBER(Raw_Data[[#This Row],[Closing_Stock]]),ISNUMBER(Raw_Data[[#This Row],[Unit_Cost]])),Raw_Data[[#This Row],[Closing_Stock]]*Raw_Data[[#This Row],[Unit_Cost]],"")</f>
        <v>360272</v>
      </c>
      <c r="N93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31" spans="1:14" x14ac:dyDescent="0.3">
      <c r="A931" t="s">
        <v>1312</v>
      </c>
      <c r="B931" t="s">
        <v>48</v>
      </c>
      <c r="C931" t="s">
        <v>49</v>
      </c>
      <c r="D931" t="s">
        <v>32</v>
      </c>
      <c r="E931" s="3"/>
      <c r="F931">
        <v>435</v>
      </c>
      <c r="G931">
        <v>0</v>
      </c>
      <c r="H931">
        <v>435</v>
      </c>
      <c r="I931">
        <v>1638</v>
      </c>
      <c r="J931" t="s">
        <v>14</v>
      </c>
      <c r="K931" s="4">
        <f>IF(AND(ISNUMBER(Raw_Data[[#This Row],[Opening_Stock]]),ISNUMBER(Raw_Data[[#This Row],[Units_Sold]]),Raw_Data[[#This Row],[Opening_Stock]]&gt;0),Raw_Data[[#This Row],[Units_Sold]]/Raw_Data[[#This Row],[Opening_Stock]],"")</f>
        <v>0</v>
      </c>
      <c r="L931" t="str">
        <f>IF(NOT(ISNUMBER(Raw_Data[[#This Row],[Sell_through%]])),"Check",IF(Raw_Data[[#This Row],[Sell_through%]]=0,"Non-moving",IF(Raw_Data[[#This Row],[Sell_through%]]&gt;=0.6,"Fast","Slow")))</f>
        <v>Non-moving</v>
      </c>
      <c r="M931">
        <f>IF(AND(ISNUMBER(Raw_Data[[#This Row],[Closing_Stock]]),ISNUMBER(Raw_Data[[#This Row],[Unit_Cost]])),Raw_Data[[#This Row],[Closing_Stock]]*Raw_Data[[#This Row],[Unit_Cost]],"")</f>
        <v>712530</v>
      </c>
      <c r="N93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32" spans="1:14" x14ac:dyDescent="0.3">
      <c r="A932" t="s">
        <v>1313</v>
      </c>
      <c r="B932" t="s">
        <v>158</v>
      </c>
      <c r="C932" t="s">
        <v>31</v>
      </c>
      <c r="D932" t="s">
        <v>21</v>
      </c>
      <c r="E932" s="3"/>
      <c r="F932">
        <v>190</v>
      </c>
      <c r="G932">
        <v>0</v>
      </c>
      <c r="H932">
        <v>190</v>
      </c>
      <c r="I932">
        <v>2169</v>
      </c>
      <c r="J932" t="s">
        <v>14</v>
      </c>
      <c r="K932" s="4">
        <f>IF(AND(ISNUMBER(Raw_Data[[#This Row],[Opening_Stock]]),ISNUMBER(Raw_Data[[#This Row],[Units_Sold]]),Raw_Data[[#This Row],[Opening_Stock]]&gt;0),Raw_Data[[#This Row],[Units_Sold]]/Raw_Data[[#This Row],[Opening_Stock]],"")</f>
        <v>0</v>
      </c>
      <c r="L932" t="str">
        <f>IF(NOT(ISNUMBER(Raw_Data[[#This Row],[Sell_through%]])),"Check",IF(Raw_Data[[#This Row],[Sell_through%]]=0,"Non-moving",IF(Raw_Data[[#This Row],[Sell_through%]]&gt;=0.6,"Fast","Slow")))</f>
        <v>Non-moving</v>
      </c>
      <c r="M932">
        <f>IF(AND(ISNUMBER(Raw_Data[[#This Row],[Closing_Stock]]),ISNUMBER(Raw_Data[[#This Row],[Unit_Cost]])),Raw_Data[[#This Row],[Closing_Stock]]*Raw_Data[[#This Row],[Unit_Cost]],"")</f>
        <v>412110</v>
      </c>
      <c r="N93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33" spans="1:14" x14ac:dyDescent="0.3">
      <c r="A933" t="s">
        <v>1314</v>
      </c>
      <c r="B933" t="s">
        <v>60</v>
      </c>
      <c r="C933" t="s">
        <v>28</v>
      </c>
      <c r="D933" t="s">
        <v>36</v>
      </c>
      <c r="E933" s="3"/>
      <c r="F933">
        <v>84</v>
      </c>
      <c r="G933">
        <v>0</v>
      </c>
      <c r="H933">
        <v>84</v>
      </c>
      <c r="I933">
        <v>470</v>
      </c>
      <c r="J933" t="s">
        <v>14</v>
      </c>
      <c r="K933" s="4">
        <f>IF(AND(ISNUMBER(Raw_Data[[#This Row],[Opening_Stock]]),ISNUMBER(Raw_Data[[#This Row],[Units_Sold]]),Raw_Data[[#This Row],[Opening_Stock]]&gt;0),Raw_Data[[#This Row],[Units_Sold]]/Raw_Data[[#This Row],[Opening_Stock]],"")</f>
        <v>0</v>
      </c>
      <c r="L933" t="str">
        <f>IF(NOT(ISNUMBER(Raw_Data[[#This Row],[Sell_through%]])),"Check",IF(Raw_Data[[#This Row],[Sell_through%]]=0,"Non-moving",IF(Raw_Data[[#This Row],[Sell_through%]]&gt;=0.6,"Fast","Slow")))</f>
        <v>Non-moving</v>
      </c>
      <c r="M933">
        <f>IF(AND(ISNUMBER(Raw_Data[[#This Row],[Closing_Stock]]),ISNUMBER(Raw_Data[[#This Row],[Unit_Cost]])),Raw_Data[[#This Row],[Closing_Stock]]*Raw_Data[[#This Row],[Unit_Cost]],"")</f>
        <v>39480</v>
      </c>
      <c r="N93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34" spans="1:14" x14ac:dyDescent="0.3">
      <c r="A934" t="s">
        <v>1316</v>
      </c>
      <c r="B934" t="s">
        <v>243</v>
      </c>
      <c r="C934" t="s">
        <v>28</v>
      </c>
      <c r="D934" t="s">
        <v>36</v>
      </c>
      <c r="E934" s="3">
        <v>46065</v>
      </c>
      <c r="F934">
        <v>281</v>
      </c>
      <c r="G934">
        <v>102</v>
      </c>
      <c r="H934">
        <v>179</v>
      </c>
      <c r="I934">
        <v>2241</v>
      </c>
      <c r="J934" t="s">
        <v>14</v>
      </c>
      <c r="K934" s="4">
        <f>IF(AND(ISNUMBER(Raw_Data[[#This Row],[Opening_Stock]]),ISNUMBER(Raw_Data[[#This Row],[Units_Sold]]),Raw_Data[[#This Row],[Opening_Stock]]&gt;0),Raw_Data[[#This Row],[Units_Sold]]/Raw_Data[[#This Row],[Opening_Stock]],"")</f>
        <v>0.36298932384341637</v>
      </c>
      <c r="L934" t="str">
        <f>IF(NOT(ISNUMBER(Raw_Data[[#This Row],[Sell_through%]])),"Check",IF(Raw_Data[[#This Row],[Sell_through%]]=0,"Non-moving",IF(Raw_Data[[#This Row],[Sell_through%]]&gt;=0.6,"Fast","Slow")))</f>
        <v>Slow</v>
      </c>
      <c r="M934">
        <f>IF(AND(ISNUMBER(Raw_Data[[#This Row],[Closing_Stock]]),ISNUMBER(Raw_Data[[#This Row],[Unit_Cost]])),Raw_Data[[#This Row],[Closing_Stock]]*Raw_Data[[#This Row],[Unit_Cost]],"")</f>
        <v>401139</v>
      </c>
      <c r="N93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35" spans="1:14" x14ac:dyDescent="0.3">
      <c r="A935" t="s">
        <v>1317</v>
      </c>
      <c r="B935" t="s">
        <v>16</v>
      </c>
      <c r="C935" t="s">
        <v>12</v>
      </c>
      <c r="D935" t="s">
        <v>32</v>
      </c>
      <c r="E935" s="3"/>
      <c r="F935">
        <v>136</v>
      </c>
      <c r="G935">
        <v>0</v>
      </c>
      <c r="H935">
        <v>136</v>
      </c>
      <c r="I935">
        <v>2004</v>
      </c>
      <c r="J935" t="s">
        <v>14</v>
      </c>
      <c r="K935" s="4">
        <f>IF(AND(ISNUMBER(Raw_Data[[#This Row],[Opening_Stock]]),ISNUMBER(Raw_Data[[#This Row],[Units_Sold]]),Raw_Data[[#This Row],[Opening_Stock]]&gt;0),Raw_Data[[#This Row],[Units_Sold]]/Raw_Data[[#This Row],[Opening_Stock]],"")</f>
        <v>0</v>
      </c>
      <c r="L935" t="str">
        <f>IF(NOT(ISNUMBER(Raw_Data[[#This Row],[Sell_through%]])),"Check",IF(Raw_Data[[#This Row],[Sell_through%]]=0,"Non-moving",IF(Raw_Data[[#This Row],[Sell_through%]]&gt;=0.6,"Fast","Slow")))</f>
        <v>Non-moving</v>
      </c>
      <c r="M935">
        <f>IF(AND(ISNUMBER(Raw_Data[[#This Row],[Closing_Stock]]),ISNUMBER(Raw_Data[[#This Row],[Unit_Cost]])),Raw_Data[[#This Row],[Closing_Stock]]*Raw_Data[[#This Row],[Unit_Cost]],"")</f>
        <v>272544</v>
      </c>
      <c r="N935"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36" spans="1:14" x14ac:dyDescent="0.3">
      <c r="A936" t="s">
        <v>1320</v>
      </c>
      <c r="B936" t="s">
        <v>238</v>
      </c>
      <c r="C936" t="s">
        <v>28</v>
      </c>
      <c r="D936" t="s">
        <v>36</v>
      </c>
      <c r="E936" s="3">
        <v>46158</v>
      </c>
      <c r="F936">
        <v>161</v>
      </c>
      <c r="G936">
        <v>160</v>
      </c>
      <c r="H936">
        <v>1</v>
      </c>
      <c r="I936">
        <v>905</v>
      </c>
      <c r="J936" t="s">
        <v>17</v>
      </c>
      <c r="K936" s="4">
        <f>IF(AND(ISNUMBER(Raw_Data[[#This Row],[Opening_Stock]]),ISNUMBER(Raw_Data[[#This Row],[Units_Sold]]),Raw_Data[[#This Row],[Opening_Stock]]&gt;0),Raw_Data[[#This Row],[Units_Sold]]/Raw_Data[[#This Row],[Opening_Stock]],"")</f>
        <v>0.99378881987577639</v>
      </c>
      <c r="L936" t="str">
        <f>IF(NOT(ISNUMBER(Raw_Data[[#This Row],[Sell_through%]])),"Check",IF(Raw_Data[[#This Row],[Sell_through%]]=0,"Non-moving",IF(Raw_Data[[#This Row],[Sell_through%]]&gt;=0.6,"Fast","Slow")))</f>
        <v>Fast</v>
      </c>
      <c r="M936">
        <f>IF(AND(ISNUMBER(Raw_Data[[#This Row],[Closing_Stock]]),ISNUMBER(Raw_Data[[#This Row],[Unit_Cost]])),Raw_Data[[#This Row],[Closing_Stock]]*Raw_Data[[#This Row],[Unit_Cost]],"")</f>
        <v>905</v>
      </c>
      <c r="N936"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937" spans="1:14" x14ac:dyDescent="0.3">
      <c r="A937" t="s">
        <v>1322</v>
      </c>
      <c r="B937" t="s">
        <v>236</v>
      </c>
      <c r="C937" t="s">
        <v>12</v>
      </c>
      <c r="D937" t="s">
        <v>32</v>
      </c>
      <c r="E937" s="3">
        <v>46183</v>
      </c>
      <c r="F937">
        <v>294</v>
      </c>
      <c r="G937">
        <v>108</v>
      </c>
      <c r="H937">
        <v>186</v>
      </c>
      <c r="I937">
        <v>2350</v>
      </c>
      <c r="J937" t="s">
        <v>14</v>
      </c>
      <c r="K937" s="4">
        <f>IF(AND(ISNUMBER(Raw_Data[[#This Row],[Opening_Stock]]),ISNUMBER(Raw_Data[[#This Row],[Units_Sold]]),Raw_Data[[#This Row],[Opening_Stock]]&gt;0),Raw_Data[[#This Row],[Units_Sold]]/Raw_Data[[#This Row],[Opening_Stock]],"")</f>
        <v>0.36734693877551022</v>
      </c>
      <c r="L937" t="str">
        <f>IF(NOT(ISNUMBER(Raw_Data[[#This Row],[Sell_through%]])),"Check",IF(Raw_Data[[#This Row],[Sell_through%]]=0,"Non-moving",IF(Raw_Data[[#This Row],[Sell_through%]]&gt;=0.6,"Fast","Slow")))</f>
        <v>Slow</v>
      </c>
      <c r="M937">
        <f>IF(AND(ISNUMBER(Raw_Data[[#This Row],[Closing_Stock]]),ISNUMBER(Raw_Data[[#This Row],[Unit_Cost]])),Raw_Data[[#This Row],[Closing_Stock]]*Raw_Data[[#This Row],[Unit_Cost]],"")</f>
        <v>437100</v>
      </c>
      <c r="N937"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38" spans="1:14" x14ac:dyDescent="0.3">
      <c r="A938" t="s">
        <v>1323</v>
      </c>
      <c r="B938" t="s">
        <v>89</v>
      </c>
      <c r="C938" t="s">
        <v>49</v>
      </c>
      <c r="D938" t="s">
        <v>36</v>
      </c>
      <c r="E938" s="3">
        <v>46012</v>
      </c>
      <c r="F938">
        <v>231</v>
      </c>
      <c r="G938">
        <v>216</v>
      </c>
      <c r="H938">
        <v>15</v>
      </c>
      <c r="I938">
        <v>774</v>
      </c>
      <c r="J938" t="s">
        <v>17</v>
      </c>
      <c r="K938" s="4">
        <f>IF(AND(ISNUMBER(Raw_Data[[#This Row],[Opening_Stock]]),ISNUMBER(Raw_Data[[#This Row],[Units_Sold]]),Raw_Data[[#This Row],[Opening_Stock]]&gt;0),Raw_Data[[#This Row],[Units_Sold]]/Raw_Data[[#This Row],[Opening_Stock]],"")</f>
        <v>0.93506493506493504</v>
      </c>
      <c r="L938" t="str">
        <f>IF(NOT(ISNUMBER(Raw_Data[[#This Row],[Sell_through%]])),"Check",IF(Raw_Data[[#This Row],[Sell_through%]]=0,"Non-moving",IF(Raw_Data[[#This Row],[Sell_through%]]&gt;=0.6,"Fast","Slow")))</f>
        <v>Fast</v>
      </c>
      <c r="M938">
        <f>IF(AND(ISNUMBER(Raw_Data[[#This Row],[Closing_Stock]]),ISNUMBER(Raw_Data[[#This Row],[Unit_Cost]])),Raw_Data[[#This Row],[Closing_Stock]]*Raw_Data[[#This Row],[Unit_Cost]],"")</f>
        <v>11610</v>
      </c>
      <c r="N93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939" spans="1:14" x14ac:dyDescent="0.3">
      <c r="A939" t="s">
        <v>1324</v>
      </c>
      <c r="B939" t="s">
        <v>387</v>
      </c>
      <c r="C939" t="s">
        <v>12</v>
      </c>
      <c r="D939" t="s">
        <v>36</v>
      </c>
      <c r="E939" s="3"/>
      <c r="F939">
        <v>336</v>
      </c>
      <c r="G939">
        <v>0</v>
      </c>
      <c r="H939">
        <v>336</v>
      </c>
      <c r="I939">
        <v>2313</v>
      </c>
      <c r="J939" t="s">
        <v>14</v>
      </c>
      <c r="K939" s="4">
        <f>IF(AND(ISNUMBER(Raw_Data[[#This Row],[Opening_Stock]]),ISNUMBER(Raw_Data[[#This Row],[Units_Sold]]),Raw_Data[[#This Row],[Opening_Stock]]&gt;0),Raw_Data[[#This Row],[Units_Sold]]/Raw_Data[[#This Row],[Opening_Stock]],"")</f>
        <v>0</v>
      </c>
      <c r="L939" t="str">
        <f>IF(NOT(ISNUMBER(Raw_Data[[#This Row],[Sell_through%]])),"Check",IF(Raw_Data[[#This Row],[Sell_through%]]=0,"Non-moving",IF(Raw_Data[[#This Row],[Sell_through%]]&gt;=0.6,"Fast","Slow")))</f>
        <v>Non-moving</v>
      </c>
      <c r="M939">
        <f>IF(AND(ISNUMBER(Raw_Data[[#This Row],[Closing_Stock]]),ISNUMBER(Raw_Data[[#This Row],[Unit_Cost]])),Raw_Data[[#This Row],[Closing_Stock]]*Raw_Data[[#This Row],[Unit_Cost]],"")</f>
        <v>777168</v>
      </c>
      <c r="N93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40" spans="1:14" x14ac:dyDescent="0.3">
      <c r="A940" t="s">
        <v>1325</v>
      </c>
      <c r="B940" t="s">
        <v>134</v>
      </c>
      <c r="C940" t="s">
        <v>31</v>
      </c>
      <c r="D940" t="s">
        <v>36</v>
      </c>
      <c r="E940" s="3"/>
      <c r="F940">
        <v>106</v>
      </c>
      <c r="G940">
        <v>0</v>
      </c>
      <c r="H940">
        <v>106</v>
      </c>
      <c r="I940">
        <v>812</v>
      </c>
      <c r="J940" t="s">
        <v>14</v>
      </c>
      <c r="K940" s="4">
        <f>IF(AND(ISNUMBER(Raw_Data[[#This Row],[Opening_Stock]]),ISNUMBER(Raw_Data[[#This Row],[Units_Sold]]),Raw_Data[[#This Row],[Opening_Stock]]&gt;0),Raw_Data[[#This Row],[Units_Sold]]/Raw_Data[[#This Row],[Opening_Stock]],"")</f>
        <v>0</v>
      </c>
      <c r="L940" t="str">
        <f>IF(NOT(ISNUMBER(Raw_Data[[#This Row],[Sell_through%]])),"Check",IF(Raw_Data[[#This Row],[Sell_through%]]=0,"Non-moving",IF(Raw_Data[[#This Row],[Sell_through%]]&gt;=0.6,"Fast","Slow")))</f>
        <v>Non-moving</v>
      </c>
      <c r="M940">
        <f>IF(AND(ISNUMBER(Raw_Data[[#This Row],[Closing_Stock]]),ISNUMBER(Raw_Data[[#This Row],[Unit_Cost]])),Raw_Data[[#This Row],[Closing_Stock]]*Raw_Data[[#This Row],[Unit_Cost]],"")</f>
        <v>86072</v>
      </c>
      <c r="N940"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41" spans="1:14" x14ac:dyDescent="0.3">
      <c r="A941" t="s">
        <v>1327</v>
      </c>
      <c r="B941" t="s">
        <v>158</v>
      </c>
      <c r="C941" t="s">
        <v>31</v>
      </c>
      <c r="D941" t="s">
        <v>32</v>
      </c>
      <c r="E941" s="3"/>
      <c r="F941">
        <v>257</v>
      </c>
      <c r="G941">
        <v>0</v>
      </c>
      <c r="H941">
        <v>257</v>
      </c>
      <c r="I941">
        <v>1921</v>
      </c>
      <c r="J941" t="s">
        <v>14</v>
      </c>
      <c r="K941" s="4">
        <f>IF(AND(ISNUMBER(Raw_Data[[#This Row],[Opening_Stock]]),ISNUMBER(Raw_Data[[#This Row],[Units_Sold]]),Raw_Data[[#This Row],[Opening_Stock]]&gt;0),Raw_Data[[#This Row],[Units_Sold]]/Raw_Data[[#This Row],[Opening_Stock]],"")</f>
        <v>0</v>
      </c>
      <c r="L941" t="str">
        <f>IF(NOT(ISNUMBER(Raw_Data[[#This Row],[Sell_through%]])),"Check",IF(Raw_Data[[#This Row],[Sell_through%]]=0,"Non-moving",IF(Raw_Data[[#This Row],[Sell_through%]]&gt;=0.6,"Fast","Slow")))</f>
        <v>Non-moving</v>
      </c>
      <c r="M941">
        <f>IF(AND(ISNUMBER(Raw_Data[[#This Row],[Closing_Stock]]),ISNUMBER(Raw_Data[[#This Row],[Unit_Cost]])),Raw_Data[[#This Row],[Closing_Stock]]*Raw_Data[[#This Row],[Unit_Cost]],"")</f>
        <v>493697</v>
      </c>
      <c r="N94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42" spans="1:14" x14ac:dyDescent="0.3">
      <c r="A942" t="s">
        <v>1328</v>
      </c>
      <c r="B942" t="s">
        <v>89</v>
      </c>
      <c r="C942" t="s">
        <v>49</v>
      </c>
      <c r="D942" t="s">
        <v>32</v>
      </c>
      <c r="E942" s="3">
        <v>46033</v>
      </c>
      <c r="F942">
        <v>200</v>
      </c>
      <c r="G942">
        <v>38</v>
      </c>
      <c r="H942">
        <v>162</v>
      </c>
      <c r="I942">
        <v>2453</v>
      </c>
      <c r="J942" t="s">
        <v>14</v>
      </c>
      <c r="K942" s="4">
        <f>IF(AND(ISNUMBER(Raw_Data[[#This Row],[Opening_Stock]]),ISNUMBER(Raw_Data[[#This Row],[Units_Sold]]),Raw_Data[[#This Row],[Opening_Stock]]&gt;0),Raw_Data[[#This Row],[Units_Sold]]/Raw_Data[[#This Row],[Opening_Stock]],"")</f>
        <v>0.19</v>
      </c>
      <c r="L942" t="str">
        <f>IF(NOT(ISNUMBER(Raw_Data[[#This Row],[Sell_through%]])),"Check",IF(Raw_Data[[#This Row],[Sell_through%]]=0,"Non-moving",IF(Raw_Data[[#This Row],[Sell_through%]]&gt;=0.6,"Fast","Slow")))</f>
        <v>Slow</v>
      </c>
      <c r="M942">
        <f>IF(AND(ISNUMBER(Raw_Data[[#This Row],[Closing_Stock]]),ISNUMBER(Raw_Data[[#This Row],[Unit_Cost]])),Raw_Data[[#This Row],[Closing_Stock]]*Raw_Data[[#This Row],[Unit_Cost]],"")</f>
        <v>397386</v>
      </c>
      <c r="N942"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43" spans="1:14" x14ac:dyDescent="0.3">
      <c r="A943" t="s">
        <v>1331</v>
      </c>
      <c r="B943" t="s">
        <v>308</v>
      </c>
      <c r="C943" t="s">
        <v>12</v>
      </c>
      <c r="D943" t="s">
        <v>13</v>
      </c>
      <c r="E943" s="3">
        <v>46041</v>
      </c>
      <c r="F943">
        <v>363</v>
      </c>
      <c r="G943">
        <v>62</v>
      </c>
      <c r="H943">
        <v>301</v>
      </c>
      <c r="I943">
        <v>780</v>
      </c>
      <c r="J943" t="s">
        <v>14</v>
      </c>
      <c r="K943" s="4">
        <f>IF(AND(ISNUMBER(Raw_Data[[#This Row],[Opening_Stock]]),ISNUMBER(Raw_Data[[#This Row],[Units_Sold]]),Raw_Data[[#This Row],[Opening_Stock]]&gt;0),Raw_Data[[#This Row],[Units_Sold]]/Raw_Data[[#This Row],[Opening_Stock]],"")</f>
        <v>0.17079889807162535</v>
      </c>
      <c r="L943" t="str">
        <f>IF(NOT(ISNUMBER(Raw_Data[[#This Row],[Sell_through%]])),"Check",IF(Raw_Data[[#This Row],[Sell_through%]]=0,"Non-moving",IF(Raw_Data[[#This Row],[Sell_through%]]&gt;=0.6,"Fast","Slow")))</f>
        <v>Slow</v>
      </c>
      <c r="M943">
        <f>IF(AND(ISNUMBER(Raw_Data[[#This Row],[Closing_Stock]]),ISNUMBER(Raw_Data[[#This Row],[Unit_Cost]])),Raw_Data[[#This Row],[Closing_Stock]]*Raw_Data[[#This Row],[Unit_Cost]],"")</f>
        <v>234780</v>
      </c>
      <c r="N943"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44" spans="1:14" x14ac:dyDescent="0.3">
      <c r="A944" t="s">
        <v>1333</v>
      </c>
      <c r="B944" t="s">
        <v>41</v>
      </c>
      <c r="C944" t="s">
        <v>49</v>
      </c>
      <c r="D944" t="s">
        <v>21</v>
      </c>
      <c r="E944" s="3"/>
      <c r="F944">
        <v>465</v>
      </c>
      <c r="G944">
        <v>0</v>
      </c>
      <c r="H944">
        <v>465</v>
      </c>
      <c r="I944">
        <v>2137</v>
      </c>
      <c r="J944" t="s">
        <v>14</v>
      </c>
      <c r="K944" s="4">
        <f>IF(AND(ISNUMBER(Raw_Data[[#This Row],[Opening_Stock]]),ISNUMBER(Raw_Data[[#This Row],[Units_Sold]]),Raw_Data[[#This Row],[Opening_Stock]]&gt;0),Raw_Data[[#This Row],[Units_Sold]]/Raw_Data[[#This Row],[Opening_Stock]],"")</f>
        <v>0</v>
      </c>
      <c r="L944" t="str">
        <f>IF(NOT(ISNUMBER(Raw_Data[[#This Row],[Sell_through%]])),"Check",IF(Raw_Data[[#This Row],[Sell_through%]]=0,"Non-moving",IF(Raw_Data[[#This Row],[Sell_through%]]&gt;=0.6,"Fast","Slow")))</f>
        <v>Non-moving</v>
      </c>
      <c r="M944">
        <f>IF(AND(ISNUMBER(Raw_Data[[#This Row],[Closing_Stock]]),ISNUMBER(Raw_Data[[#This Row],[Unit_Cost]])),Raw_Data[[#This Row],[Closing_Stock]]*Raw_Data[[#This Row],[Unit_Cost]],"")</f>
        <v>993705</v>
      </c>
      <c r="N944"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45" spans="1:14" x14ac:dyDescent="0.3">
      <c r="A945" t="s">
        <v>1334</v>
      </c>
      <c r="B945" t="s">
        <v>367</v>
      </c>
      <c r="C945" t="s">
        <v>35</v>
      </c>
      <c r="D945" t="s">
        <v>36</v>
      </c>
      <c r="E945" s="3">
        <v>46004</v>
      </c>
      <c r="H945">
        <v>11</v>
      </c>
      <c r="I945">
        <v>1425</v>
      </c>
      <c r="J945" t="s">
        <v>17</v>
      </c>
      <c r="K945" s="4" t="str">
        <f>IF(AND(ISNUMBER(Raw_Data[[#This Row],[Opening_Stock]]),ISNUMBER(Raw_Data[[#This Row],[Units_Sold]]),Raw_Data[[#This Row],[Opening_Stock]]&gt;0),Raw_Data[[#This Row],[Units_Sold]]/Raw_Data[[#This Row],[Opening_Stock]],"")</f>
        <v/>
      </c>
      <c r="L945" t="str">
        <f>IF(NOT(ISNUMBER(Raw_Data[[#This Row],[Sell_through%]])),"Check",IF(Raw_Data[[#This Row],[Sell_through%]]=0,"Non-moving",IF(Raw_Data[[#This Row],[Sell_through%]]&gt;=0.6,"Fast","Slow")))</f>
        <v>Check</v>
      </c>
      <c r="M945">
        <f>IF(AND(ISNUMBER(Raw_Data[[#This Row],[Closing_Stock]]),ISNUMBER(Raw_Data[[#This Row],[Unit_Cost]])),Raw_Data[[#This Row],[Closing_Stock]]*Raw_Data[[#This Row],[Unit_Cost]],"")</f>
        <v>15675</v>
      </c>
      <c r="N945" t="str">
        <f>IF(AND(Raw_Data[[#This Row],[Movement_Class]]="Fast",OR(Raw_Data[[#This Row],[Stock_Status]]="Low Stock",Raw_Data[[#This Row],[Stock_Status]]="Out Of Stock")),"Shortage Risk",
 IF(AND(OR(Raw_Data[[#This Row],[Movement_Class]]="Slow",Raw_Data[[#This Row],[Movement_Class]]="Non-moving"),Raw_Data[[#This Row],[Stock_Status]]="In Stock"),"Overstock","OK"))</f>
        <v>OK</v>
      </c>
    </row>
    <row r="946" spans="1:14" x14ac:dyDescent="0.3">
      <c r="A946" t="s">
        <v>1335</v>
      </c>
      <c r="B946" t="s">
        <v>479</v>
      </c>
      <c r="C946" t="s">
        <v>31</v>
      </c>
      <c r="D946" t="s">
        <v>32</v>
      </c>
      <c r="E946" s="3">
        <v>46112</v>
      </c>
      <c r="F946">
        <v>168</v>
      </c>
      <c r="G946">
        <v>150</v>
      </c>
      <c r="H946">
        <v>18</v>
      </c>
      <c r="J946" t="s">
        <v>17</v>
      </c>
      <c r="K946" s="4">
        <f>IF(AND(ISNUMBER(Raw_Data[[#This Row],[Opening_Stock]]),ISNUMBER(Raw_Data[[#This Row],[Units_Sold]]),Raw_Data[[#This Row],[Opening_Stock]]&gt;0),Raw_Data[[#This Row],[Units_Sold]]/Raw_Data[[#This Row],[Opening_Stock]],"")</f>
        <v>0.8928571428571429</v>
      </c>
      <c r="L946" t="str">
        <f>IF(NOT(ISNUMBER(Raw_Data[[#This Row],[Sell_through%]])),"Check",IF(Raw_Data[[#This Row],[Sell_through%]]=0,"Non-moving",IF(Raw_Data[[#This Row],[Sell_through%]]&gt;=0.6,"Fast","Slow")))</f>
        <v>Fast</v>
      </c>
      <c r="M946" t="str">
        <f>IF(AND(ISNUMBER(Raw_Data[[#This Row],[Closing_Stock]]),ISNUMBER(Raw_Data[[#This Row],[Unit_Cost]])),Raw_Data[[#This Row],[Closing_Stock]]*Raw_Data[[#This Row],[Unit_Cost]],"")</f>
        <v/>
      </c>
      <c r="N946"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947" spans="1:14" x14ac:dyDescent="0.3">
      <c r="A947" t="s">
        <v>1336</v>
      </c>
      <c r="B947" t="s">
        <v>422</v>
      </c>
      <c r="C947" t="s">
        <v>12</v>
      </c>
      <c r="D947" t="s">
        <v>13</v>
      </c>
      <c r="E947" s="3">
        <v>46029</v>
      </c>
      <c r="F947">
        <v>165</v>
      </c>
      <c r="G947">
        <v>134</v>
      </c>
      <c r="H947">
        <v>31</v>
      </c>
      <c r="I947">
        <v>2889</v>
      </c>
      <c r="J947" t="s">
        <v>17</v>
      </c>
      <c r="K947" s="4">
        <f>IF(AND(ISNUMBER(Raw_Data[[#This Row],[Opening_Stock]]),ISNUMBER(Raw_Data[[#This Row],[Units_Sold]]),Raw_Data[[#This Row],[Opening_Stock]]&gt;0),Raw_Data[[#This Row],[Units_Sold]]/Raw_Data[[#This Row],[Opening_Stock]],"")</f>
        <v>0.81212121212121213</v>
      </c>
      <c r="L947" t="str">
        <f>IF(NOT(ISNUMBER(Raw_Data[[#This Row],[Sell_through%]])),"Check",IF(Raw_Data[[#This Row],[Sell_through%]]=0,"Non-moving",IF(Raw_Data[[#This Row],[Sell_through%]]&gt;=0.6,"Fast","Slow")))</f>
        <v>Fast</v>
      </c>
      <c r="M947">
        <f>IF(AND(ISNUMBER(Raw_Data[[#This Row],[Closing_Stock]]),ISNUMBER(Raw_Data[[#This Row],[Unit_Cost]])),Raw_Data[[#This Row],[Closing_Stock]]*Raw_Data[[#This Row],[Unit_Cost]],"")</f>
        <v>89559</v>
      </c>
      <c r="N947"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948" spans="1:14" x14ac:dyDescent="0.3">
      <c r="A948" t="s">
        <v>1337</v>
      </c>
      <c r="B948" t="s">
        <v>234</v>
      </c>
      <c r="C948" t="s">
        <v>28</v>
      </c>
      <c r="D948" t="s">
        <v>32</v>
      </c>
      <c r="E948" s="3">
        <v>46039</v>
      </c>
      <c r="F948">
        <v>267</v>
      </c>
      <c r="G948">
        <v>245</v>
      </c>
      <c r="H948">
        <v>27</v>
      </c>
      <c r="I948">
        <v>834</v>
      </c>
      <c r="J948" t="s">
        <v>17</v>
      </c>
      <c r="K948" s="4">
        <f>IF(AND(ISNUMBER(Raw_Data[[#This Row],[Opening_Stock]]),ISNUMBER(Raw_Data[[#This Row],[Units_Sold]]),Raw_Data[[#This Row],[Opening_Stock]]&gt;0),Raw_Data[[#This Row],[Units_Sold]]/Raw_Data[[#This Row],[Opening_Stock]],"")</f>
        <v>0.91760299625468167</v>
      </c>
      <c r="L948" t="str">
        <f>IF(NOT(ISNUMBER(Raw_Data[[#This Row],[Sell_through%]])),"Check",IF(Raw_Data[[#This Row],[Sell_through%]]=0,"Non-moving",IF(Raw_Data[[#This Row],[Sell_through%]]&gt;=0.6,"Fast","Slow")))</f>
        <v>Fast</v>
      </c>
      <c r="M948">
        <f>IF(AND(ISNUMBER(Raw_Data[[#This Row],[Closing_Stock]]),ISNUMBER(Raw_Data[[#This Row],[Unit_Cost]])),Raw_Data[[#This Row],[Closing_Stock]]*Raw_Data[[#This Row],[Unit_Cost]],"")</f>
        <v>22518</v>
      </c>
      <c r="N948"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949" spans="1:14" x14ac:dyDescent="0.3">
      <c r="A949" t="s">
        <v>1338</v>
      </c>
      <c r="B949" t="s">
        <v>112</v>
      </c>
      <c r="C949" t="s">
        <v>35</v>
      </c>
      <c r="D949" t="s">
        <v>21</v>
      </c>
      <c r="E949" s="3">
        <v>46223</v>
      </c>
      <c r="F949">
        <v>200</v>
      </c>
      <c r="G949">
        <v>78</v>
      </c>
      <c r="I949">
        <v>1925</v>
      </c>
      <c r="J949" t="s">
        <v>14</v>
      </c>
      <c r="K949" s="4">
        <f>IF(AND(ISNUMBER(Raw_Data[[#This Row],[Opening_Stock]]),ISNUMBER(Raw_Data[[#This Row],[Units_Sold]]),Raw_Data[[#This Row],[Opening_Stock]]&gt;0),Raw_Data[[#This Row],[Units_Sold]]/Raw_Data[[#This Row],[Opening_Stock]],"")</f>
        <v>0.39</v>
      </c>
      <c r="L949" t="str">
        <f>IF(NOT(ISNUMBER(Raw_Data[[#This Row],[Sell_through%]])),"Check",IF(Raw_Data[[#This Row],[Sell_through%]]=0,"Non-moving",IF(Raw_Data[[#This Row],[Sell_through%]]&gt;=0.6,"Fast","Slow")))</f>
        <v>Slow</v>
      </c>
      <c r="M949" t="str">
        <f>IF(AND(ISNUMBER(Raw_Data[[#This Row],[Closing_Stock]]),ISNUMBER(Raw_Data[[#This Row],[Unit_Cost]])),Raw_Data[[#This Row],[Closing_Stock]]*Raw_Data[[#This Row],[Unit_Cost]],"")</f>
        <v/>
      </c>
      <c r="N949"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row r="950" spans="1:14" x14ac:dyDescent="0.3">
      <c r="A950" t="s">
        <v>1340</v>
      </c>
      <c r="B950" t="s">
        <v>146</v>
      </c>
      <c r="C950" t="s">
        <v>35</v>
      </c>
      <c r="D950" t="s">
        <v>13</v>
      </c>
      <c r="E950" s="3">
        <v>46089</v>
      </c>
      <c r="F950">
        <v>71</v>
      </c>
      <c r="G950">
        <v>55</v>
      </c>
      <c r="H950">
        <v>16</v>
      </c>
      <c r="I950">
        <v>2289</v>
      </c>
      <c r="J950" t="s">
        <v>17</v>
      </c>
      <c r="K950" s="4">
        <f>IF(AND(ISNUMBER(Raw_Data[[#This Row],[Opening_Stock]]),ISNUMBER(Raw_Data[[#This Row],[Units_Sold]]),Raw_Data[[#This Row],[Opening_Stock]]&gt;0),Raw_Data[[#This Row],[Units_Sold]]/Raw_Data[[#This Row],[Opening_Stock]],"")</f>
        <v>0.77464788732394363</v>
      </c>
      <c r="L950" t="str">
        <f>IF(NOT(ISNUMBER(Raw_Data[[#This Row],[Sell_through%]])),"Check",IF(Raw_Data[[#This Row],[Sell_through%]]=0,"Non-moving",IF(Raw_Data[[#This Row],[Sell_through%]]&gt;=0.6,"Fast","Slow")))</f>
        <v>Fast</v>
      </c>
      <c r="M950">
        <f>IF(AND(ISNUMBER(Raw_Data[[#This Row],[Closing_Stock]]),ISNUMBER(Raw_Data[[#This Row],[Unit_Cost]])),Raw_Data[[#This Row],[Closing_Stock]]*Raw_Data[[#This Row],[Unit_Cost]],"")</f>
        <v>36624</v>
      </c>
      <c r="N950" t="str">
        <f>IF(AND(Raw_Data[[#This Row],[Movement_Class]]="Fast",OR(Raw_Data[[#This Row],[Stock_Status]]="Low Stock",Raw_Data[[#This Row],[Stock_Status]]="Out Of Stock")),"Shortage Risk",
 IF(AND(OR(Raw_Data[[#This Row],[Movement_Class]]="Slow",Raw_Data[[#This Row],[Movement_Class]]="Non-moving"),Raw_Data[[#This Row],[Stock_Status]]="In Stock"),"Overstock","OK"))</f>
        <v>Shortage Risk</v>
      </c>
    </row>
    <row r="951" spans="1:14" x14ac:dyDescent="0.3">
      <c r="A951" t="s">
        <v>1341</v>
      </c>
      <c r="B951" t="s">
        <v>23</v>
      </c>
      <c r="C951" t="s">
        <v>35</v>
      </c>
      <c r="D951" t="s">
        <v>21</v>
      </c>
      <c r="E951" s="3"/>
      <c r="F951">
        <v>425</v>
      </c>
      <c r="G951">
        <v>0</v>
      </c>
      <c r="H951">
        <v>425</v>
      </c>
      <c r="I951">
        <v>1898</v>
      </c>
      <c r="J951" t="s">
        <v>14</v>
      </c>
      <c r="K951" s="4">
        <f>IF(AND(ISNUMBER(Raw_Data[[#This Row],[Opening_Stock]]),ISNUMBER(Raw_Data[[#This Row],[Units_Sold]]),Raw_Data[[#This Row],[Opening_Stock]]&gt;0),Raw_Data[[#This Row],[Units_Sold]]/Raw_Data[[#This Row],[Opening_Stock]],"")</f>
        <v>0</v>
      </c>
      <c r="L951" t="str">
        <f>IF(NOT(ISNUMBER(Raw_Data[[#This Row],[Sell_through%]])),"Check",IF(Raw_Data[[#This Row],[Sell_through%]]=0,"Non-moving",IF(Raw_Data[[#This Row],[Sell_through%]]&gt;=0.6,"Fast","Slow")))</f>
        <v>Non-moving</v>
      </c>
      <c r="M951">
        <f>IF(AND(ISNUMBER(Raw_Data[[#This Row],[Closing_Stock]]),ISNUMBER(Raw_Data[[#This Row],[Unit_Cost]])),Raw_Data[[#This Row],[Closing_Stock]]*Raw_Data[[#This Row],[Unit_Cost]],"")</f>
        <v>806650</v>
      </c>
      <c r="N951" t="str">
        <f>IF(AND(Raw_Data[[#This Row],[Movement_Class]]="Fast",OR(Raw_Data[[#This Row],[Stock_Status]]="Low Stock",Raw_Data[[#This Row],[Stock_Status]]="Out Of Stock")),"Shortage Risk",
 IF(AND(OR(Raw_Data[[#This Row],[Movement_Class]]="Slow",Raw_Data[[#This Row],[Movement_Class]]="Non-moving"),Raw_Data[[#This Row],[Stock_Status]]="In Stock"),"Overstock","OK"))</f>
        <v>Overstock</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workbookViewId="0">
      <pane ySplit="1" topLeftCell="A2" activePane="bottomLeft" state="frozen"/>
      <selection pane="bottomLeft"/>
    </sheetView>
  </sheetViews>
  <sheetFormatPr defaultRowHeight="14.4" x14ac:dyDescent="0.3"/>
  <cols>
    <col min="1" max="1" width="11" customWidth="1"/>
    <col min="2" max="2" width="26" customWidth="1"/>
    <col min="3" max="3" width="18" customWidth="1"/>
    <col min="4" max="4" width="14" customWidth="1"/>
    <col min="5" max="5" width="16" customWidth="1"/>
    <col min="6" max="6" width="14" customWidth="1"/>
    <col min="7" max="7" width="12" customWidth="1"/>
    <col min="8" max="8" width="14" customWidth="1"/>
    <col min="9" max="9" width="12" customWidth="1"/>
    <col min="10" max="10" width="14"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t="s">
        <v>10</v>
      </c>
      <c r="B2" t="s">
        <v>11</v>
      </c>
      <c r="C2" t="s">
        <v>12</v>
      </c>
      <c r="D2" t="s">
        <v>13</v>
      </c>
      <c r="E2" s="1">
        <v>46005</v>
      </c>
      <c r="F2">
        <v>204</v>
      </c>
      <c r="G2">
        <v>48</v>
      </c>
      <c r="H2">
        <v>156</v>
      </c>
      <c r="I2">
        <v>2074</v>
      </c>
      <c r="J2" t="s">
        <v>14</v>
      </c>
    </row>
    <row r="3" spans="1:10" x14ac:dyDescent="0.3">
      <c r="A3" t="s">
        <v>15</v>
      </c>
      <c r="B3" t="s">
        <v>16</v>
      </c>
      <c r="C3" t="s">
        <v>12</v>
      </c>
      <c r="D3" t="s">
        <v>13</v>
      </c>
      <c r="E3" s="1">
        <v>46198</v>
      </c>
      <c r="F3">
        <v>341</v>
      </c>
      <c r="G3">
        <v>329</v>
      </c>
      <c r="H3">
        <v>12</v>
      </c>
      <c r="I3">
        <v>2389</v>
      </c>
      <c r="J3" t="s">
        <v>17</v>
      </c>
    </row>
    <row r="4" spans="1:10" x14ac:dyDescent="0.3">
      <c r="A4" t="s">
        <v>18</v>
      </c>
      <c r="B4" t="s">
        <v>19</v>
      </c>
      <c r="C4" t="s">
        <v>20</v>
      </c>
      <c r="D4" t="s">
        <v>21</v>
      </c>
      <c r="E4" s="1">
        <v>46030</v>
      </c>
      <c r="F4">
        <v>70</v>
      </c>
      <c r="G4">
        <v>55</v>
      </c>
      <c r="H4">
        <v>15</v>
      </c>
      <c r="I4">
        <v>1025</v>
      </c>
      <c r="J4" t="s">
        <v>17</v>
      </c>
    </row>
    <row r="5" spans="1:10" x14ac:dyDescent="0.3">
      <c r="A5" t="s">
        <v>22</v>
      </c>
      <c r="B5" t="s">
        <v>23</v>
      </c>
      <c r="C5" t="s">
        <v>24</v>
      </c>
      <c r="D5" t="s">
        <v>25</v>
      </c>
      <c r="E5" s="1">
        <v>46088</v>
      </c>
      <c r="F5">
        <v>486</v>
      </c>
      <c r="G5">
        <v>394</v>
      </c>
      <c r="H5">
        <v>92</v>
      </c>
      <c r="I5">
        <v>1492</v>
      </c>
      <c r="J5" t="s">
        <v>14</v>
      </c>
    </row>
    <row r="6" spans="1:10" x14ac:dyDescent="0.3">
      <c r="A6" t="s">
        <v>26</v>
      </c>
      <c r="B6" t="s">
        <v>27</v>
      </c>
      <c r="C6" t="s">
        <v>28</v>
      </c>
      <c r="D6" t="s">
        <v>21</v>
      </c>
      <c r="E6" s="1">
        <v>46066</v>
      </c>
      <c r="F6">
        <v>206</v>
      </c>
      <c r="G6">
        <v>52</v>
      </c>
      <c r="H6">
        <v>154</v>
      </c>
      <c r="I6">
        <v>504</v>
      </c>
      <c r="J6" t="s">
        <v>14</v>
      </c>
    </row>
    <row r="7" spans="1:10" x14ac:dyDescent="0.3">
      <c r="A7" t="s">
        <v>29</v>
      </c>
      <c r="B7" t="s">
        <v>30</v>
      </c>
      <c r="C7" t="s">
        <v>31</v>
      </c>
      <c r="D7" t="s">
        <v>32</v>
      </c>
      <c r="E7" s="1">
        <v>46210</v>
      </c>
      <c r="F7">
        <v>250</v>
      </c>
      <c r="G7">
        <v>212</v>
      </c>
      <c r="H7">
        <v>38</v>
      </c>
      <c r="I7">
        <v>731</v>
      </c>
      <c r="J7" t="s">
        <v>17</v>
      </c>
    </row>
    <row r="8" spans="1:10" x14ac:dyDescent="0.3">
      <c r="A8" t="s">
        <v>33</v>
      </c>
      <c r="B8" t="s">
        <v>34</v>
      </c>
      <c r="C8" t="s">
        <v>35</v>
      </c>
      <c r="D8" t="s">
        <v>36</v>
      </c>
      <c r="E8" s="1">
        <v>46221</v>
      </c>
      <c r="F8">
        <v>66</v>
      </c>
      <c r="G8">
        <v>16</v>
      </c>
      <c r="H8">
        <v>50</v>
      </c>
      <c r="I8" t="s">
        <v>37</v>
      </c>
      <c r="J8" t="s">
        <v>17</v>
      </c>
    </row>
    <row r="9" spans="1:10" x14ac:dyDescent="0.3">
      <c r="A9" t="s">
        <v>38</v>
      </c>
      <c r="B9" t="s">
        <v>39</v>
      </c>
      <c r="C9" t="s">
        <v>28</v>
      </c>
      <c r="D9" t="s">
        <v>13</v>
      </c>
      <c r="E9" s="1">
        <v>46127</v>
      </c>
      <c r="F9">
        <v>291</v>
      </c>
      <c r="G9">
        <v>287</v>
      </c>
      <c r="I9">
        <v>317</v>
      </c>
      <c r="J9" t="s">
        <v>17</v>
      </c>
    </row>
    <row r="10" spans="1:10" x14ac:dyDescent="0.3">
      <c r="A10" t="s">
        <v>40</v>
      </c>
      <c r="B10" t="s">
        <v>41</v>
      </c>
      <c r="C10" t="s">
        <v>42</v>
      </c>
      <c r="D10" t="s">
        <v>13</v>
      </c>
      <c r="E10" s="1">
        <v>46217</v>
      </c>
      <c r="F10">
        <v>280</v>
      </c>
      <c r="G10">
        <v>256</v>
      </c>
      <c r="H10">
        <v>24</v>
      </c>
      <c r="I10">
        <v>2097</v>
      </c>
      <c r="J10" t="s">
        <v>43</v>
      </c>
    </row>
    <row r="11" spans="1:10" x14ac:dyDescent="0.3">
      <c r="A11" t="s">
        <v>44</v>
      </c>
      <c r="B11" t="s">
        <v>45</v>
      </c>
      <c r="C11" t="s">
        <v>35</v>
      </c>
      <c r="D11" t="s">
        <v>13</v>
      </c>
      <c r="E11" s="1">
        <v>46002</v>
      </c>
      <c r="F11">
        <v>410</v>
      </c>
      <c r="G11">
        <v>316</v>
      </c>
      <c r="H11">
        <v>94</v>
      </c>
      <c r="I11">
        <v>1746</v>
      </c>
      <c r="J11" t="s">
        <v>46</v>
      </c>
    </row>
    <row r="12" spans="1:10" x14ac:dyDescent="0.3">
      <c r="A12" t="s">
        <v>47</v>
      </c>
      <c r="B12" t="s">
        <v>48</v>
      </c>
      <c r="C12" t="s">
        <v>49</v>
      </c>
      <c r="D12" t="s">
        <v>21</v>
      </c>
      <c r="E12" s="1">
        <v>46214</v>
      </c>
      <c r="F12">
        <v>235</v>
      </c>
      <c r="G12">
        <v>56</v>
      </c>
      <c r="H12">
        <v>179</v>
      </c>
      <c r="I12">
        <v>1255</v>
      </c>
      <c r="J12" t="s">
        <v>14</v>
      </c>
    </row>
    <row r="13" spans="1:10" x14ac:dyDescent="0.3">
      <c r="A13" t="s">
        <v>50</v>
      </c>
      <c r="B13" t="s">
        <v>51</v>
      </c>
      <c r="C13" t="s">
        <v>52</v>
      </c>
      <c r="D13" t="s">
        <v>36</v>
      </c>
      <c r="F13">
        <v>411</v>
      </c>
      <c r="G13">
        <v>0</v>
      </c>
      <c r="H13">
        <v>411</v>
      </c>
      <c r="I13">
        <v>1104</v>
      </c>
      <c r="J13" t="s">
        <v>14</v>
      </c>
    </row>
    <row r="14" spans="1:10" x14ac:dyDescent="0.3">
      <c r="A14" t="s">
        <v>53</v>
      </c>
      <c r="B14" t="s">
        <v>54</v>
      </c>
      <c r="C14" t="s">
        <v>31</v>
      </c>
      <c r="D14" t="s">
        <v>36</v>
      </c>
      <c r="E14" s="1">
        <v>46145</v>
      </c>
      <c r="F14">
        <v>187</v>
      </c>
      <c r="G14">
        <v>60</v>
      </c>
      <c r="H14">
        <v>127</v>
      </c>
      <c r="I14">
        <v>2167</v>
      </c>
      <c r="J14" t="s">
        <v>14</v>
      </c>
    </row>
    <row r="15" spans="1:10" x14ac:dyDescent="0.3">
      <c r="A15" t="s">
        <v>55</v>
      </c>
      <c r="B15" t="s">
        <v>34</v>
      </c>
      <c r="C15" t="s">
        <v>24</v>
      </c>
      <c r="D15" t="s">
        <v>21</v>
      </c>
      <c r="E15" s="1">
        <v>46181</v>
      </c>
      <c r="F15">
        <v>69</v>
      </c>
      <c r="G15">
        <v>58</v>
      </c>
      <c r="H15">
        <v>11</v>
      </c>
      <c r="I15">
        <v>198</v>
      </c>
      <c r="J15" t="s">
        <v>17</v>
      </c>
    </row>
    <row r="16" spans="1:10" x14ac:dyDescent="0.3">
      <c r="A16" t="s">
        <v>56</v>
      </c>
      <c r="B16" t="s">
        <v>57</v>
      </c>
      <c r="C16" t="s">
        <v>28</v>
      </c>
      <c r="D16" t="s">
        <v>13</v>
      </c>
      <c r="E16" t="s">
        <v>58</v>
      </c>
      <c r="F16">
        <v>375</v>
      </c>
      <c r="G16">
        <v>0</v>
      </c>
      <c r="H16">
        <v>375</v>
      </c>
      <c r="I16">
        <v>697</v>
      </c>
      <c r="J16" t="s">
        <v>14</v>
      </c>
    </row>
    <row r="17" spans="1:10" x14ac:dyDescent="0.3">
      <c r="A17" t="s">
        <v>59</v>
      </c>
      <c r="B17" t="s">
        <v>60</v>
      </c>
      <c r="C17" t="s">
        <v>28</v>
      </c>
      <c r="D17" t="s">
        <v>32</v>
      </c>
      <c r="F17">
        <v>348</v>
      </c>
      <c r="G17">
        <v>0</v>
      </c>
      <c r="H17">
        <v>348</v>
      </c>
      <c r="I17">
        <v>146</v>
      </c>
      <c r="J17" t="s">
        <v>14</v>
      </c>
    </row>
    <row r="18" spans="1:10" x14ac:dyDescent="0.3">
      <c r="A18" t="s">
        <v>61</v>
      </c>
      <c r="B18" t="s">
        <v>62</v>
      </c>
      <c r="C18" t="s">
        <v>49</v>
      </c>
      <c r="D18" t="s">
        <v>63</v>
      </c>
      <c r="F18">
        <v>450</v>
      </c>
      <c r="G18">
        <v>0</v>
      </c>
      <c r="H18">
        <v>450</v>
      </c>
      <c r="I18">
        <v>1593</v>
      </c>
      <c r="J18" t="s">
        <v>14</v>
      </c>
    </row>
    <row r="19" spans="1:10" x14ac:dyDescent="0.3">
      <c r="A19" t="s">
        <v>64</v>
      </c>
      <c r="B19" t="s">
        <v>65</v>
      </c>
      <c r="C19" t="s">
        <v>49</v>
      </c>
      <c r="D19" t="s">
        <v>21</v>
      </c>
      <c r="E19" s="1">
        <v>46154</v>
      </c>
      <c r="G19">
        <v>51</v>
      </c>
      <c r="H19">
        <v>291</v>
      </c>
      <c r="I19">
        <v>2879</v>
      </c>
      <c r="J19" t="s">
        <v>14</v>
      </c>
    </row>
    <row r="20" spans="1:10" x14ac:dyDescent="0.3">
      <c r="A20" t="s">
        <v>66</v>
      </c>
      <c r="B20" t="s">
        <v>67</v>
      </c>
      <c r="C20" t="s">
        <v>31</v>
      </c>
      <c r="D20" t="s">
        <v>32</v>
      </c>
      <c r="E20" s="1">
        <v>46150</v>
      </c>
      <c r="F20">
        <v>104</v>
      </c>
      <c r="G20">
        <v>74</v>
      </c>
      <c r="H20">
        <v>30</v>
      </c>
      <c r="I20">
        <v>394</v>
      </c>
      <c r="J20" t="s">
        <v>68</v>
      </c>
    </row>
    <row r="21" spans="1:10" x14ac:dyDescent="0.3">
      <c r="A21" t="s">
        <v>69</v>
      </c>
      <c r="B21" t="s">
        <v>23</v>
      </c>
      <c r="C21" t="s">
        <v>35</v>
      </c>
      <c r="D21" t="s">
        <v>13</v>
      </c>
      <c r="E21" s="1">
        <v>46085</v>
      </c>
      <c r="F21">
        <v>180</v>
      </c>
      <c r="G21">
        <v>38</v>
      </c>
      <c r="H21">
        <v>142</v>
      </c>
      <c r="I21">
        <v>2718</v>
      </c>
      <c r="J21" t="s">
        <v>14</v>
      </c>
    </row>
    <row r="22" spans="1:10" x14ac:dyDescent="0.3">
      <c r="A22" t="s">
        <v>70</v>
      </c>
      <c r="B22" t="s">
        <v>71</v>
      </c>
      <c r="C22" t="s">
        <v>35</v>
      </c>
      <c r="D22" t="s">
        <v>13</v>
      </c>
      <c r="E22" t="s">
        <v>58</v>
      </c>
      <c r="F22">
        <v>461</v>
      </c>
      <c r="G22">
        <v>0</v>
      </c>
      <c r="H22">
        <v>461</v>
      </c>
      <c r="I22">
        <v>2762</v>
      </c>
      <c r="J22" t="s">
        <v>14</v>
      </c>
    </row>
    <row r="23" spans="1:10" x14ac:dyDescent="0.3">
      <c r="A23" t="s">
        <v>72</v>
      </c>
      <c r="B23" t="s">
        <v>73</v>
      </c>
      <c r="C23" t="s">
        <v>74</v>
      </c>
      <c r="D23" t="s">
        <v>13</v>
      </c>
      <c r="E23" s="1">
        <v>46031</v>
      </c>
      <c r="F23">
        <v>477</v>
      </c>
      <c r="G23">
        <v>408</v>
      </c>
      <c r="H23">
        <v>69</v>
      </c>
      <c r="I23" t="s">
        <v>75</v>
      </c>
      <c r="J23" t="s">
        <v>14</v>
      </c>
    </row>
    <row r="24" spans="1:10" x14ac:dyDescent="0.3">
      <c r="A24" t="s">
        <v>76</v>
      </c>
      <c r="B24" t="s">
        <v>73</v>
      </c>
      <c r="C24" t="s">
        <v>52</v>
      </c>
      <c r="D24" t="s">
        <v>21</v>
      </c>
      <c r="F24">
        <v>354</v>
      </c>
      <c r="G24">
        <v>0</v>
      </c>
      <c r="H24">
        <v>354</v>
      </c>
      <c r="I24">
        <v>339</v>
      </c>
      <c r="J24" t="s">
        <v>14</v>
      </c>
    </row>
    <row r="25" spans="1:10" x14ac:dyDescent="0.3">
      <c r="A25" t="s">
        <v>77</v>
      </c>
      <c r="B25" t="s">
        <v>78</v>
      </c>
      <c r="C25" t="s">
        <v>35</v>
      </c>
      <c r="D25" t="s">
        <v>36</v>
      </c>
      <c r="F25">
        <v>331</v>
      </c>
      <c r="G25">
        <v>0</v>
      </c>
      <c r="H25">
        <v>331</v>
      </c>
      <c r="I25">
        <v>332</v>
      </c>
      <c r="J25" t="s">
        <v>14</v>
      </c>
    </row>
    <row r="26" spans="1:10" x14ac:dyDescent="0.3">
      <c r="A26" t="s">
        <v>79</v>
      </c>
      <c r="B26" t="s">
        <v>80</v>
      </c>
      <c r="C26" t="s">
        <v>12</v>
      </c>
      <c r="D26" t="s">
        <v>36</v>
      </c>
      <c r="E26" t="s">
        <v>58</v>
      </c>
      <c r="F26">
        <v>55</v>
      </c>
      <c r="G26">
        <v>0</v>
      </c>
      <c r="H26">
        <v>55</v>
      </c>
      <c r="I26" t="s">
        <v>81</v>
      </c>
      <c r="J26" t="s">
        <v>17</v>
      </c>
    </row>
    <row r="27" spans="1:10" x14ac:dyDescent="0.3">
      <c r="A27" t="s">
        <v>82</v>
      </c>
      <c r="B27" t="s">
        <v>78</v>
      </c>
      <c r="C27" t="s">
        <v>35</v>
      </c>
      <c r="D27" t="s">
        <v>13</v>
      </c>
      <c r="E27" s="1">
        <v>46127</v>
      </c>
      <c r="F27">
        <v>222</v>
      </c>
      <c r="G27">
        <v>56</v>
      </c>
      <c r="H27">
        <v>166</v>
      </c>
      <c r="I27">
        <v>1631</v>
      </c>
      <c r="J27" t="s">
        <v>14</v>
      </c>
    </row>
    <row r="28" spans="1:10" x14ac:dyDescent="0.3">
      <c r="A28" t="s">
        <v>83</v>
      </c>
      <c r="B28" t="s">
        <v>84</v>
      </c>
      <c r="C28" t="s">
        <v>28</v>
      </c>
      <c r="D28" t="s">
        <v>21</v>
      </c>
      <c r="E28" s="1">
        <v>46155</v>
      </c>
      <c r="F28">
        <v>103</v>
      </c>
      <c r="G28">
        <v>15</v>
      </c>
      <c r="H28">
        <v>88</v>
      </c>
      <c r="I28">
        <v>2172</v>
      </c>
      <c r="J28" t="s">
        <v>85</v>
      </c>
    </row>
    <row r="29" spans="1:10" x14ac:dyDescent="0.3">
      <c r="A29" t="s">
        <v>86</v>
      </c>
      <c r="B29" t="s">
        <v>87</v>
      </c>
      <c r="C29" t="s">
        <v>28</v>
      </c>
      <c r="D29" t="s">
        <v>32</v>
      </c>
      <c r="E29" s="1">
        <v>46287</v>
      </c>
      <c r="F29">
        <v>132</v>
      </c>
      <c r="G29">
        <v>41</v>
      </c>
      <c r="H29">
        <v>91</v>
      </c>
      <c r="I29">
        <v>2601</v>
      </c>
      <c r="J29" t="s">
        <v>14</v>
      </c>
    </row>
    <row r="30" spans="1:10" x14ac:dyDescent="0.3">
      <c r="A30" t="s">
        <v>88</v>
      </c>
      <c r="B30" t="s">
        <v>89</v>
      </c>
      <c r="C30" t="s">
        <v>49</v>
      </c>
      <c r="D30" t="s">
        <v>13</v>
      </c>
      <c r="E30" t="s">
        <v>58</v>
      </c>
      <c r="F30">
        <v>361</v>
      </c>
      <c r="G30">
        <v>0</v>
      </c>
      <c r="H30">
        <v>361</v>
      </c>
      <c r="I30">
        <v>2918</v>
      </c>
      <c r="J30" t="s">
        <v>14</v>
      </c>
    </row>
    <row r="31" spans="1:10" x14ac:dyDescent="0.3">
      <c r="A31" t="s">
        <v>90</v>
      </c>
      <c r="B31" t="s">
        <v>11</v>
      </c>
      <c r="C31" t="s">
        <v>12</v>
      </c>
      <c r="D31" t="s">
        <v>21</v>
      </c>
      <c r="F31">
        <v>124</v>
      </c>
      <c r="G31">
        <v>0</v>
      </c>
      <c r="H31">
        <v>124</v>
      </c>
      <c r="I31" t="s">
        <v>91</v>
      </c>
      <c r="J31" t="s">
        <v>85</v>
      </c>
    </row>
    <row r="32" spans="1:10" x14ac:dyDescent="0.3">
      <c r="A32" t="s">
        <v>92</v>
      </c>
      <c r="B32" t="s">
        <v>93</v>
      </c>
      <c r="C32" t="s">
        <v>12</v>
      </c>
      <c r="D32" t="s">
        <v>32</v>
      </c>
      <c r="E32" s="1">
        <v>46163</v>
      </c>
      <c r="F32">
        <v>99</v>
      </c>
      <c r="G32">
        <v>91</v>
      </c>
      <c r="H32">
        <v>8</v>
      </c>
      <c r="I32">
        <v>244</v>
      </c>
      <c r="J32" t="s">
        <v>17</v>
      </c>
    </row>
    <row r="33" spans="1:10" x14ac:dyDescent="0.3">
      <c r="A33" t="s">
        <v>94</v>
      </c>
      <c r="B33" t="s">
        <v>95</v>
      </c>
      <c r="C33" t="s">
        <v>31</v>
      </c>
      <c r="D33" t="s">
        <v>32</v>
      </c>
      <c r="E33" s="1">
        <v>46028</v>
      </c>
      <c r="F33">
        <v>245</v>
      </c>
      <c r="G33">
        <v>223</v>
      </c>
      <c r="H33">
        <v>22</v>
      </c>
      <c r="I33">
        <v>77</v>
      </c>
      <c r="J33" t="s">
        <v>17</v>
      </c>
    </row>
    <row r="34" spans="1:10" x14ac:dyDescent="0.3">
      <c r="A34" t="s">
        <v>96</v>
      </c>
      <c r="B34" t="s">
        <v>41</v>
      </c>
      <c r="C34" t="s">
        <v>49</v>
      </c>
      <c r="D34" t="s">
        <v>36</v>
      </c>
      <c r="E34" s="1">
        <v>46120</v>
      </c>
      <c r="F34">
        <v>162</v>
      </c>
      <c r="G34">
        <v>18</v>
      </c>
      <c r="H34">
        <v>144</v>
      </c>
      <c r="I34">
        <v>1063</v>
      </c>
      <c r="J34" t="s">
        <v>14</v>
      </c>
    </row>
    <row r="35" spans="1:10" x14ac:dyDescent="0.3">
      <c r="A35" t="s">
        <v>97</v>
      </c>
      <c r="B35" t="s">
        <v>98</v>
      </c>
      <c r="C35" t="s">
        <v>12</v>
      </c>
      <c r="D35" t="s">
        <v>36</v>
      </c>
      <c r="E35" t="s">
        <v>58</v>
      </c>
      <c r="F35">
        <v>320</v>
      </c>
      <c r="G35">
        <v>-5</v>
      </c>
      <c r="H35">
        <v>320</v>
      </c>
      <c r="I35" t="s">
        <v>99</v>
      </c>
      <c r="J35" t="s">
        <v>14</v>
      </c>
    </row>
    <row r="36" spans="1:10" x14ac:dyDescent="0.3">
      <c r="A36" t="s">
        <v>100</v>
      </c>
      <c r="B36" t="s">
        <v>101</v>
      </c>
      <c r="C36" t="s">
        <v>12</v>
      </c>
      <c r="D36" t="s">
        <v>36</v>
      </c>
      <c r="E36" s="1">
        <v>46082</v>
      </c>
      <c r="F36">
        <v>225</v>
      </c>
      <c r="G36">
        <v>20</v>
      </c>
      <c r="H36">
        <v>205</v>
      </c>
      <c r="I36">
        <v>1712</v>
      </c>
      <c r="J36" t="s">
        <v>14</v>
      </c>
    </row>
    <row r="37" spans="1:10" x14ac:dyDescent="0.3">
      <c r="A37" t="s">
        <v>102</v>
      </c>
      <c r="B37" t="s">
        <v>23</v>
      </c>
      <c r="C37" t="s">
        <v>103</v>
      </c>
      <c r="D37" t="s">
        <v>13</v>
      </c>
      <c r="E37" s="1">
        <v>46045</v>
      </c>
      <c r="F37">
        <v>156</v>
      </c>
      <c r="G37">
        <v>112</v>
      </c>
      <c r="H37">
        <v>44</v>
      </c>
      <c r="I37">
        <v>927</v>
      </c>
      <c r="J37" t="s">
        <v>58</v>
      </c>
    </row>
    <row r="38" spans="1:10" x14ac:dyDescent="0.3">
      <c r="A38" t="s">
        <v>104</v>
      </c>
      <c r="B38" t="s">
        <v>105</v>
      </c>
      <c r="C38" t="s">
        <v>28</v>
      </c>
      <c r="D38" t="s">
        <v>36</v>
      </c>
      <c r="E38" s="1">
        <v>46002</v>
      </c>
      <c r="F38">
        <v>317</v>
      </c>
      <c r="G38">
        <v>55</v>
      </c>
      <c r="H38">
        <v>262</v>
      </c>
      <c r="I38" t="s">
        <v>106</v>
      </c>
      <c r="J38" t="s">
        <v>14</v>
      </c>
    </row>
    <row r="39" spans="1:10" x14ac:dyDescent="0.3">
      <c r="A39" t="s">
        <v>107</v>
      </c>
      <c r="B39" t="s">
        <v>108</v>
      </c>
      <c r="C39" t="s">
        <v>28</v>
      </c>
      <c r="D39" t="s">
        <v>32</v>
      </c>
      <c r="E39" s="1">
        <v>46192</v>
      </c>
      <c r="F39">
        <v>283</v>
      </c>
      <c r="G39">
        <v>208</v>
      </c>
      <c r="H39">
        <v>75</v>
      </c>
      <c r="I39" t="s">
        <v>109</v>
      </c>
      <c r="J39" t="s">
        <v>14</v>
      </c>
    </row>
    <row r="40" spans="1:10" x14ac:dyDescent="0.3">
      <c r="A40" t="s">
        <v>110</v>
      </c>
      <c r="B40" t="s">
        <v>39</v>
      </c>
      <c r="C40" t="s">
        <v>28</v>
      </c>
      <c r="D40" t="s">
        <v>13</v>
      </c>
      <c r="F40">
        <v>127</v>
      </c>
      <c r="G40">
        <v>0</v>
      </c>
      <c r="H40">
        <v>127</v>
      </c>
      <c r="I40">
        <v>1345</v>
      </c>
      <c r="J40" t="s">
        <v>14</v>
      </c>
    </row>
    <row r="41" spans="1:10" x14ac:dyDescent="0.3">
      <c r="A41" t="s">
        <v>111</v>
      </c>
      <c r="B41" t="s">
        <v>112</v>
      </c>
      <c r="C41" t="s">
        <v>58</v>
      </c>
      <c r="D41" t="s">
        <v>21</v>
      </c>
      <c r="F41">
        <v>416</v>
      </c>
      <c r="G41">
        <v>0</v>
      </c>
      <c r="H41">
        <v>416</v>
      </c>
      <c r="I41">
        <v>1147</v>
      </c>
      <c r="J41" t="s">
        <v>14</v>
      </c>
    </row>
    <row r="42" spans="1:10" x14ac:dyDescent="0.3">
      <c r="A42" t="s">
        <v>113</v>
      </c>
      <c r="B42" t="s">
        <v>112</v>
      </c>
      <c r="C42" t="s">
        <v>103</v>
      </c>
      <c r="D42" t="s">
        <v>13</v>
      </c>
      <c r="E42" s="1">
        <v>46184</v>
      </c>
      <c r="F42">
        <v>407</v>
      </c>
      <c r="G42">
        <v>141</v>
      </c>
      <c r="H42">
        <v>266</v>
      </c>
      <c r="I42">
        <v>1379</v>
      </c>
      <c r="J42" t="s">
        <v>14</v>
      </c>
    </row>
    <row r="43" spans="1:10" x14ac:dyDescent="0.3">
      <c r="A43" t="s">
        <v>114</v>
      </c>
      <c r="B43" t="s">
        <v>39</v>
      </c>
      <c r="C43" t="s">
        <v>28</v>
      </c>
      <c r="D43" t="s">
        <v>115</v>
      </c>
      <c r="E43" s="1">
        <v>46066</v>
      </c>
      <c r="F43">
        <v>116</v>
      </c>
      <c r="G43">
        <v>17</v>
      </c>
      <c r="H43">
        <v>99</v>
      </c>
      <c r="I43">
        <v>2518</v>
      </c>
      <c r="J43" t="s">
        <v>14</v>
      </c>
    </row>
    <row r="44" spans="1:10" x14ac:dyDescent="0.3">
      <c r="A44" t="s">
        <v>116</v>
      </c>
      <c r="B44" t="s">
        <v>117</v>
      </c>
      <c r="C44" t="s">
        <v>28</v>
      </c>
      <c r="D44" t="s">
        <v>118</v>
      </c>
      <c r="E44" s="1">
        <v>46115</v>
      </c>
      <c r="F44">
        <v>345</v>
      </c>
      <c r="G44">
        <v>68</v>
      </c>
      <c r="H44">
        <v>277</v>
      </c>
      <c r="I44">
        <v>1236</v>
      </c>
      <c r="J44" t="s">
        <v>14</v>
      </c>
    </row>
    <row r="45" spans="1:10" x14ac:dyDescent="0.3">
      <c r="A45" t="s">
        <v>119</v>
      </c>
      <c r="B45" t="s">
        <v>54</v>
      </c>
      <c r="C45" t="s">
        <v>31</v>
      </c>
      <c r="D45" t="s">
        <v>120</v>
      </c>
      <c r="E45" s="1">
        <v>46117</v>
      </c>
      <c r="F45">
        <v>132</v>
      </c>
      <c r="G45">
        <v>45</v>
      </c>
      <c r="H45">
        <v>87</v>
      </c>
      <c r="I45">
        <v>59</v>
      </c>
      <c r="J45" t="s">
        <v>14</v>
      </c>
    </row>
    <row r="46" spans="1:10" x14ac:dyDescent="0.3">
      <c r="A46" t="s">
        <v>121</v>
      </c>
      <c r="B46" t="s">
        <v>122</v>
      </c>
      <c r="C46" t="s">
        <v>28</v>
      </c>
      <c r="D46" t="s">
        <v>21</v>
      </c>
      <c r="E46" t="s">
        <v>58</v>
      </c>
      <c r="F46">
        <v>477</v>
      </c>
      <c r="G46">
        <v>0</v>
      </c>
      <c r="H46">
        <v>477</v>
      </c>
      <c r="I46">
        <v>220</v>
      </c>
      <c r="J46" t="s">
        <v>14</v>
      </c>
    </row>
    <row r="47" spans="1:10" x14ac:dyDescent="0.3">
      <c r="A47" t="s">
        <v>123</v>
      </c>
      <c r="B47" t="s">
        <v>124</v>
      </c>
      <c r="C47" t="s">
        <v>20</v>
      </c>
      <c r="D47" t="s">
        <v>36</v>
      </c>
      <c r="E47" s="1">
        <v>46179</v>
      </c>
      <c r="F47">
        <v>447</v>
      </c>
      <c r="G47">
        <v>389</v>
      </c>
      <c r="H47">
        <v>58</v>
      </c>
      <c r="I47">
        <v>1934</v>
      </c>
      <c r="J47" t="s">
        <v>17</v>
      </c>
    </row>
    <row r="48" spans="1:10" x14ac:dyDescent="0.3">
      <c r="A48" t="s">
        <v>125</v>
      </c>
      <c r="B48" t="s">
        <v>126</v>
      </c>
      <c r="C48" t="s">
        <v>49</v>
      </c>
      <c r="D48" t="s">
        <v>32</v>
      </c>
      <c r="E48" s="1">
        <v>46211</v>
      </c>
      <c r="F48">
        <v>297</v>
      </c>
      <c r="G48">
        <v>31</v>
      </c>
      <c r="H48">
        <v>266</v>
      </c>
      <c r="I48">
        <v>1442</v>
      </c>
      <c r="J48" t="s">
        <v>127</v>
      </c>
    </row>
    <row r="49" spans="1:10" x14ac:dyDescent="0.3">
      <c r="A49" t="s">
        <v>128</v>
      </c>
      <c r="B49" t="s">
        <v>129</v>
      </c>
      <c r="C49" t="s">
        <v>35</v>
      </c>
      <c r="D49" t="s">
        <v>13</v>
      </c>
      <c r="E49" t="s">
        <v>58</v>
      </c>
      <c r="F49">
        <v>428</v>
      </c>
      <c r="G49">
        <v>0</v>
      </c>
      <c r="H49">
        <v>428</v>
      </c>
      <c r="I49">
        <v>383</v>
      </c>
      <c r="J49" t="s">
        <v>46</v>
      </c>
    </row>
    <row r="50" spans="1:10" x14ac:dyDescent="0.3">
      <c r="A50" t="s">
        <v>130</v>
      </c>
      <c r="B50" t="s">
        <v>131</v>
      </c>
      <c r="C50" t="s">
        <v>49</v>
      </c>
      <c r="D50" t="s">
        <v>21</v>
      </c>
      <c r="E50" s="1">
        <v>45996</v>
      </c>
      <c r="F50">
        <v>261</v>
      </c>
      <c r="G50">
        <v>51</v>
      </c>
      <c r="H50">
        <v>210</v>
      </c>
      <c r="I50" t="s">
        <v>132</v>
      </c>
      <c r="J50" t="s">
        <v>14</v>
      </c>
    </row>
    <row r="51" spans="1:10" x14ac:dyDescent="0.3">
      <c r="A51" t="s">
        <v>133</v>
      </c>
      <c r="B51" t="s">
        <v>134</v>
      </c>
      <c r="C51" t="s">
        <v>31</v>
      </c>
      <c r="D51" t="s">
        <v>13</v>
      </c>
      <c r="E51" s="1">
        <v>46278</v>
      </c>
      <c r="F51">
        <v>198</v>
      </c>
      <c r="G51">
        <v>139</v>
      </c>
      <c r="H51">
        <v>59</v>
      </c>
      <c r="I51">
        <v>2317</v>
      </c>
      <c r="J51" t="s">
        <v>17</v>
      </c>
    </row>
    <row r="52" spans="1:10" x14ac:dyDescent="0.3">
      <c r="A52" t="s">
        <v>135</v>
      </c>
      <c r="B52" t="s">
        <v>136</v>
      </c>
      <c r="C52" t="s">
        <v>35</v>
      </c>
      <c r="D52" t="s">
        <v>36</v>
      </c>
      <c r="E52" s="1">
        <v>46096</v>
      </c>
      <c r="F52">
        <v>91</v>
      </c>
      <c r="G52">
        <v>86</v>
      </c>
      <c r="H52">
        <v>5</v>
      </c>
      <c r="I52">
        <v>1473</v>
      </c>
      <c r="J52" t="s">
        <v>43</v>
      </c>
    </row>
    <row r="53" spans="1:10" x14ac:dyDescent="0.3">
      <c r="A53" t="s">
        <v>137</v>
      </c>
      <c r="B53" t="s">
        <v>138</v>
      </c>
      <c r="C53" t="s">
        <v>139</v>
      </c>
      <c r="D53" t="s">
        <v>32</v>
      </c>
      <c r="F53">
        <v>429</v>
      </c>
      <c r="G53">
        <v>0</v>
      </c>
      <c r="H53">
        <v>429</v>
      </c>
      <c r="I53">
        <v>1095</v>
      </c>
      <c r="J53" t="s">
        <v>85</v>
      </c>
    </row>
    <row r="54" spans="1:10" x14ac:dyDescent="0.3">
      <c r="A54" t="s">
        <v>140</v>
      </c>
      <c r="B54" t="s">
        <v>11</v>
      </c>
      <c r="C54" t="s">
        <v>12</v>
      </c>
      <c r="D54" t="s">
        <v>32</v>
      </c>
      <c r="E54" s="1">
        <v>46234</v>
      </c>
      <c r="F54">
        <v>385</v>
      </c>
      <c r="G54">
        <v>28</v>
      </c>
      <c r="H54">
        <v>357</v>
      </c>
      <c r="I54">
        <v>1548</v>
      </c>
      <c r="J54" t="s">
        <v>14</v>
      </c>
    </row>
    <row r="55" spans="1:10" x14ac:dyDescent="0.3">
      <c r="A55" t="s">
        <v>141</v>
      </c>
      <c r="B55" t="s">
        <v>142</v>
      </c>
      <c r="C55" t="s">
        <v>58</v>
      </c>
      <c r="D55" t="s">
        <v>32</v>
      </c>
      <c r="E55" t="s">
        <v>58</v>
      </c>
      <c r="F55">
        <v>254</v>
      </c>
      <c r="G55">
        <v>0</v>
      </c>
      <c r="H55">
        <v>254</v>
      </c>
      <c r="I55">
        <v>2769</v>
      </c>
      <c r="J55" t="s">
        <v>14</v>
      </c>
    </row>
    <row r="56" spans="1:10" x14ac:dyDescent="0.3">
      <c r="A56" t="s">
        <v>143</v>
      </c>
      <c r="B56" t="s">
        <v>144</v>
      </c>
      <c r="C56" t="s">
        <v>49</v>
      </c>
      <c r="D56" t="s">
        <v>13</v>
      </c>
      <c r="E56" s="1">
        <v>46216</v>
      </c>
      <c r="F56">
        <v>477</v>
      </c>
      <c r="G56">
        <v>410</v>
      </c>
      <c r="H56">
        <v>67</v>
      </c>
      <c r="I56">
        <v>2335</v>
      </c>
      <c r="J56" t="s">
        <v>14</v>
      </c>
    </row>
    <row r="57" spans="1:10" x14ac:dyDescent="0.3">
      <c r="A57" t="s">
        <v>145</v>
      </c>
      <c r="B57" t="s">
        <v>146</v>
      </c>
      <c r="C57" t="s">
        <v>35</v>
      </c>
      <c r="D57" t="s">
        <v>36</v>
      </c>
      <c r="F57">
        <v>219</v>
      </c>
      <c r="G57">
        <v>0</v>
      </c>
      <c r="H57">
        <v>219</v>
      </c>
      <c r="I57" t="s">
        <v>147</v>
      </c>
      <c r="J57" t="s">
        <v>85</v>
      </c>
    </row>
    <row r="58" spans="1:10" x14ac:dyDescent="0.3">
      <c r="A58" t="s">
        <v>148</v>
      </c>
      <c r="B58" t="s">
        <v>16</v>
      </c>
      <c r="C58" t="s">
        <v>12</v>
      </c>
      <c r="D58" t="s">
        <v>32</v>
      </c>
      <c r="E58" s="1">
        <v>46050</v>
      </c>
      <c r="F58">
        <v>90</v>
      </c>
      <c r="G58">
        <v>74</v>
      </c>
      <c r="H58">
        <v>16</v>
      </c>
      <c r="I58">
        <v>2084</v>
      </c>
      <c r="J58" t="s">
        <v>43</v>
      </c>
    </row>
    <row r="59" spans="1:10" x14ac:dyDescent="0.3">
      <c r="A59" t="s">
        <v>149</v>
      </c>
      <c r="B59" t="s">
        <v>112</v>
      </c>
      <c r="C59" t="s">
        <v>103</v>
      </c>
      <c r="D59" t="s">
        <v>13</v>
      </c>
      <c r="E59" s="1">
        <v>46100</v>
      </c>
      <c r="F59">
        <v>280</v>
      </c>
      <c r="G59">
        <v>214</v>
      </c>
      <c r="H59">
        <v>66</v>
      </c>
      <c r="J59" t="s">
        <v>14</v>
      </c>
    </row>
    <row r="60" spans="1:10" x14ac:dyDescent="0.3">
      <c r="A60" t="s">
        <v>150</v>
      </c>
      <c r="B60" t="s">
        <v>151</v>
      </c>
      <c r="C60" t="s">
        <v>35</v>
      </c>
      <c r="D60" t="s">
        <v>36</v>
      </c>
      <c r="E60" t="s">
        <v>58</v>
      </c>
      <c r="F60">
        <v>140</v>
      </c>
      <c r="G60">
        <v>0</v>
      </c>
      <c r="H60">
        <v>140</v>
      </c>
      <c r="I60">
        <v>250</v>
      </c>
      <c r="J60" t="s">
        <v>14</v>
      </c>
    </row>
    <row r="61" spans="1:10" x14ac:dyDescent="0.3">
      <c r="A61" t="s">
        <v>152</v>
      </c>
      <c r="B61" t="s">
        <v>65</v>
      </c>
      <c r="C61" t="s">
        <v>49</v>
      </c>
      <c r="D61" t="s">
        <v>153</v>
      </c>
      <c r="E61" s="1">
        <v>46112</v>
      </c>
      <c r="F61">
        <v>232</v>
      </c>
      <c r="G61">
        <v>163</v>
      </c>
      <c r="H61">
        <v>69</v>
      </c>
      <c r="I61">
        <v>2898</v>
      </c>
      <c r="J61" t="s">
        <v>85</v>
      </c>
    </row>
    <row r="62" spans="1:10" x14ac:dyDescent="0.3">
      <c r="A62" t="s">
        <v>154</v>
      </c>
      <c r="B62" t="s">
        <v>101</v>
      </c>
      <c r="C62" t="s">
        <v>12</v>
      </c>
      <c r="D62" t="s">
        <v>32</v>
      </c>
      <c r="E62" s="1">
        <v>46192</v>
      </c>
      <c r="F62">
        <v>357</v>
      </c>
      <c r="G62">
        <v>103</v>
      </c>
      <c r="H62">
        <v>254</v>
      </c>
      <c r="I62">
        <v>2598</v>
      </c>
      <c r="J62" t="s">
        <v>14</v>
      </c>
    </row>
    <row r="63" spans="1:10" x14ac:dyDescent="0.3">
      <c r="A63" t="s">
        <v>155</v>
      </c>
      <c r="B63" t="s">
        <v>156</v>
      </c>
      <c r="C63" t="s">
        <v>28</v>
      </c>
      <c r="D63" t="s">
        <v>32</v>
      </c>
      <c r="E63" s="1">
        <v>46027</v>
      </c>
      <c r="F63">
        <v>406</v>
      </c>
      <c r="G63">
        <v>35</v>
      </c>
      <c r="H63">
        <v>371</v>
      </c>
      <c r="I63">
        <v>977</v>
      </c>
      <c r="J63" t="s">
        <v>14</v>
      </c>
    </row>
    <row r="64" spans="1:10" x14ac:dyDescent="0.3">
      <c r="A64" t="s">
        <v>157</v>
      </c>
      <c r="B64" t="s">
        <v>158</v>
      </c>
      <c r="C64" t="s">
        <v>31</v>
      </c>
      <c r="D64" t="s">
        <v>32</v>
      </c>
      <c r="E64" s="1">
        <v>46075</v>
      </c>
      <c r="F64">
        <v>133</v>
      </c>
      <c r="G64">
        <v>24</v>
      </c>
      <c r="H64">
        <v>109</v>
      </c>
      <c r="I64">
        <v>543</v>
      </c>
      <c r="J64" t="s">
        <v>14</v>
      </c>
    </row>
    <row r="65" spans="1:10" x14ac:dyDescent="0.3">
      <c r="A65" t="s">
        <v>159</v>
      </c>
      <c r="B65" t="s">
        <v>41</v>
      </c>
      <c r="C65" t="s">
        <v>49</v>
      </c>
      <c r="D65" t="s">
        <v>21</v>
      </c>
      <c r="E65" s="1">
        <v>46063</v>
      </c>
      <c r="F65">
        <v>191</v>
      </c>
      <c r="G65">
        <v>24</v>
      </c>
      <c r="H65">
        <v>167</v>
      </c>
      <c r="J65" t="s">
        <v>14</v>
      </c>
    </row>
    <row r="66" spans="1:10" x14ac:dyDescent="0.3">
      <c r="A66" t="s">
        <v>160</v>
      </c>
      <c r="B66" t="s">
        <v>161</v>
      </c>
      <c r="C66" t="s">
        <v>58</v>
      </c>
      <c r="D66" t="s">
        <v>36</v>
      </c>
      <c r="E66" s="1">
        <v>46172</v>
      </c>
      <c r="F66">
        <v>112</v>
      </c>
      <c r="G66">
        <v>107</v>
      </c>
      <c r="H66">
        <v>5</v>
      </c>
      <c r="I66">
        <v>2642</v>
      </c>
      <c r="J66" t="s">
        <v>17</v>
      </c>
    </row>
    <row r="67" spans="1:10" x14ac:dyDescent="0.3">
      <c r="A67" t="s">
        <v>162</v>
      </c>
      <c r="B67" t="s">
        <v>84</v>
      </c>
      <c r="C67" t="s">
        <v>28</v>
      </c>
      <c r="D67" t="s">
        <v>32</v>
      </c>
      <c r="E67" s="1">
        <v>46051</v>
      </c>
      <c r="F67">
        <v>191</v>
      </c>
      <c r="G67">
        <v>163</v>
      </c>
      <c r="H67">
        <v>28</v>
      </c>
      <c r="I67">
        <v>1079</v>
      </c>
      <c r="J67" t="s">
        <v>17</v>
      </c>
    </row>
    <row r="68" spans="1:10" x14ac:dyDescent="0.3">
      <c r="A68" t="s">
        <v>163</v>
      </c>
      <c r="B68" t="s">
        <v>164</v>
      </c>
      <c r="C68" t="s">
        <v>49</v>
      </c>
      <c r="D68" t="s">
        <v>21</v>
      </c>
      <c r="E68" s="1">
        <v>46026</v>
      </c>
      <c r="F68">
        <v>163</v>
      </c>
      <c r="G68">
        <v>60</v>
      </c>
      <c r="H68">
        <v>103</v>
      </c>
      <c r="I68" t="s">
        <v>165</v>
      </c>
      <c r="J68" t="s">
        <v>14</v>
      </c>
    </row>
    <row r="69" spans="1:10" x14ac:dyDescent="0.3">
      <c r="A69" t="s">
        <v>166</v>
      </c>
      <c r="B69" t="s">
        <v>167</v>
      </c>
      <c r="C69" t="s">
        <v>12</v>
      </c>
      <c r="D69" t="s">
        <v>32</v>
      </c>
      <c r="E69" t="s">
        <v>58</v>
      </c>
      <c r="F69">
        <v>402</v>
      </c>
      <c r="G69">
        <v>0</v>
      </c>
      <c r="H69">
        <v>402</v>
      </c>
      <c r="I69">
        <v>539</v>
      </c>
      <c r="J69" t="s">
        <v>14</v>
      </c>
    </row>
    <row r="70" spans="1:10" x14ac:dyDescent="0.3">
      <c r="A70" t="s">
        <v>168</v>
      </c>
      <c r="B70" t="s">
        <v>169</v>
      </c>
      <c r="C70" t="s">
        <v>12</v>
      </c>
      <c r="D70" t="s">
        <v>13</v>
      </c>
      <c r="E70" t="s">
        <v>58</v>
      </c>
      <c r="F70">
        <v>195</v>
      </c>
      <c r="G70">
        <v>0</v>
      </c>
      <c r="H70">
        <v>195</v>
      </c>
      <c r="I70">
        <v>85</v>
      </c>
      <c r="J70" t="s">
        <v>14</v>
      </c>
    </row>
    <row r="71" spans="1:10" x14ac:dyDescent="0.3">
      <c r="A71" t="s">
        <v>170</v>
      </c>
      <c r="B71" t="s">
        <v>71</v>
      </c>
      <c r="C71" t="s">
        <v>35</v>
      </c>
      <c r="D71" t="s">
        <v>32</v>
      </c>
      <c r="F71">
        <v>370</v>
      </c>
      <c r="G71">
        <v>0</v>
      </c>
      <c r="H71">
        <v>370</v>
      </c>
      <c r="I71">
        <v>940</v>
      </c>
      <c r="J71" t="s">
        <v>14</v>
      </c>
    </row>
    <row r="72" spans="1:10" x14ac:dyDescent="0.3">
      <c r="A72" t="s">
        <v>171</v>
      </c>
      <c r="B72" t="s">
        <v>151</v>
      </c>
      <c r="C72" t="s">
        <v>35</v>
      </c>
      <c r="D72" t="s">
        <v>21</v>
      </c>
      <c r="E72" s="1">
        <v>46287</v>
      </c>
      <c r="F72">
        <v>354</v>
      </c>
      <c r="G72">
        <v>92</v>
      </c>
      <c r="H72">
        <v>262</v>
      </c>
      <c r="J72" t="s">
        <v>14</v>
      </c>
    </row>
    <row r="73" spans="1:10" x14ac:dyDescent="0.3">
      <c r="A73" t="s">
        <v>172</v>
      </c>
      <c r="B73" t="s">
        <v>173</v>
      </c>
      <c r="C73" t="s">
        <v>31</v>
      </c>
      <c r="D73" t="s">
        <v>13</v>
      </c>
      <c r="F73">
        <v>225</v>
      </c>
      <c r="G73">
        <v>0</v>
      </c>
      <c r="H73">
        <v>225</v>
      </c>
      <c r="I73">
        <v>2114</v>
      </c>
      <c r="J73" t="s">
        <v>14</v>
      </c>
    </row>
    <row r="74" spans="1:10" x14ac:dyDescent="0.3">
      <c r="A74" t="s">
        <v>174</v>
      </c>
      <c r="B74" t="s">
        <v>60</v>
      </c>
      <c r="C74" t="s">
        <v>28</v>
      </c>
      <c r="D74" t="s">
        <v>32</v>
      </c>
      <c r="E74" s="1">
        <v>46233</v>
      </c>
      <c r="F74">
        <v>148</v>
      </c>
      <c r="G74">
        <v>57</v>
      </c>
      <c r="H74">
        <v>91</v>
      </c>
      <c r="I74">
        <v>69</v>
      </c>
      <c r="J74" t="s">
        <v>14</v>
      </c>
    </row>
    <row r="75" spans="1:10" x14ac:dyDescent="0.3">
      <c r="A75" t="s">
        <v>175</v>
      </c>
      <c r="B75" t="s">
        <v>80</v>
      </c>
      <c r="C75" t="s">
        <v>12</v>
      </c>
      <c r="D75" t="s">
        <v>21</v>
      </c>
      <c r="E75" s="1">
        <v>46078</v>
      </c>
      <c r="F75" t="s">
        <v>58</v>
      </c>
      <c r="G75">
        <v>183</v>
      </c>
      <c r="H75">
        <v>30</v>
      </c>
      <c r="I75">
        <v>1887</v>
      </c>
      <c r="J75" t="s">
        <v>17</v>
      </c>
    </row>
    <row r="76" spans="1:10" x14ac:dyDescent="0.3">
      <c r="A76" t="s">
        <v>176</v>
      </c>
      <c r="B76" t="s">
        <v>177</v>
      </c>
      <c r="C76" t="s">
        <v>31</v>
      </c>
      <c r="D76" t="s">
        <v>36</v>
      </c>
      <c r="E76" t="s">
        <v>58</v>
      </c>
      <c r="F76">
        <v>422</v>
      </c>
      <c r="G76">
        <v>0</v>
      </c>
      <c r="H76">
        <v>422</v>
      </c>
      <c r="I76">
        <v>2097</v>
      </c>
      <c r="J76" t="s">
        <v>14</v>
      </c>
    </row>
    <row r="77" spans="1:10" x14ac:dyDescent="0.3">
      <c r="A77" t="s">
        <v>178</v>
      </c>
      <c r="B77" t="s">
        <v>179</v>
      </c>
      <c r="C77" t="s">
        <v>12</v>
      </c>
      <c r="D77" t="s">
        <v>21</v>
      </c>
      <c r="E77" s="1">
        <v>46281</v>
      </c>
      <c r="F77">
        <v>183</v>
      </c>
      <c r="G77">
        <v>129</v>
      </c>
      <c r="H77">
        <v>54</v>
      </c>
      <c r="I77">
        <v>813</v>
      </c>
      <c r="J77" t="s">
        <v>180</v>
      </c>
    </row>
    <row r="78" spans="1:10" x14ac:dyDescent="0.3">
      <c r="A78" t="s">
        <v>181</v>
      </c>
      <c r="B78" t="s">
        <v>182</v>
      </c>
      <c r="C78" t="s">
        <v>12</v>
      </c>
      <c r="D78" t="s">
        <v>32</v>
      </c>
      <c r="E78" s="1">
        <v>46223</v>
      </c>
      <c r="F78">
        <v>145</v>
      </c>
      <c r="G78">
        <v>139</v>
      </c>
      <c r="H78">
        <v>6</v>
      </c>
      <c r="I78">
        <v>1724</v>
      </c>
      <c r="J78" t="s">
        <v>17</v>
      </c>
    </row>
    <row r="79" spans="1:10" x14ac:dyDescent="0.3">
      <c r="A79" t="s">
        <v>183</v>
      </c>
      <c r="B79" t="s">
        <v>184</v>
      </c>
      <c r="C79" t="s">
        <v>31</v>
      </c>
      <c r="D79" t="s">
        <v>13</v>
      </c>
      <c r="E79" s="1">
        <v>46126</v>
      </c>
      <c r="F79">
        <v>220</v>
      </c>
      <c r="G79">
        <v>186</v>
      </c>
      <c r="H79">
        <v>34</v>
      </c>
      <c r="I79" t="s">
        <v>185</v>
      </c>
      <c r="J79" t="s">
        <v>17</v>
      </c>
    </row>
    <row r="80" spans="1:10" x14ac:dyDescent="0.3">
      <c r="A80" t="s">
        <v>186</v>
      </c>
      <c r="B80" t="s">
        <v>187</v>
      </c>
      <c r="C80" t="s">
        <v>58</v>
      </c>
      <c r="D80" t="s">
        <v>36</v>
      </c>
      <c r="F80" t="s">
        <v>58</v>
      </c>
      <c r="G80">
        <v>0</v>
      </c>
      <c r="H80">
        <v>491</v>
      </c>
      <c r="I80">
        <v>1676</v>
      </c>
      <c r="J80" t="s">
        <v>46</v>
      </c>
    </row>
    <row r="81" spans="1:10" x14ac:dyDescent="0.3">
      <c r="A81" t="s">
        <v>188</v>
      </c>
      <c r="B81" t="s">
        <v>189</v>
      </c>
      <c r="C81" t="s">
        <v>49</v>
      </c>
      <c r="D81" t="s">
        <v>32</v>
      </c>
      <c r="E81" s="1">
        <v>46236</v>
      </c>
      <c r="F81">
        <v>263</v>
      </c>
      <c r="G81">
        <v>260</v>
      </c>
      <c r="H81">
        <v>3</v>
      </c>
      <c r="I81">
        <v>2102</v>
      </c>
      <c r="J81" t="s">
        <v>17</v>
      </c>
    </row>
    <row r="82" spans="1:10" x14ac:dyDescent="0.3">
      <c r="A82" t="s">
        <v>190</v>
      </c>
      <c r="B82" t="s">
        <v>191</v>
      </c>
      <c r="C82" t="s">
        <v>28</v>
      </c>
      <c r="D82" t="s">
        <v>21</v>
      </c>
      <c r="F82">
        <v>497</v>
      </c>
      <c r="G82">
        <v>0</v>
      </c>
      <c r="H82">
        <v>497</v>
      </c>
      <c r="I82" t="s">
        <v>192</v>
      </c>
      <c r="J82" t="s">
        <v>14</v>
      </c>
    </row>
    <row r="83" spans="1:10" x14ac:dyDescent="0.3">
      <c r="A83" t="s">
        <v>193</v>
      </c>
      <c r="B83" t="s">
        <v>194</v>
      </c>
      <c r="C83" t="s">
        <v>49</v>
      </c>
      <c r="D83" t="s">
        <v>21</v>
      </c>
      <c r="E83" s="1">
        <v>46143</v>
      </c>
      <c r="F83">
        <v>436</v>
      </c>
      <c r="G83">
        <v>356</v>
      </c>
      <c r="H83">
        <v>80</v>
      </c>
      <c r="I83">
        <v>253</v>
      </c>
      <c r="J83" t="s">
        <v>14</v>
      </c>
    </row>
    <row r="84" spans="1:10" x14ac:dyDescent="0.3">
      <c r="A84" t="s">
        <v>195</v>
      </c>
      <c r="B84" t="s">
        <v>62</v>
      </c>
      <c r="C84" t="s">
        <v>49</v>
      </c>
      <c r="D84" t="s">
        <v>13</v>
      </c>
      <c r="E84" t="s">
        <v>58</v>
      </c>
      <c r="F84">
        <v>292</v>
      </c>
      <c r="G84">
        <v>0</v>
      </c>
      <c r="H84">
        <v>292</v>
      </c>
      <c r="I84">
        <v>1122</v>
      </c>
      <c r="J84" t="s">
        <v>14</v>
      </c>
    </row>
    <row r="85" spans="1:10" x14ac:dyDescent="0.3">
      <c r="A85" t="s">
        <v>196</v>
      </c>
      <c r="B85" t="s">
        <v>23</v>
      </c>
      <c r="C85" t="s">
        <v>35</v>
      </c>
      <c r="D85" t="s">
        <v>21</v>
      </c>
      <c r="E85" s="1">
        <v>46192</v>
      </c>
      <c r="F85">
        <v>96</v>
      </c>
      <c r="G85">
        <v>68</v>
      </c>
      <c r="H85">
        <v>28</v>
      </c>
      <c r="I85">
        <v>695</v>
      </c>
      <c r="J85" t="s">
        <v>17</v>
      </c>
    </row>
    <row r="86" spans="1:10" x14ac:dyDescent="0.3">
      <c r="A86" t="s">
        <v>197</v>
      </c>
      <c r="B86" t="s">
        <v>198</v>
      </c>
      <c r="C86" t="s">
        <v>31</v>
      </c>
      <c r="D86" t="s">
        <v>36</v>
      </c>
      <c r="E86" s="1">
        <v>46063</v>
      </c>
      <c r="F86">
        <v>441</v>
      </c>
      <c r="G86">
        <v>393</v>
      </c>
      <c r="H86">
        <v>48</v>
      </c>
      <c r="I86">
        <v>421</v>
      </c>
      <c r="J86" t="s">
        <v>17</v>
      </c>
    </row>
    <row r="87" spans="1:10" x14ac:dyDescent="0.3">
      <c r="A87" t="s">
        <v>199</v>
      </c>
      <c r="B87" t="s">
        <v>200</v>
      </c>
      <c r="C87" t="s">
        <v>103</v>
      </c>
      <c r="D87" t="s">
        <v>21</v>
      </c>
      <c r="E87" t="s">
        <v>58</v>
      </c>
      <c r="F87">
        <v>461</v>
      </c>
      <c r="G87">
        <v>0</v>
      </c>
      <c r="H87">
        <v>461</v>
      </c>
      <c r="I87">
        <v>756</v>
      </c>
      <c r="J87" t="s">
        <v>85</v>
      </c>
    </row>
    <row r="88" spans="1:10" x14ac:dyDescent="0.3">
      <c r="A88" t="s">
        <v>201</v>
      </c>
      <c r="B88" t="s">
        <v>11</v>
      </c>
      <c r="C88" t="s">
        <v>12</v>
      </c>
      <c r="D88" t="s">
        <v>32</v>
      </c>
      <c r="E88" s="1">
        <v>46134</v>
      </c>
      <c r="F88">
        <v>182</v>
      </c>
      <c r="G88">
        <v>12</v>
      </c>
      <c r="H88">
        <v>170</v>
      </c>
      <c r="I88" t="s">
        <v>202</v>
      </c>
      <c r="J88" t="s">
        <v>127</v>
      </c>
    </row>
    <row r="89" spans="1:10" x14ac:dyDescent="0.3">
      <c r="A89" t="s">
        <v>203</v>
      </c>
      <c r="B89" t="s">
        <v>184</v>
      </c>
      <c r="C89" t="s">
        <v>31</v>
      </c>
      <c r="D89" t="s">
        <v>32</v>
      </c>
      <c r="E89" t="s">
        <v>58</v>
      </c>
      <c r="F89">
        <v>51</v>
      </c>
      <c r="G89">
        <v>0</v>
      </c>
      <c r="H89">
        <v>51</v>
      </c>
      <c r="I89" t="s">
        <v>204</v>
      </c>
      <c r="J89" t="s">
        <v>17</v>
      </c>
    </row>
    <row r="90" spans="1:10" x14ac:dyDescent="0.3">
      <c r="A90" t="s">
        <v>205</v>
      </c>
      <c r="B90" t="s">
        <v>142</v>
      </c>
      <c r="C90" t="s">
        <v>49</v>
      </c>
      <c r="D90" t="s">
        <v>32</v>
      </c>
      <c r="E90" s="1">
        <v>46142</v>
      </c>
      <c r="F90">
        <v>351</v>
      </c>
      <c r="G90">
        <v>63</v>
      </c>
      <c r="H90">
        <v>288</v>
      </c>
      <c r="I90">
        <v>494</v>
      </c>
      <c r="J90" t="s">
        <v>14</v>
      </c>
    </row>
    <row r="91" spans="1:10" x14ac:dyDescent="0.3">
      <c r="A91" t="s">
        <v>206</v>
      </c>
      <c r="B91" t="s">
        <v>95</v>
      </c>
      <c r="C91" t="s">
        <v>31</v>
      </c>
      <c r="D91" t="s">
        <v>21</v>
      </c>
      <c r="E91" t="s">
        <v>58</v>
      </c>
      <c r="F91">
        <v>250</v>
      </c>
      <c r="G91">
        <v>0</v>
      </c>
      <c r="H91">
        <v>250</v>
      </c>
      <c r="I91">
        <v>1437</v>
      </c>
      <c r="J91" t="s">
        <v>14</v>
      </c>
    </row>
    <row r="92" spans="1:10" x14ac:dyDescent="0.3">
      <c r="A92" t="s">
        <v>207</v>
      </c>
      <c r="B92" t="s">
        <v>208</v>
      </c>
      <c r="C92" t="s">
        <v>12</v>
      </c>
      <c r="D92" t="s">
        <v>209</v>
      </c>
      <c r="E92" s="1">
        <v>46224</v>
      </c>
      <c r="F92">
        <v>345</v>
      </c>
      <c r="G92">
        <v>130</v>
      </c>
      <c r="H92">
        <v>215</v>
      </c>
      <c r="I92">
        <v>2502</v>
      </c>
      <c r="J92" t="s">
        <v>14</v>
      </c>
    </row>
    <row r="93" spans="1:10" x14ac:dyDescent="0.3">
      <c r="A93" t="s">
        <v>210</v>
      </c>
      <c r="B93" t="s">
        <v>211</v>
      </c>
      <c r="C93" t="s">
        <v>35</v>
      </c>
      <c r="D93" t="s">
        <v>13</v>
      </c>
      <c r="E93" t="s">
        <v>58</v>
      </c>
      <c r="F93">
        <v>461</v>
      </c>
      <c r="G93">
        <v>0</v>
      </c>
      <c r="H93">
        <v>461</v>
      </c>
      <c r="I93">
        <v>1157</v>
      </c>
      <c r="J93" t="s">
        <v>14</v>
      </c>
    </row>
    <row r="94" spans="1:10" x14ac:dyDescent="0.3">
      <c r="A94" t="s">
        <v>212</v>
      </c>
      <c r="B94" t="s">
        <v>138</v>
      </c>
      <c r="C94" t="s">
        <v>213</v>
      </c>
      <c r="D94" t="s">
        <v>214</v>
      </c>
      <c r="E94" t="s">
        <v>58</v>
      </c>
      <c r="F94">
        <v>103</v>
      </c>
      <c r="G94">
        <v>0</v>
      </c>
      <c r="H94">
        <v>103</v>
      </c>
      <c r="I94">
        <v>669</v>
      </c>
      <c r="J94" t="s">
        <v>14</v>
      </c>
    </row>
    <row r="95" spans="1:10" x14ac:dyDescent="0.3">
      <c r="A95" t="s">
        <v>215</v>
      </c>
      <c r="B95" t="s">
        <v>30</v>
      </c>
      <c r="C95" t="s">
        <v>31</v>
      </c>
      <c r="D95" t="s">
        <v>36</v>
      </c>
      <c r="E95" s="1">
        <v>46013</v>
      </c>
      <c r="F95">
        <v>379</v>
      </c>
      <c r="G95">
        <v>30</v>
      </c>
      <c r="H95">
        <v>349</v>
      </c>
      <c r="I95">
        <v>643</v>
      </c>
      <c r="J95" t="s">
        <v>14</v>
      </c>
    </row>
    <row r="96" spans="1:10" x14ac:dyDescent="0.3">
      <c r="A96" t="s">
        <v>216</v>
      </c>
      <c r="B96" t="s">
        <v>73</v>
      </c>
      <c r="C96" t="s">
        <v>74</v>
      </c>
      <c r="D96" t="s">
        <v>13</v>
      </c>
      <c r="E96" s="1">
        <v>46244</v>
      </c>
      <c r="F96">
        <v>119</v>
      </c>
      <c r="G96">
        <v>9</v>
      </c>
      <c r="H96">
        <v>110</v>
      </c>
      <c r="I96">
        <v>2898</v>
      </c>
      <c r="J96" t="s">
        <v>127</v>
      </c>
    </row>
    <row r="97" spans="1:10" x14ac:dyDescent="0.3">
      <c r="A97" t="s">
        <v>217</v>
      </c>
      <c r="B97" t="s">
        <v>30</v>
      </c>
      <c r="C97" t="s">
        <v>213</v>
      </c>
      <c r="D97" t="s">
        <v>13</v>
      </c>
      <c r="E97" s="1">
        <v>46033</v>
      </c>
      <c r="F97">
        <v>132</v>
      </c>
      <c r="G97">
        <v>97</v>
      </c>
      <c r="H97">
        <v>35</v>
      </c>
      <c r="I97">
        <v>1051</v>
      </c>
      <c r="J97" t="s">
        <v>17</v>
      </c>
    </row>
    <row r="98" spans="1:10" x14ac:dyDescent="0.3">
      <c r="A98" t="s">
        <v>218</v>
      </c>
      <c r="B98" t="s">
        <v>177</v>
      </c>
      <c r="C98" t="s">
        <v>31</v>
      </c>
      <c r="D98" t="s">
        <v>32</v>
      </c>
      <c r="F98">
        <v>244</v>
      </c>
      <c r="G98">
        <v>0</v>
      </c>
      <c r="H98">
        <v>244</v>
      </c>
      <c r="I98">
        <v>1013</v>
      </c>
      <c r="J98" t="s">
        <v>14</v>
      </c>
    </row>
    <row r="99" spans="1:10" x14ac:dyDescent="0.3">
      <c r="A99" t="s">
        <v>219</v>
      </c>
      <c r="B99" t="s">
        <v>93</v>
      </c>
      <c r="C99" t="s">
        <v>12</v>
      </c>
      <c r="D99" t="s">
        <v>36</v>
      </c>
      <c r="E99" t="s">
        <v>58</v>
      </c>
      <c r="F99">
        <v>104</v>
      </c>
      <c r="G99">
        <v>0</v>
      </c>
      <c r="H99">
        <v>104</v>
      </c>
      <c r="I99">
        <v>872</v>
      </c>
      <c r="J99" t="s">
        <v>14</v>
      </c>
    </row>
    <row r="100" spans="1:10" x14ac:dyDescent="0.3">
      <c r="A100" t="s">
        <v>220</v>
      </c>
      <c r="B100" t="s">
        <v>45</v>
      </c>
      <c r="C100" t="s">
        <v>35</v>
      </c>
      <c r="D100" t="s">
        <v>13</v>
      </c>
      <c r="F100">
        <v>338</v>
      </c>
      <c r="G100">
        <v>0</v>
      </c>
      <c r="H100">
        <v>338</v>
      </c>
      <c r="I100">
        <v>1297</v>
      </c>
      <c r="J100" t="s">
        <v>14</v>
      </c>
    </row>
    <row r="101" spans="1:10" x14ac:dyDescent="0.3">
      <c r="A101" t="s">
        <v>221</v>
      </c>
      <c r="B101" t="s">
        <v>62</v>
      </c>
      <c r="C101" t="s">
        <v>49</v>
      </c>
      <c r="D101" t="s">
        <v>32</v>
      </c>
      <c r="E101" s="1">
        <v>46216</v>
      </c>
      <c r="F101">
        <v>215</v>
      </c>
      <c r="G101">
        <v>39</v>
      </c>
      <c r="H101">
        <v>176</v>
      </c>
      <c r="I101">
        <v>1194</v>
      </c>
      <c r="J101" t="s">
        <v>14</v>
      </c>
    </row>
    <row r="102" spans="1:10" x14ac:dyDescent="0.3">
      <c r="A102" t="s">
        <v>222</v>
      </c>
      <c r="B102" t="s">
        <v>211</v>
      </c>
      <c r="C102" t="s">
        <v>35</v>
      </c>
      <c r="D102" t="s">
        <v>36</v>
      </c>
      <c r="E102" s="1">
        <v>45998</v>
      </c>
      <c r="F102">
        <v>466</v>
      </c>
      <c r="G102">
        <v>425</v>
      </c>
      <c r="H102">
        <v>41</v>
      </c>
      <c r="I102">
        <v>2740</v>
      </c>
      <c r="J102" t="s">
        <v>17</v>
      </c>
    </row>
    <row r="103" spans="1:10" x14ac:dyDescent="0.3">
      <c r="A103" t="s">
        <v>223</v>
      </c>
      <c r="B103" t="s">
        <v>224</v>
      </c>
      <c r="C103" t="s">
        <v>49</v>
      </c>
      <c r="D103" t="s">
        <v>36</v>
      </c>
      <c r="F103">
        <v>170</v>
      </c>
      <c r="G103">
        <v>0</v>
      </c>
      <c r="H103">
        <v>170</v>
      </c>
      <c r="I103">
        <v>2023</v>
      </c>
      <c r="J103" t="s">
        <v>14</v>
      </c>
    </row>
    <row r="104" spans="1:10" x14ac:dyDescent="0.3">
      <c r="A104" t="s">
        <v>225</v>
      </c>
      <c r="B104" t="s">
        <v>57</v>
      </c>
      <c r="C104" t="s">
        <v>28</v>
      </c>
      <c r="D104" t="s">
        <v>21</v>
      </c>
      <c r="E104" s="1">
        <v>46004</v>
      </c>
      <c r="F104">
        <v>109</v>
      </c>
      <c r="G104">
        <v>86</v>
      </c>
      <c r="H104">
        <v>23</v>
      </c>
      <c r="I104" t="s">
        <v>226</v>
      </c>
      <c r="J104" t="s">
        <v>180</v>
      </c>
    </row>
    <row r="105" spans="1:10" x14ac:dyDescent="0.3">
      <c r="A105" t="s">
        <v>227</v>
      </c>
      <c r="B105" t="s">
        <v>131</v>
      </c>
      <c r="C105" t="s">
        <v>49</v>
      </c>
      <c r="D105" t="s">
        <v>209</v>
      </c>
      <c r="E105" t="s">
        <v>58</v>
      </c>
      <c r="F105">
        <v>60</v>
      </c>
      <c r="G105">
        <v>0</v>
      </c>
      <c r="H105">
        <v>60</v>
      </c>
      <c r="I105">
        <v>2069</v>
      </c>
      <c r="J105" t="s">
        <v>46</v>
      </c>
    </row>
    <row r="106" spans="1:10" x14ac:dyDescent="0.3">
      <c r="A106" t="s">
        <v>228</v>
      </c>
      <c r="B106" t="s">
        <v>124</v>
      </c>
      <c r="C106" t="s">
        <v>28</v>
      </c>
      <c r="D106" t="s">
        <v>13</v>
      </c>
      <c r="E106" t="s">
        <v>58</v>
      </c>
      <c r="F106">
        <v>398</v>
      </c>
      <c r="G106">
        <v>-5</v>
      </c>
      <c r="H106">
        <v>398</v>
      </c>
      <c r="I106" t="s">
        <v>229</v>
      </c>
      <c r="J106" t="s">
        <v>14</v>
      </c>
    </row>
    <row r="107" spans="1:10" x14ac:dyDescent="0.3">
      <c r="A107" t="s">
        <v>230</v>
      </c>
      <c r="B107" t="s">
        <v>191</v>
      </c>
      <c r="C107" t="s">
        <v>28</v>
      </c>
      <c r="D107" t="s">
        <v>21</v>
      </c>
      <c r="E107" s="1">
        <v>46283</v>
      </c>
      <c r="F107">
        <v>212</v>
      </c>
      <c r="G107">
        <v>46</v>
      </c>
      <c r="H107">
        <v>166</v>
      </c>
      <c r="I107">
        <v>878</v>
      </c>
      <c r="J107" t="s">
        <v>127</v>
      </c>
    </row>
    <row r="108" spans="1:10" x14ac:dyDescent="0.3">
      <c r="A108" t="s">
        <v>231</v>
      </c>
      <c r="B108" t="s">
        <v>93</v>
      </c>
      <c r="C108" t="s">
        <v>12</v>
      </c>
      <c r="D108" t="s">
        <v>13</v>
      </c>
      <c r="E108" s="1">
        <v>46185</v>
      </c>
      <c r="F108">
        <v>428</v>
      </c>
      <c r="G108">
        <v>36</v>
      </c>
      <c r="H108">
        <v>392</v>
      </c>
      <c r="I108">
        <v>2196</v>
      </c>
      <c r="J108" t="s">
        <v>14</v>
      </c>
    </row>
    <row r="109" spans="1:10" x14ac:dyDescent="0.3">
      <c r="A109" t="s">
        <v>232</v>
      </c>
      <c r="B109" t="s">
        <v>30</v>
      </c>
      <c r="C109" t="s">
        <v>31</v>
      </c>
      <c r="D109" t="s">
        <v>36</v>
      </c>
      <c r="E109" s="1">
        <v>46168</v>
      </c>
      <c r="G109">
        <v>429</v>
      </c>
      <c r="H109">
        <v>43</v>
      </c>
      <c r="I109">
        <v>432</v>
      </c>
      <c r="J109" t="s">
        <v>17</v>
      </c>
    </row>
    <row r="110" spans="1:10" x14ac:dyDescent="0.3">
      <c r="A110" t="s">
        <v>233</v>
      </c>
      <c r="B110" t="s">
        <v>234</v>
      </c>
      <c r="C110" t="s">
        <v>28</v>
      </c>
      <c r="D110" t="s">
        <v>36</v>
      </c>
      <c r="E110" s="1">
        <v>46015</v>
      </c>
      <c r="F110">
        <v>139</v>
      </c>
      <c r="G110">
        <v>43</v>
      </c>
      <c r="H110">
        <v>96</v>
      </c>
      <c r="I110">
        <v>2136</v>
      </c>
      <c r="J110" t="s">
        <v>85</v>
      </c>
    </row>
    <row r="111" spans="1:10" x14ac:dyDescent="0.3">
      <c r="A111" t="s">
        <v>235</v>
      </c>
      <c r="B111" t="s">
        <v>236</v>
      </c>
      <c r="C111" t="s">
        <v>12</v>
      </c>
      <c r="D111" t="s">
        <v>209</v>
      </c>
      <c r="E111" s="1">
        <v>46250</v>
      </c>
      <c r="G111">
        <v>22</v>
      </c>
      <c r="H111">
        <v>121</v>
      </c>
      <c r="I111">
        <v>2053</v>
      </c>
      <c r="J111" t="s">
        <v>127</v>
      </c>
    </row>
    <row r="112" spans="1:10" x14ac:dyDescent="0.3">
      <c r="A112" t="s">
        <v>237</v>
      </c>
      <c r="B112" t="s">
        <v>238</v>
      </c>
      <c r="C112" t="s">
        <v>28</v>
      </c>
      <c r="D112" t="s">
        <v>21</v>
      </c>
      <c r="E112" s="1">
        <v>46186</v>
      </c>
      <c r="F112">
        <v>276</v>
      </c>
      <c r="G112">
        <v>105</v>
      </c>
      <c r="H112">
        <v>171</v>
      </c>
      <c r="I112">
        <v>2848</v>
      </c>
      <c r="J112" t="s">
        <v>14</v>
      </c>
    </row>
    <row r="113" spans="1:10" x14ac:dyDescent="0.3">
      <c r="A113" t="s">
        <v>239</v>
      </c>
      <c r="B113" t="s">
        <v>240</v>
      </c>
      <c r="C113" t="s">
        <v>49</v>
      </c>
      <c r="D113" t="s">
        <v>36</v>
      </c>
      <c r="E113" s="1">
        <v>46135</v>
      </c>
      <c r="F113">
        <v>145</v>
      </c>
      <c r="G113">
        <v>20</v>
      </c>
      <c r="I113" t="s">
        <v>241</v>
      </c>
      <c r="J113" t="s">
        <v>14</v>
      </c>
    </row>
    <row r="114" spans="1:10" x14ac:dyDescent="0.3">
      <c r="A114" t="s">
        <v>242</v>
      </c>
      <c r="B114" t="s">
        <v>243</v>
      </c>
      <c r="C114" t="s">
        <v>28</v>
      </c>
      <c r="D114" t="s">
        <v>13</v>
      </c>
      <c r="E114" s="1">
        <v>46210</v>
      </c>
      <c r="F114">
        <v>287</v>
      </c>
      <c r="G114">
        <v>272</v>
      </c>
      <c r="H114">
        <v>15</v>
      </c>
      <c r="I114">
        <v>2946</v>
      </c>
      <c r="J114" t="s">
        <v>17</v>
      </c>
    </row>
    <row r="115" spans="1:10" x14ac:dyDescent="0.3">
      <c r="A115" t="s">
        <v>244</v>
      </c>
      <c r="B115" t="s">
        <v>245</v>
      </c>
      <c r="C115" t="s">
        <v>28</v>
      </c>
      <c r="D115" t="s">
        <v>32</v>
      </c>
      <c r="E115" s="1">
        <v>46119</v>
      </c>
      <c r="F115">
        <v>456</v>
      </c>
      <c r="G115">
        <v>111</v>
      </c>
      <c r="H115">
        <v>345</v>
      </c>
      <c r="I115">
        <v>1358</v>
      </c>
      <c r="J115" t="s">
        <v>14</v>
      </c>
    </row>
    <row r="116" spans="1:10" x14ac:dyDescent="0.3">
      <c r="A116" t="s">
        <v>77</v>
      </c>
      <c r="B116" t="s">
        <v>78</v>
      </c>
      <c r="C116" t="s">
        <v>35</v>
      </c>
      <c r="D116" t="s">
        <v>36</v>
      </c>
      <c r="F116">
        <v>331</v>
      </c>
      <c r="G116">
        <v>0</v>
      </c>
      <c r="H116">
        <v>331</v>
      </c>
      <c r="I116">
        <v>332</v>
      </c>
      <c r="J116" t="s">
        <v>14</v>
      </c>
    </row>
    <row r="117" spans="1:10" x14ac:dyDescent="0.3">
      <c r="A117" t="s">
        <v>246</v>
      </c>
      <c r="B117" t="s">
        <v>211</v>
      </c>
      <c r="C117" t="s">
        <v>35</v>
      </c>
      <c r="D117" t="s">
        <v>21</v>
      </c>
      <c r="F117">
        <v>95</v>
      </c>
      <c r="G117">
        <v>0</v>
      </c>
      <c r="H117">
        <v>95</v>
      </c>
      <c r="I117" t="s">
        <v>247</v>
      </c>
      <c r="J117" t="s">
        <v>14</v>
      </c>
    </row>
    <row r="118" spans="1:10" x14ac:dyDescent="0.3">
      <c r="A118" t="s">
        <v>248</v>
      </c>
      <c r="B118" t="s">
        <v>57</v>
      </c>
      <c r="C118" t="s">
        <v>28</v>
      </c>
      <c r="D118" t="s">
        <v>32</v>
      </c>
      <c r="F118">
        <v>499</v>
      </c>
      <c r="G118">
        <v>0</v>
      </c>
      <c r="H118">
        <v>499</v>
      </c>
      <c r="I118" t="s">
        <v>249</v>
      </c>
      <c r="J118" t="s">
        <v>85</v>
      </c>
    </row>
    <row r="119" spans="1:10" x14ac:dyDescent="0.3">
      <c r="A119" t="s">
        <v>250</v>
      </c>
      <c r="B119" t="s">
        <v>138</v>
      </c>
      <c r="C119" t="s">
        <v>251</v>
      </c>
      <c r="D119" t="s">
        <v>32</v>
      </c>
      <c r="E119" s="1">
        <v>46281</v>
      </c>
      <c r="F119">
        <v>401</v>
      </c>
      <c r="G119">
        <v>145</v>
      </c>
      <c r="H119">
        <v>256</v>
      </c>
      <c r="I119" t="s">
        <v>252</v>
      </c>
      <c r="J119" t="s">
        <v>14</v>
      </c>
    </row>
    <row r="120" spans="1:10" x14ac:dyDescent="0.3">
      <c r="A120" t="s">
        <v>253</v>
      </c>
      <c r="B120" t="s">
        <v>254</v>
      </c>
      <c r="C120" t="s">
        <v>58</v>
      </c>
      <c r="D120" t="s">
        <v>21</v>
      </c>
      <c r="E120" s="1">
        <v>46111</v>
      </c>
      <c r="F120">
        <v>129</v>
      </c>
      <c r="G120">
        <v>30</v>
      </c>
      <c r="H120">
        <v>99</v>
      </c>
      <c r="I120">
        <v>1862</v>
      </c>
      <c r="J120" t="s">
        <v>14</v>
      </c>
    </row>
    <row r="121" spans="1:10" x14ac:dyDescent="0.3">
      <c r="A121" t="s">
        <v>217</v>
      </c>
      <c r="B121" t="s">
        <v>30</v>
      </c>
      <c r="C121" t="s">
        <v>213</v>
      </c>
      <c r="D121" t="s">
        <v>13</v>
      </c>
      <c r="E121" s="1">
        <v>46033</v>
      </c>
      <c r="F121">
        <v>132</v>
      </c>
      <c r="G121">
        <v>97</v>
      </c>
      <c r="H121">
        <v>35</v>
      </c>
      <c r="I121">
        <v>1051</v>
      </c>
      <c r="J121" t="s">
        <v>17</v>
      </c>
    </row>
    <row r="122" spans="1:10" x14ac:dyDescent="0.3">
      <c r="A122" t="s">
        <v>255</v>
      </c>
      <c r="B122" t="s">
        <v>19</v>
      </c>
      <c r="C122" t="s">
        <v>28</v>
      </c>
      <c r="D122" t="s">
        <v>13</v>
      </c>
      <c r="E122" s="1">
        <v>46067</v>
      </c>
      <c r="F122">
        <v>234</v>
      </c>
      <c r="G122">
        <v>13</v>
      </c>
      <c r="H122">
        <v>221</v>
      </c>
      <c r="I122">
        <v>2114</v>
      </c>
      <c r="J122" t="s">
        <v>14</v>
      </c>
    </row>
    <row r="123" spans="1:10" x14ac:dyDescent="0.3">
      <c r="A123" t="s">
        <v>256</v>
      </c>
      <c r="B123" t="s">
        <v>182</v>
      </c>
      <c r="C123" t="s">
        <v>12</v>
      </c>
      <c r="D123" t="s">
        <v>21</v>
      </c>
      <c r="E123" s="1">
        <v>46165</v>
      </c>
      <c r="F123">
        <v>471</v>
      </c>
      <c r="G123">
        <v>117</v>
      </c>
      <c r="H123">
        <v>354</v>
      </c>
      <c r="I123">
        <v>67</v>
      </c>
      <c r="J123" t="s">
        <v>85</v>
      </c>
    </row>
    <row r="124" spans="1:10" x14ac:dyDescent="0.3">
      <c r="A124" t="s">
        <v>257</v>
      </c>
      <c r="B124" t="s">
        <v>142</v>
      </c>
      <c r="C124" t="s">
        <v>49</v>
      </c>
      <c r="D124" t="s">
        <v>21</v>
      </c>
      <c r="F124">
        <v>497</v>
      </c>
      <c r="G124">
        <v>0</v>
      </c>
      <c r="H124">
        <v>497</v>
      </c>
      <c r="I124">
        <v>1573</v>
      </c>
      <c r="J124" t="s">
        <v>46</v>
      </c>
    </row>
    <row r="125" spans="1:10" x14ac:dyDescent="0.3">
      <c r="A125" t="s">
        <v>258</v>
      </c>
      <c r="B125" t="s">
        <v>259</v>
      </c>
      <c r="C125" t="s">
        <v>49</v>
      </c>
      <c r="D125" t="s">
        <v>36</v>
      </c>
      <c r="F125">
        <v>442</v>
      </c>
      <c r="G125">
        <v>0</v>
      </c>
      <c r="H125">
        <v>442</v>
      </c>
      <c r="I125" t="s">
        <v>260</v>
      </c>
      <c r="J125" t="s">
        <v>14</v>
      </c>
    </row>
    <row r="126" spans="1:10" x14ac:dyDescent="0.3">
      <c r="A126" t="s">
        <v>261</v>
      </c>
      <c r="B126" t="s">
        <v>262</v>
      </c>
      <c r="C126" t="s">
        <v>12</v>
      </c>
      <c r="D126" t="s">
        <v>21</v>
      </c>
      <c r="F126">
        <v>422</v>
      </c>
      <c r="G126">
        <v>0</v>
      </c>
      <c r="H126">
        <v>422</v>
      </c>
      <c r="I126">
        <v>808</v>
      </c>
      <c r="J126" t="s">
        <v>14</v>
      </c>
    </row>
    <row r="127" spans="1:10" x14ac:dyDescent="0.3">
      <c r="A127" t="s">
        <v>263</v>
      </c>
      <c r="B127" t="s">
        <v>57</v>
      </c>
      <c r="C127" t="s">
        <v>28</v>
      </c>
      <c r="D127" t="s">
        <v>32</v>
      </c>
      <c r="E127" s="1">
        <v>46054</v>
      </c>
      <c r="F127">
        <v>80</v>
      </c>
      <c r="G127">
        <v>72</v>
      </c>
      <c r="H127">
        <v>8</v>
      </c>
      <c r="I127">
        <v>2445</v>
      </c>
      <c r="J127" t="s">
        <v>17</v>
      </c>
    </row>
    <row r="128" spans="1:10" x14ac:dyDescent="0.3">
      <c r="A128" t="s">
        <v>264</v>
      </c>
      <c r="B128" t="s">
        <v>105</v>
      </c>
      <c r="C128" t="s">
        <v>28</v>
      </c>
      <c r="D128" t="s">
        <v>32</v>
      </c>
      <c r="E128" t="s">
        <v>58</v>
      </c>
      <c r="F128">
        <v>352</v>
      </c>
      <c r="G128">
        <v>0</v>
      </c>
      <c r="H128">
        <v>352</v>
      </c>
      <c r="I128">
        <v>1149</v>
      </c>
      <c r="J128" t="s">
        <v>14</v>
      </c>
    </row>
    <row r="129" spans="1:10" x14ac:dyDescent="0.3">
      <c r="A129" t="s">
        <v>265</v>
      </c>
      <c r="B129" t="s">
        <v>266</v>
      </c>
      <c r="C129" t="s">
        <v>35</v>
      </c>
      <c r="D129" t="s">
        <v>21</v>
      </c>
      <c r="E129" s="1">
        <v>46268</v>
      </c>
      <c r="F129">
        <v>107</v>
      </c>
      <c r="G129">
        <v>34</v>
      </c>
      <c r="H129">
        <v>73</v>
      </c>
      <c r="I129">
        <v>1814</v>
      </c>
      <c r="J129" t="s">
        <v>14</v>
      </c>
    </row>
    <row r="130" spans="1:10" x14ac:dyDescent="0.3">
      <c r="A130" t="s">
        <v>267</v>
      </c>
      <c r="B130" t="s">
        <v>51</v>
      </c>
      <c r="C130" t="s">
        <v>49</v>
      </c>
      <c r="D130" t="s">
        <v>13</v>
      </c>
      <c r="E130" t="s">
        <v>58</v>
      </c>
      <c r="F130">
        <v>362</v>
      </c>
      <c r="G130">
        <v>0</v>
      </c>
      <c r="H130">
        <v>362</v>
      </c>
      <c r="I130">
        <v>2416</v>
      </c>
      <c r="J130" t="s">
        <v>14</v>
      </c>
    </row>
    <row r="131" spans="1:10" x14ac:dyDescent="0.3">
      <c r="A131" t="s">
        <v>268</v>
      </c>
      <c r="B131" t="s">
        <v>19</v>
      </c>
      <c r="C131" t="s">
        <v>28</v>
      </c>
      <c r="D131" t="s">
        <v>36</v>
      </c>
      <c r="E131" s="1">
        <v>46147</v>
      </c>
      <c r="F131">
        <v>92</v>
      </c>
      <c r="G131">
        <v>71</v>
      </c>
      <c r="H131">
        <v>21</v>
      </c>
      <c r="I131">
        <v>2790</v>
      </c>
      <c r="J131" t="s">
        <v>17</v>
      </c>
    </row>
    <row r="132" spans="1:10" x14ac:dyDescent="0.3">
      <c r="A132" t="s">
        <v>269</v>
      </c>
      <c r="B132" t="s">
        <v>270</v>
      </c>
      <c r="C132" t="s">
        <v>49</v>
      </c>
      <c r="D132" t="s">
        <v>63</v>
      </c>
      <c r="E132" s="1">
        <v>46112</v>
      </c>
      <c r="F132">
        <v>73</v>
      </c>
      <c r="G132">
        <v>53</v>
      </c>
      <c r="H132">
        <v>20</v>
      </c>
      <c r="I132" t="s">
        <v>271</v>
      </c>
      <c r="J132" t="s">
        <v>17</v>
      </c>
    </row>
    <row r="133" spans="1:10" x14ac:dyDescent="0.3">
      <c r="A133" t="s">
        <v>272</v>
      </c>
      <c r="B133" t="s">
        <v>34</v>
      </c>
      <c r="C133" t="s">
        <v>35</v>
      </c>
      <c r="D133" t="s">
        <v>13</v>
      </c>
      <c r="E133" s="1">
        <v>46193</v>
      </c>
      <c r="F133">
        <v>447</v>
      </c>
      <c r="H133">
        <v>121</v>
      </c>
      <c r="I133">
        <v>2217</v>
      </c>
      <c r="J133" t="s">
        <v>14</v>
      </c>
    </row>
    <row r="134" spans="1:10" x14ac:dyDescent="0.3">
      <c r="A134" t="s">
        <v>273</v>
      </c>
      <c r="B134" t="s">
        <v>274</v>
      </c>
      <c r="C134" t="s">
        <v>28</v>
      </c>
      <c r="D134" t="s">
        <v>13</v>
      </c>
      <c r="F134">
        <v>213</v>
      </c>
      <c r="G134">
        <v>0</v>
      </c>
      <c r="H134">
        <v>213</v>
      </c>
      <c r="I134">
        <v>1988</v>
      </c>
      <c r="J134" t="s">
        <v>14</v>
      </c>
    </row>
    <row r="135" spans="1:10" x14ac:dyDescent="0.3">
      <c r="A135" t="s">
        <v>275</v>
      </c>
      <c r="B135" t="s">
        <v>276</v>
      </c>
      <c r="C135" t="s">
        <v>31</v>
      </c>
      <c r="D135" t="s">
        <v>21</v>
      </c>
      <c r="E135" s="1">
        <v>46188</v>
      </c>
      <c r="F135">
        <v>415</v>
      </c>
      <c r="H135">
        <v>108</v>
      </c>
      <c r="I135">
        <v>1948</v>
      </c>
      <c r="J135" t="s">
        <v>14</v>
      </c>
    </row>
    <row r="136" spans="1:10" x14ac:dyDescent="0.3">
      <c r="A136" t="s">
        <v>277</v>
      </c>
      <c r="B136" t="s">
        <v>278</v>
      </c>
      <c r="C136" t="s">
        <v>279</v>
      </c>
      <c r="D136" t="s">
        <v>36</v>
      </c>
      <c r="F136">
        <v>282</v>
      </c>
      <c r="G136">
        <v>0</v>
      </c>
      <c r="H136">
        <v>282</v>
      </c>
      <c r="I136">
        <v>1187</v>
      </c>
      <c r="J136" t="s">
        <v>58</v>
      </c>
    </row>
    <row r="137" spans="1:10" x14ac:dyDescent="0.3">
      <c r="A137" t="s">
        <v>280</v>
      </c>
      <c r="B137" t="s">
        <v>93</v>
      </c>
      <c r="C137" t="s">
        <v>12</v>
      </c>
      <c r="D137" t="s">
        <v>36</v>
      </c>
      <c r="F137">
        <v>356</v>
      </c>
      <c r="G137">
        <v>0</v>
      </c>
      <c r="H137">
        <v>356</v>
      </c>
      <c r="J137" t="s">
        <v>14</v>
      </c>
    </row>
    <row r="138" spans="1:10" x14ac:dyDescent="0.3">
      <c r="A138" t="s">
        <v>281</v>
      </c>
      <c r="B138" t="s">
        <v>240</v>
      </c>
      <c r="C138" t="s">
        <v>49</v>
      </c>
      <c r="D138" t="s">
        <v>32</v>
      </c>
      <c r="F138">
        <v>151</v>
      </c>
      <c r="G138">
        <v>0</v>
      </c>
      <c r="H138">
        <v>151</v>
      </c>
      <c r="I138" t="s">
        <v>282</v>
      </c>
      <c r="J138" t="s">
        <v>14</v>
      </c>
    </row>
    <row r="139" spans="1:10" x14ac:dyDescent="0.3">
      <c r="A139" t="s">
        <v>283</v>
      </c>
      <c r="B139" t="s">
        <v>284</v>
      </c>
      <c r="C139" t="s">
        <v>49</v>
      </c>
      <c r="D139" t="s">
        <v>13</v>
      </c>
      <c r="E139" s="1">
        <v>46268</v>
      </c>
      <c r="F139">
        <v>137</v>
      </c>
      <c r="G139">
        <v>131</v>
      </c>
      <c r="H139">
        <v>6</v>
      </c>
      <c r="I139">
        <v>1650</v>
      </c>
      <c r="J139" t="s">
        <v>17</v>
      </c>
    </row>
    <row r="140" spans="1:10" x14ac:dyDescent="0.3">
      <c r="A140" t="s">
        <v>285</v>
      </c>
      <c r="B140" t="s">
        <v>11</v>
      </c>
      <c r="C140" t="s">
        <v>12</v>
      </c>
      <c r="D140" t="s">
        <v>36</v>
      </c>
      <c r="E140" s="1">
        <v>46275</v>
      </c>
      <c r="F140">
        <v>214</v>
      </c>
      <c r="G140">
        <v>81</v>
      </c>
      <c r="H140">
        <v>133</v>
      </c>
      <c r="I140">
        <v>2933</v>
      </c>
      <c r="J140" t="s">
        <v>14</v>
      </c>
    </row>
    <row r="141" spans="1:10" x14ac:dyDescent="0.3">
      <c r="A141" t="s">
        <v>286</v>
      </c>
      <c r="B141" t="s">
        <v>54</v>
      </c>
      <c r="C141" t="s">
        <v>139</v>
      </c>
      <c r="D141" t="s">
        <v>21</v>
      </c>
      <c r="E141" t="s">
        <v>58</v>
      </c>
      <c r="F141" t="s">
        <v>58</v>
      </c>
      <c r="G141">
        <v>0</v>
      </c>
      <c r="H141">
        <v>336</v>
      </c>
      <c r="I141">
        <v>2820</v>
      </c>
      <c r="J141" t="s">
        <v>14</v>
      </c>
    </row>
    <row r="142" spans="1:10" x14ac:dyDescent="0.3">
      <c r="A142" t="s">
        <v>287</v>
      </c>
      <c r="B142" t="s">
        <v>236</v>
      </c>
      <c r="C142" t="s">
        <v>12</v>
      </c>
      <c r="D142" t="s">
        <v>13</v>
      </c>
      <c r="E142" s="1">
        <v>46286</v>
      </c>
      <c r="F142">
        <v>390</v>
      </c>
      <c r="G142">
        <v>59</v>
      </c>
      <c r="H142">
        <v>331</v>
      </c>
      <c r="I142">
        <v>2595</v>
      </c>
      <c r="J142" t="s">
        <v>127</v>
      </c>
    </row>
    <row r="143" spans="1:10" x14ac:dyDescent="0.3">
      <c r="A143" t="s">
        <v>288</v>
      </c>
      <c r="B143" t="s">
        <v>289</v>
      </c>
      <c r="C143" t="s">
        <v>49</v>
      </c>
      <c r="D143" t="s">
        <v>32</v>
      </c>
      <c r="E143" s="1">
        <v>46141</v>
      </c>
      <c r="F143">
        <v>229</v>
      </c>
      <c r="G143">
        <v>198</v>
      </c>
      <c r="H143">
        <v>31</v>
      </c>
      <c r="I143">
        <v>994</v>
      </c>
      <c r="J143" t="s">
        <v>17</v>
      </c>
    </row>
    <row r="144" spans="1:10" x14ac:dyDescent="0.3">
      <c r="A144" t="s">
        <v>290</v>
      </c>
      <c r="B144" t="s">
        <v>234</v>
      </c>
      <c r="C144" t="s">
        <v>20</v>
      </c>
      <c r="D144" t="s">
        <v>21</v>
      </c>
      <c r="E144" s="1">
        <v>46172</v>
      </c>
      <c r="F144">
        <v>437</v>
      </c>
      <c r="G144">
        <v>35</v>
      </c>
      <c r="H144">
        <v>402</v>
      </c>
      <c r="I144">
        <v>2745</v>
      </c>
      <c r="J144" t="s">
        <v>14</v>
      </c>
    </row>
    <row r="145" spans="1:10" x14ac:dyDescent="0.3">
      <c r="A145" t="s">
        <v>291</v>
      </c>
      <c r="B145" t="s">
        <v>41</v>
      </c>
      <c r="C145" t="s">
        <v>49</v>
      </c>
      <c r="D145" t="s">
        <v>21</v>
      </c>
      <c r="F145">
        <v>189</v>
      </c>
      <c r="G145">
        <v>0</v>
      </c>
      <c r="H145">
        <v>189</v>
      </c>
      <c r="I145">
        <v>788</v>
      </c>
      <c r="J145" t="s">
        <v>14</v>
      </c>
    </row>
    <row r="146" spans="1:10" x14ac:dyDescent="0.3">
      <c r="A146" t="s">
        <v>292</v>
      </c>
      <c r="B146" t="s">
        <v>45</v>
      </c>
      <c r="C146" t="s">
        <v>35</v>
      </c>
      <c r="D146" t="s">
        <v>32</v>
      </c>
      <c r="E146" s="1">
        <v>46103</v>
      </c>
      <c r="F146">
        <v>366</v>
      </c>
      <c r="G146">
        <v>68</v>
      </c>
      <c r="H146">
        <v>298</v>
      </c>
      <c r="I146">
        <v>1325</v>
      </c>
      <c r="J146" t="s">
        <v>85</v>
      </c>
    </row>
    <row r="147" spans="1:10" x14ac:dyDescent="0.3">
      <c r="A147" t="s">
        <v>293</v>
      </c>
      <c r="B147" t="s">
        <v>294</v>
      </c>
      <c r="C147" t="s">
        <v>35</v>
      </c>
      <c r="D147" t="s">
        <v>13</v>
      </c>
      <c r="E147" s="1">
        <v>46143</v>
      </c>
      <c r="F147">
        <v>112</v>
      </c>
      <c r="G147">
        <v>91</v>
      </c>
      <c r="H147">
        <v>21</v>
      </c>
      <c r="I147">
        <v>153</v>
      </c>
      <c r="J147" t="s">
        <v>17</v>
      </c>
    </row>
    <row r="148" spans="1:10" x14ac:dyDescent="0.3">
      <c r="A148" t="s">
        <v>295</v>
      </c>
      <c r="B148" t="s">
        <v>296</v>
      </c>
      <c r="C148" t="s">
        <v>31</v>
      </c>
      <c r="D148" t="s">
        <v>32</v>
      </c>
      <c r="E148" s="1">
        <v>46136</v>
      </c>
      <c r="F148">
        <v>339</v>
      </c>
      <c r="G148">
        <v>320</v>
      </c>
      <c r="H148">
        <v>19</v>
      </c>
      <c r="I148">
        <v>226</v>
      </c>
      <c r="J148" t="s">
        <v>17</v>
      </c>
    </row>
    <row r="149" spans="1:10" x14ac:dyDescent="0.3">
      <c r="A149" t="s">
        <v>297</v>
      </c>
      <c r="B149" t="s">
        <v>298</v>
      </c>
      <c r="C149" t="s">
        <v>31</v>
      </c>
      <c r="D149" t="s">
        <v>13</v>
      </c>
      <c r="E149" s="1">
        <v>46245</v>
      </c>
      <c r="F149">
        <v>131</v>
      </c>
      <c r="G149">
        <v>44</v>
      </c>
      <c r="H149">
        <v>87</v>
      </c>
      <c r="I149">
        <v>1758</v>
      </c>
      <c r="J149" t="s">
        <v>127</v>
      </c>
    </row>
    <row r="150" spans="1:10" x14ac:dyDescent="0.3">
      <c r="A150" t="s">
        <v>299</v>
      </c>
      <c r="B150" t="s">
        <v>243</v>
      </c>
      <c r="C150" t="s">
        <v>28</v>
      </c>
      <c r="D150" t="s">
        <v>300</v>
      </c>
      <c r="E150" t="s">
        <v>58</v>
      </c>
      <c r="F150">
        <v>215</v>
      </c>
      <c r="G150">
        <v>0</v>
      </c>
      <c r="H150">
        <v>215</v>
      </c>
      <c r="I150">
        <v>1051</v>
      </c>
      <c r="J150" t="s">
        <v>14</v>
      </c>
    </row>
    <row r="151" spans="1:10" x14ac:dyDescent="0.3">
      <c r="A151" t="s">
        <v>301</v>
      </c>
      <c r="B151" t="s">
        <v>302</v>
      </c>
      <c r="C151" t="s">
        <v>12</v>
      </c>
      <c r="D151" t="s">
        <v>36</v>
      </c>
      <c r="E151" t="s">
        <v>58</v>
      </c>
      <c r="F151">
        <v>122</v>
      </c>
      <c r="G151">
        <v>0</v>
      </c>
      <c r="H151">
        <v>122</v>
      </c>
      <c r="I151">
        <v>1743</v>
      </c>
      <c r="J151" t="s">
        <v>14</v>
      </c>
    </row>
    <row r="152" spans="1:10" x14ac:dyDescent="0.3">
      <c r="A152" t="s">
        <v>303</v>
      </c>
      <c r="B152" t="s">
        <v>304</v>
      </c>
      <c r="C152" t="s">
        <v>31</v>
      </c>
      <c r="D152" t="s">
        <v>13</v>
      </c>
      <c r="F152">
        <v>470</v>
      </c>
      <c r="G152">
        <v>0</v>
      </c>
      <c r="H152">
        <v>470</v>
      </c>
      <c r="I152">
        <v>615</v>
      </c>
      <c r="J152" t="s">
        <v>127</v>
      </c>
    </row>
    <row r="153" spans="1:10" x14ac:dyDescent="0.3">
      <c r="A153" t="s">
        <v>305</v>
      </c>
      <c r="B153" t="s">
        <v>101</v>
      </c>
      <c r="C153" t="s">
        <v>12</v>
      </c>
      <c r="D153" t="s">
        <v>36</v>
      </c>
      <c r="E153" s="1">
        <v>46161</v>
      </c>
      <c r="F153">
        <v>150</v>
      </c>
      <c r="G153">
        <v>137</v>
      </c>
      <c r="H153">
        <v>13</v>
      </c>
      <c r="I153">
        <v>373</v>
      </c>
      <c r="J153" t="s">
        <v>17</v>
      </c>
    </row>
    <row r="154" spans="1:10" x14ac:dyDescent="0.3">
      <c r="A154" t="s">
        <v>306</v>
      </c>
      <c r="B154" t="s">
        <v>198</v>
      </c>
      <c r="C154" t="s">
        <v>31</v>
      </c>
      <c r="D154" t="s">
        <v>300</v>
      </c>
      <c r="F154">
        <v>290</v>
      </c>
      <c r="G154">
        <v>0</v>
      </c>
      <c r="H154">
        <v>290</v>
      </c>
      <c r="I154">
        <v>2837</v>
      </c>
      <c r="J154" t="s">
        <v>127</v>
      </c>
    </row>
    <row r="155" spans="1:10" x14ac:dyDescent="0.3">
      <c r="A155" t="s">
        <v>307</v>
      </c>
      <c r="B155" t="s">
        <v>308</v>
      </c>
      <c r="C155" t="s">
        <v>12</v>
      </c>
      <c r="D155" t="s">
        <v>21</v>
      </c>
      <c r="E155" t="s">
        <v>58</v>
      </c>
      <c r="F155">
        <v>291</v>
      </c>
      <c r="G155">
        <v>0</v>
      </c>
      <c r="H155">
        <v>291</v>
      </c>
      <c r="I155">
        <v>126</v>
      </c>
      <c r="J155" t="s">
        <v>14</v>
      </c>
    </row>
    <row r="156" spans="1:10" x14ac:dyDescent="0.3">
      <c r="A156" t="s">
        <v>309</v>
      </c>
      <c r="B156" t="s">
        <v>34</v>
      </c>
      <c r="C156" t="s">
        <v>35</v>
      </c>
      <c r="D156" t="s">
        <v>13</v>
      </c>
      <c r="E156" t="s">
        <v>58</v>
      </c>
      <c r="F156">
        <v>221</v>
      </c>
      <c r="G156">
        <v>0</v>
      </c>
      <c r="H156">
        <v>221</v>
      </c>
      <c r="I156">
        <v>794</v>
      </c>
      <c r="J156" t="s">
        <v>14</v>
      </c>
    </row>
    <row r="157" spans="1:10" x14ac:dyDescent="0.3">
      <c r="A157" t="s">
        <v>310</v>
      </c>
      <c r="B157" t="s">
        <v>16</v>
      </c>
      <c r="C157" t="s">
        <v>12</v>
      </c>
      <c r="D157" t="s">
        <v>36</v>
      </c>
      <c r="E157" s="1">
        <v>46147</v>
      </c>
      <c r="F157">
        <v>428</v>
      </c>
      <c r="G157">
        <v>334</v>
      </c>
      <c r="H157">
        <v>94</v>
      </c>
      <c r="I157">
        <v>2986</v>
      </c>
      <c r="J157" t="s">
        <v>14</v>
      </c>
    </row>
    <row r="158" spans="1:10" x14ac:dyDescent="0.3">
      <c r="A158" t="s">
        <v>311</v>
      </c>
      <c r="B158" t="s">
        <v>182</v>
      </c>
      <c r="C158" t="s">
        <v>12</v>
      </c>
      <c r="D158" t="s">
        <v>36</v>
      </c>
      <c r="E158" t="s">
        <v>58</v>
      </c>
      <c r="F158">
        <v>364</v>
      </c>
      <c r="G158">
        <v>0</v>
      </c>
      <c r="H158">
        <v>364</v>
      </c>
      <c r="I158">
        <v>1375</v>
      </c>
      <c r="J158" t="s">
        <v>14</v>
      </c>
    </row>
    <row r="159" spans="1:10" x14ac:dyDescent="0.3">
      <c r="A159" t="s">
        <v>312</v>
      </c>
      <c r="B159" t="s">
        <v>189</v>
      </c>
      <c r="C159" t="s">
        <v>49</v>
      </c>
      <c r="D159" t="s">
        <v>153</v>
      </c>
      <c r="E159" s="1">
        <v>46224</v>
      </c>
      <c r="F159">
        <v>281</v>
      </c>
      <c r="G159">
        <v>100</v>
      </c>
      <c r="H159">
        <v>181</v>
      </c>
      <c r="I159" t="s">
        <v>313</v>
      </c>
      <c r="J159" t="s">
        <v>58</v>
      </c>
    </row>
    <row r="160" spans="1:10" x14ac:dyDescent="0.3">
      <c r="A160" t="s">
        <v>314</v>
      </c>
      <c r="B160" t="s">
        <v>315</v>
      </c>
      <c r="C160" t="s">
        <v>49</v>
      </c>
      <c r="D160" t="s">
        <v>36</v>
      </c>
      <c r="E160" s="1">
        <v>46089</v>
      </c>
      <c r="F160">
        <v>178</v>
      </c>
      <c r="G160">
        <v>59</v>
      </c>
      <c r="H160">
        <v>119</v>
      </c>
      <c r="I160">
        <v>1862</v>
      </c>
      <c r="J160" t="s">
        <v>14</v>
      </c>
    </row>
    <row r="161" spans="1:10" x14ac:dyDescent="0.3">
      <c r="A161" t="s">
        <v>316</v>
      </c>
      <c r="B161" t="s">
        <v>164</v>
      </c>
      <c r="C161" t="s">
        <v>58</v>
      </c>
      <c r="D161" t="s">
        <v>32</v>
      </c>
      <c r="F161">
        <v>137</v>
      </c>
      <c r="G161">
        <v>0</v>
      </c>
      <c r="H161">
        <v>137</v>
      </c>
      <c r="I161">
        <v>355</v>
      </c>
      <c r="J161" t="s">
        <v>14</v>
      </c>
    </row>
    <row r="162" spans="1:10" x14ac:dyDescent="0.3">
      <c r="A162" t="s">
        <v>317</v>
      </c>
      <c r="B162" t="s">
        <v>191</v>
      </c>
      <c r="C162" t="s">
        <v>28</v>
      </c>
      <c r="D162" t="s">
        <v>318</v>
      </c>
      <c r="E162" t="s">
        <v>58</v>
      </c>
      <c r="F162">
        <v>456</v>
      </c>
      <c r="G162">
        <v>0</v>
      </c>
      <c r="H162">
        <v>456</v>
      </c>
      <c r="I162" t="s">
        <v>319</v>
      </c>
      <c r="J162" t="s">
        <v>127</v>
      </c>
    </row>
    <row r="163" spans="1:10" x14ac:dyDescent="0.3">
      <c r="A163" t="s">
        <v>320</v>
      </c>
      <c r="B163" t="s">
        <v>321</v>
      </c>
      <c r="C163" t="s">
        <v>49</v>
      </c>
      <c r="D163" t="s">
        <v>21</v>
      </c>
      <c r="E163" t="s">
        <v>58</v>
      </c>
      <c r="F163">
        <v>364</v>
      </c>
      <c r="G163">
        <v>0</v>
      </c>
      <c r="H163">
        <v>364</v>
      </c>
      <c r="I163">
        <v>2454</v>
      </c>
      <c r="J163" t="s">
        <v>14</v>
      </c>
    </row>
    <row r="164" spans="1:10" x14ac:dyDescent="0.3">
      <c r="A164" t="s">
        <v>322</v>
      </c>
      <c r="B164" t="s">
        <v>73</v>
      </c>
      <c r="C164" t="s">
        <v>49</v>
      </c>
      <c r="D164" t="s">
        <v>32</v>
      </c>
      <c r="E164" s="1">
        <v>46149</v>
      </c>
      <c r="F164">
        <v>226</v>
      </c>
      <c r="G164">
        <v>-179</v>
      </c>
      <c r="H164">
        <v>52</v>
      </c>
      <c r="I164">
        <v>2618</v>
      </c>
      <c r="J164" t="s">
        <v>68</v>
      </c>
    </row>
    <row r="165" spans="1:10" x14ac:dyDescent="0.3">
      <c r="A165" t="s">
        <v>323</v>
      </c>
      <c r="B165" t="s">
        <v>324</v>
      </c>
      <c r="C165" t="s">
        <v>31</v>
      </c>
      <c r="D165" t="s">
        <v>13</v>
      </c>
      <c r="E165" s="1">
        <v>46182</v>
      </c>
      <c r="F165">
        <v>379</v>
      </c>
      <c r="G165">
        <v>84</v>
      </c>
      <c r="H165">
        <v>295</v>
      </c>
      <c r="I165">
        <v>2186</v>
      </c>
      <c r="J165" t="s">
        <v>58</v>
      </c>
    </row>
    <row r="166" spans="1:10" x14ac:dyDescent="0.3">
      <c r="A166" t="s">
        <v>325</v>
      </c>
      <c r="B166" t="s">
        <v>326</v>
      </c>
      <c r="C166" t="s">
        <v>35</v>
      </c>
      <c r="D166" t="s">
        <v>21</v>
      </c>
      <c r="E166" s="1">
        <v>46180</v>
      </c>
      <c r="F166">
        <v>351</v>
      </c>
      <c r="G166">
        <v>335</v>
      </c>
      <c r="H166">
        <v>16</v>
      </c>
      <c r="I166">
        <v>730</v>
      </c>
      <c r="J166" t="s">
        <v>17</v>
      </c>
    </row>
    <row r="167" spans="1:10" x14ac:dyDescent="0.3">
      <c r="A167" t="s">
        <v>327</v>
      </c>
      <c r="B167" t="s">
        <v>245</v>
      </c>
      <c r="C167" t="s">
        <v>28</v>
      </c>
      <c r="D167" t="s">
        <v>21</v>
      </c>
      <c r="E167" s="1">
        <v>46153</v>
      </c>
      <c r="F167">
        <v>293</v>
      </c>
      <c r="G167">
        <v>47</v>
      </c>
      <c r="H167">
        <v>246</v>
      </c>
      <c r="I167">
        <v>1722</v>
      </c>
      <c r="J167" t="s">
        <v>14</v>
      </c>
    </row>
    <row r="168" spans="1:10" x14ac:dyDescent="0.3">
      <c r="A168" t="s">
        <v>328</v>
      </c>
      <c r="B168" t="s">
        <v>57</v>
      </c>
      <c r="C168" t="s">
        <v>28</v>
      </c>
      <c r="D168" t="s">
        <v>13</v>
      </c>
      <c r="E168" s="1">
        <v>46288</v>
      </c>
      <c r="F168">
        <v>155</v>
      </c>
      <c r="G168">
        <v>29</v>
      </c>
      <c r="H168">
        <v>126</v>
      </c>
      <c r="I168">
        <v>984</v>
      </c>
      <c r="J168" t="s">
        <v>58</v>
      </c>
    </row>
    <row r="169" spans="1:10" x14ac:dyDescent="0.3">
      <c r="A169" t="s">
        <v>329</v>
      </c>
      <c r="B169" t="s">
        <v>189</v>
      </c>
      <c r="C169" t="s">
        <v>49</v>
      </c>
      <c r="D169" t="s">
        <v>13</v>
      </c>
      <c r="E169" s="1">
        <v>46228</v>
      </c>
      <c r="F169">
        <v>395</v>
      </c>
      <c r="G169">
        <v>391</v>
      </c>
      <c r="H169">
        <v>4</v>
      </c>
      <c r="I169">
        <v>2396</v>
      </c>
      <c r="J169" t="s">
        <v>17</v>
      </c>
    </row>
    <row r="170" spans="1:10" x14ac:dyDescent="0.3">
      <c r="A170" t="s">
        <v>330</v>
      </c>
      <c r="B170" t="s">
        <v>331</v>
      </c>
      <c r="C170" t="s">
        <v>28</v>
      </c>
      <c r="D170" t="s">
        <v>21</v>
      </c>
      <c r="F170">
        <v>451</v>
      </c>
      <c r="G170">
        <v>0</v>
      </c>
      <c r="H170">
        <v>451</v>
      </c>
      <c r="I170" t="s">
        <v>332</v>
      </c>
      <c r="J170" t="s">
        <v>85</v>
      </c>
    </row>
    <row r="171" spans="1:10" x14ac:dyDescent="0.3">
      <c r="A171" t="s">
        <v>333</v>
      </c>
      <c r="B171" t="s">
        <v>284</v>
      </c>
      <c r="C171" t="s">
        <v>49</v>
      </c>
      <c r="D171" t="s">
        <v>36</v>
      </c>
      <c r="E171" s="1">
        <v>46035</v>
      </c>
      <c r="F171" t="s">
        <v>58</v>
      </c>
      <c r="G171">
        <v>29</v>
      </c>
      <c r="H171">
        <v>379</v>
      </c>
      <c r="I171">
        <v>1234</v>
      </c>
      <c r="J171" t="s">
        <v>14</v>
      </c>
    </row>
    <row r="172" spans="1:10" x14ac:dyDescent="0.3">
      <c r="A172" t="s">
        <v>334</v>
      </c>
      <c r="B172" t="s">
        <v>335</v>
      </c>
      <c r="C172" t="s">
        <v>49</v>
      </c>
      <c r="D172" t="s">
        <v>318</v>
      </c>
      <c r="E172" s="1">
        <v>46059</v>
      </c>
      <c r="F172">
        <v>481</v>
      </c>
      <c r="G172">
        <v>53</v>
      </c>
      <c r="H172">
        <v>428</v>
      </c>
      <c r="I172">
        <v>2076</v>
      </c>
      <c r="J172" t="s">
        <v>14</v>
      </c>
    </row>
    <row r="173" spans="1:10" x14ac:dyDescent="0.3">
      <c r="A173" t="s">
        <v>336</v>
      </c>
      <c r="B173" t="s">
        <v>337</v>
      </c>
      <c r="C173" t="s">
        <v>28</v>
      </c>
      <c r="D173" t="s">
        <v>120</v>
      </c>
      <c r="E173" s="1">
        <v>46270</v>
      </c>
      <c r="F173">
        <v>130</v>
      </c>
      <c r="G173">
        <v>49</v>
      </c>
      <c r="H173">
        <v>81</v>
      </c>
      <c r="I173" t="s">
        <v>338</v>
      </c>
      <c r="J173" t="s">
        <v>14</v>
      </c>
    </row>
    <row r="174" spans="1:10" x14ac:dyDescent="0.3">
      <c r="A174" t="s">
        <v>339</v>
      </c>
      <c r="B174" t="s">
        <v>164</v>
      </c>
      <c r="C174" t="s">
        <v>49</v>
      </c>
      <c r="D174" t="s">
        <v>32</v>
      </c>
      <c r="E174" t="s">
        <v>58</v>
      </c>
      <c r="F174">
        <v>205</v>
      </c>
      <c r="G174">
        <v>0</v>
      </c>
      <c r="H174">
        <v>205</v>
      </c>
      <c r="I174">
        <v>2784</v>
      </c>
      <c r="J174" t="s">
        <v>14</v>
      </c>
    </row>
    <row r="175" spans="1:10" x14ac:dyDescent="0.3">
      <c r="A175" t="s">
        <v>340</v>
      </c>
      <c r="B175" t="s">
        <v>65</v>
      </c>
      <c r="C175" t="s">
        <v>58</v>
      </c>
      <c r="D175" t="s">
        <v>32</v>
      </c>
      <c r="E175" s="1">
        <v>45998</v>
      </c>
      <c r="F175">
        <v>145</v>
      </c>
      <c r="G175">
        <v>44</v>
      </c>
      <c r="H175">
        <v>101</v>
      </c>
      <c r="I175">
        <v>2608</v>
      </c>
      <c r="J175" t="s">
        <v>85</v>
      </c>
    </row>
    <row r="176" spans="1:10" x14ac:dyDescent="0.3">
      <c r="A176" t="s">
        <v>341</v>
      </c>
      <c r="B176" t="s">
        <v>105</v>
      </c>
      <c r="C176" t="s">
        <v>28</v>
      </c>
      <c r="D176" t="s">
        <v>21</v>
      </c>
      <c r="E176" s="1">
        <v>46192</v>
      </c>
      <c r="F176">
        <v>116</v>
      </c>
      <c r="G176">
        <v>44</v>
      </c>
      <c r="H176">
        <v>72</v>
      </c>
      <c r="I176">
        <v>1547</v>
      </c>
      <c r="J176" t="s">
        <v>46</v>
      </c>
    </row>
    <row r="177" spans="1:10" x14ac:dyDescent="0.3">
      <c r="A177" t="s">
        <v>342</v>
      </c>
      <c r="B177" t="s">
        <v>48</v>
      </c>
      <c r="C177" t="s">
        <v>52</v>
      </c>
      <c r="D177" t="s">
        <v>13</v>
      </c>
      <c r="E177" s="1">
        <v>46166</v>
      </c>
      <c r="F177">
        <v>451</v>
      </c>
      <c r="G177">
        <v>140</v>
      </c>
      <c r="H177">
        <v>311</v>
      </c>
      <c r="I177">
        <v>624</v>
      </c>
      <c r="J177" t="s">
        <v>14</v>
      </c>
    </row>
    <row r="178" spans="1:10" x14ac:dyDescent="0.3">
      <c r="A178" t="s">
        <v>343</v>
      </c>
      <c r="B178" t="s">
        <v>234</v>
      </c>
      <c r="C178" t="s">
        <v>28</v>
      </c>
      <c r="D178" t="s">
        <v>118</v>
      </c>
      <c r="E178" s="1">
        <v>46194</v>
      </c>
      <c r="F178">
        <v>373</v>
      </c>
      <c r="G178">
        <v>45</v>
      </c>
      <c r="H178">
        <v>328</v>
      </c>
      <c r="I178" t="s">
        <v>344</v>
      </c>
      <c r="J178" t="s">
        <v>14</v>
      </c>
    </row>
    <row r="179" spans="1:10" x14ac:dyDescent="0.3">
      <c r="A179" t="s">
        <v>345</v>
      </c>
      <c r="B179" t="s">
        <v>136</v>
      </c>
      <c r="C179" t="s">
        <v>35</v>
      </c>
      <c r="D179" t="s">
        <v>36</v>
      </c>
      <c r="F179">
        <v>476</v>
      </c>
      <c r="G179">
        <v>0</v>
      </c>
      <c r="H179">
        <v>476</v>
      </c>
      <c r="I179">
        <v>1810</v>
      </c>
      <c r="J179" t="s">
        <v>14</v>
      </c>
    </row>
    <row r="180" spans="1:10" x14ac:dyDescent="0.3">
      <c r="A180" t="s">
        <v>346</v>
      </c>
      <c r="B180" t="s">
        <v>71</v>
      </c>
      <c r="C180" t="s">
        <v>35</v>
      </c>
      <c r="D180" t="s">
        <v>21</v>
      </c>
      <c r="E180" t="s">
        <v>58</v>
      </c>
      <c r="F180">
        <v>337</v>
      </c>
      <c r="G180">
        <v>0</v>
      </c>
      <c r="H180">
        <v>337</v>
      </c>
      <c r="I180">
        <v>2554</v>
      </c>
      <c r="J180" t="s">
        <v>46</v>
      </c>
    </row>
    <row r="181" spans="1:10" x14ac:dyDescent="0.3">
      <c r="A181" t="s">
        <v>347</v>
      </c>
      <c r="B181" t="s">
        <v>348</v>
      </c>
      <c r="C181" t="s">
        <v>31</v>
      </c>
      <c r="D181" t="s">
        <v>32</v>
      </c>
      <c r="F181">
        <v>80</v>
      </c>
      <c r="G181">
        <v>0</v>
      </c>
      <c r="H181">
        <v>80</v>
      </c>
      <c r="I181">
        <v>57</v>
      </c>
      <c r="J181" t="s">
        <v>14</v>
      </c>
    </row>
    <row r="182" spans="1:10" x14ac:dyDescent="0.3">
      <c r="A182" t="s">
        <v>349</v>
      </c>
      <c r="B182" t="s">
        <v>158</v>
      </c>
      <c r="C182" t="s">
        <v>31</v>
      </c>
      <c r="D182" t="s">
        <v>32</v>
      </c>
      <c r="E182" s="1">
        <v>46193</v>
      </c>
      <c r="F182">
        <v>181</v>
      </c>
      <c r="G182">
        <v>49</v>
      </c>
      <c r="H182">
        <v>132</v>
      </c>
      <c r="I182">
        <v>185</v>
      </c>
      <c r="J182" t="s">
        <v>14</v>
      </c>
    </row>
    <row r="183" spans="1:10" x14ac:dyDescent="0.3">
      <c r="A183" t="s">
        <v>350</v>
      </c>
      <c r="B183" t="s">
        <v>224</v>
      </c>
      <c r="C183" t="s">
        <v>42</v>
      </c>
      <c r="D183" t="s">
        <v>351</v>
      </c>
      <c r="F183">
        <v>163</v>
      </c>
      <c r="G183">
        <v>0</v>
      </c>
      <c r="H183">
        <v>163</v>
      </c>
      <c r="I183" t="s">
        <v>352</v>
      </c>
      <c r="J183" t="s">
        <v>58</v>
      </c>
    </row>
    <row r="184" spans="1:10" x14ac:dyDescent="0.3">
      <c r="A184" t="s">
        <v>353</v>
      </c>
      <c r="B184" t="s">
        <v>324</v>
      </c>
      <c r="C184" t="s">
        <v>31</v>
      </c>
      <c r="D184" t="s">
        <v>32</v>
      </c>
      <c r="E184" s="1">
        <v>46119</v>
      </c>
      <c r="F184">
        <v>87</v>
      </c>
      <c r="G184">
        <v>80</v>
      </c>
      <c r="H184">
        <v>7</v>
      </c>
      <c r="I184">
        <v>1375</v>
      </c>
      <c r="J184" t="s">
        <v>17</v>
      </c>
    </row>
    <row r="185" spans="1:10" x14ac:dyDescent="0.3">
      <c r="A185" t="s">
        <v>354</v>
      </c>
      <c r="B185" t="s">
        <v>158</v>
      </c>
      <c r="C185" t="s">
        <v>31</v>
      </c>
      <c r="D185" t="s">
        <v>21</v>
      </c>
      <c r="F185">
        <v>198</v>
      </c>
      <c r="G185">
        <v>0</v>
      </c>
      <c r="I185">
        <v>916</v>
      </c>
      <c r="J185" t="s">
        <v>14</v>
      </c>
    </row>
    <row r="186" spans="1:10" x14ac:dyDescent="0.3">
      <c r="A186" t="s">
        <v>355</v>
      </c>
      <c r="B186" t="s">
        <v>45</v>
      </c>
      <c r="C186" t="s">
        <v>35</v>
      </c>
      <c r="D186" t="s">
        <v>118</v>
      </c>
      <c r="E186" s="1">
        <v>46154</v>
      </c>
      <c r="F186">
        <v>243</v>
      </c>
      <c r="G186">
        <v>94</v>
      </c>
      <c r="H186">
        <v>149</v>
      </c>
      <c r="I186">
        <v>2929</v>
      </c>
      <c r="J186" t="s">
        <v>14</v>
      </c>
    </row>
    <row r="187" spans="1:10" x14ac:dyDescent="0.3">
      <c r="A187" t="s">
        <v>356</v>
      </c>
      <c r="B187" t="s">
        <v>151</v>
      </c>
      <c r="C187" t="s">
        <v>35</v>
      </c>
      <c r="D187" t="s">
        <v>21</v>
      </c>
      <c r="E187" s="1">
        <v>46177</v>
      </c>
      <c r="F187">
        <v>202</v>
      </c>
      <c r="G187">
        <v>21</v>
      </c>
      <c r="H187">
        <v>181</v>
      </c>
      <c r="I187" t="s">
        <v>357</v>
      </c>
      <c r="J187" t="s">
        <v>46</v>
      </c>
    </row>
    <row r="188" spans="1:10" x14ac:dyDescent="0.3">
      <c r="A188" t="s">
        <v>358</v>
      </c>
      <c r="B188" t="s">
        <v>234</v>
      </c>
      <c r="C188" t="s">
        <v>28</v>
      </c>
      <c r="D188" t="s">
        <v>36</v>
      </c>
      <c r="E188" s="1">
        <v>46119</v>
      </c>
      <c r="F188">
        <v>246</v>
      </c>
      <c r="G188">
        <v>198</v>
      </c>
      <c r="H188">
        <v>48</v>
      </c>
      <c r="I188">
        <v>2947</v>
      </c>
      <c r="J188" t="s">
        <v>43</v>
      </c>
    </row>
    <row r="189" spans="1:10" x14ac:dyDescent="0.3">
      <c r="A189" t="s">
        <v>359</v>
      </c>
      <c r="B189" t="s">
        <v>360</v>
      </c>
      <c r="C189" t="s">
        <v>28</v>
      </c>
      <c r="D189" t="s">
        <v>13</v>
      </c>
      <c r="E189" t="s">
        <v>58</v>
      </c>
      <c r="F189">
        <v>244</v>
      </c>
      <c r="G189">
        <v>0</v>
      </c>
      <c r="H189">
        <v>244</v>
      </c>
      <c r="I189">
        <v>76</v>
      </c>
      <c r="J189" t="s">
        <v>85</v>
      </c>
    </row>
    <row r="190" spans="1:10" x14ac:dyDescent="0.3">
      <c r="A190" t="s">
        <v>361</v>
      </c>
      <c r="B190" t="s">
        <v>234</v>
      </c>
      <c r="C190" t="s">
        <v>28</v>
      </c>
      <c r="D190" t="s">
        <v>32</v>
      </c>
      <c r="E190" s="1">
        <v>46201</v>
      </c>
      <c r="F190">
        <v>392</v>
      </c>
      <c r="G190">
        <v>63</v>
      </c>
      <c r="H190">
        <v>329</v>
      </c>
      <c r="I190">
        <v>1927</v>
      </c>
      <c r="J190" t="s">
        <v>14</v>
      </c>
    </row>
    <row r="191" spans="1:10" x14ac:dyDescent="0.3">
      <c r="A191" t="s">
        <v>362</v>
      </c>
      <c r="B191" t="s">
        <v>363</v>
      </c>
      <c r="C191" t="s">
        <v>12</v>
      </c>
      <c r="D191" t="s">
        <v>13</v>
      </c>
      <c r="F191">
        <v>456</v>
      </c>
      <c r="G191">
        <v>0</v>
      </c>
      <c r="H191">
        <v>456</v>
      </c>
      <c r="I191">
        <v>1503</v>
      </c>
      <c r="J191" t="s">
        <v>14</v>
      </c>
    </row>
    <row r="192" spans="1:10" x14ac:dyDescent="0.3">
      <c r="A192" t="s">
        <v>364</v>
      </c>
      <c r="B192" t="s">
        <v>191</v>
      </c>
      <c r="C192" t="s">
        <v>28</v>
      </c>
      <c r="D192" t="s">
        <v>36</v>
      </c>
      <c r="E192" t="s">
        <v>58</v>
      </c>
      <c r="F192">
        <v>129</v>
      </c>
      <c r="G192">
        <v>0</v>
      </c>
      <c r="H192">
        <v>129</v>
      </c>
      <c r="I192">
        <v>1841</v>
      </c>
      <c r="J192" t="s">
        <v>14</v>
      </c>
    </row>
    <row r="193" spans="1:10" x14ac:dyDescent="0.3">
      <c r="A193" t="s">
        <v>365</v>
      </c>
      <c r="B193" t="s">
        <v>48</v>
      </c>
      <c r="C193" t="s">
        <v>49</v>
      </c>
      <c r="D193" t="s">
        <v>32</v>
      </c>
      <c r="F193">
        <v>55</v>
      </c>
      <c r="G193">
        <v>0</v>
      </c>
      <c r="H193">
        <v>55</v>
      </c>
      <c r="I193">
        <v>1663</v>
      </c>
      <c r="J193" t="s">
        <v>17</v>
      </c>
    </row>
    <row r="194" spans="1:10" x14ac:dyDescent="0.3">
      <c r="A194" t="s">
        <v>366</v>
      </c>
      <c r="B194" t="s">
        <v>367</v>
      </c>
      <c r="C194" t="s">
        <v>35</v>
      </c>
      <c r="D194" t="s">
        <v>13</v>
      </c>
      <c r="E194" s="1">
        <v>46195</v>
      </c>
      <c r="F194">
        <v>335</v>
      </c>
      <c r="G194">
        <v>125</v>
      </c>
      <c r="H194">
        <v>210</v>
      </c>
      <c r="I194">
        <v>1802</v>
      </c>
      <c r="J194" t="s">
        <v>14</v>
      </c>
    </row>
    <row r="195" spans="1:10" x14ac:dyDescent="0.3">
      <c r="A195" t="s">
        <v>368</v>
      </c>
      <c r="B195" t="s">
        <v>369</v>
      </c>
      <c r="C195" t="s">
        <v>49</v>
      </c>
      <c r="D195" t="s">
        <v>21</v>
      </c>
      <c r="E195" s="1">
        <v>46018</v>
      </c>
      <c r="F195">
        <v>67</v>
      </c>
      <c r="G195">
        <v>12</v>
      </c>
      <c r="H195">
        <v>55</v>
      </c>
      <c r="I195">
        <v>2444</v>
      </c>
      <c r="J195" t="s">
        <v>17</v>
      </c>
    </row>
    <row r="196" spans="1:10" x14ac:dyDescent="0.3">
      <c r="A196" t="s">
        <v>370</v>
      </c>
      <c r="B196" t="s">
        <v>57</v>
      </c>
      <c r="C196" t="s">
        <v>28</v>
      </c>
      <c r="D196" t="s">
        <v>21</v>
      </c>
      <c r="E196" t="s">
        <v>58</v>
      </c>
      <c r="F196">
        <v>354</v>
      </c>
      <c r="G196">
        <v>0</v>
      </c>
      <c r="H196">
        <v>354</v>
      </c>
      <c r="I196">
        <v>1842</v>
      </c>
      <c r="J196" t="s">
        <v>14</v>
      </c>
    </row>
    <row r="197" spans="1:10" x14ac:dyDescent="0.3">
      <c r="A197" t="s">
        <v>371</v>
      </c>
      <c r="B197" t="s">
        <v>11</v>
      </c>
      <c r="C197" t="s">
        <v>12</v>
      </c>
      <c r="D197" t="s">
        <v>21</v>
      </c>
      <c r="F197">
        <v>259</v>
      </c>
      <c r="G197">
        <v>0</v>
      </c>
      <c r="H197">
        <v>259</v>
      </c>
      <c r="J197" t="s">
        <v>127</v>
      </c>
    </row>
    <row r="198" spans="1:10" x14ac:dyDescent="0.3">
      <c r="A198" t="s">
        <v>372</v>
      </c>
      <c r="B198" t="s">
        <v>71</v>
      </c>
      <c r="C198" t="s">
        <v>58</v>
      </c>
      <c r="D198" t="s">
        <v>21</v>
      </c>
      <c r="E198" s="1">
        <v>46238</v>
      </c>
      <c r="F198">
        <v>446</v>
      </c>
      <c r="G198">
        <v>30</v>
      </c>
      <c r="H198">
        <v>416</v>
      </c>
      <c r="I198">
        <v>1348</v>
      </c>
      <c r="J198" t="s">
        <v>14</v>
      </c>
    </row>
    <row r="199" spans="1:10" x14ac:dyDescent="0.3">
      <c r="A199" t="s">
        <v>373</v>
      </c>
      <c r="B199" t="s">
        <v>284</v>
      </c>
      <c r="C199" t="s">
        <v>49</v>
      </c>
      <c r="D199" t="s">
        <v>13</v>
      </c>
      <c r="E199" s="1">
        <v>46258</v>
      </c>
      <c r="F199">
        <v>391</v>
      </c>
      <c r="G199">
        <v>61</v>
      </c>
      <c r="H199">
        <v>330</v>
      </c>
      <c r="I199">
        <v>1044</v>
      </c>
      <c r="J199" t="s">
        <v>14</v>
      </c>
    </row>
    <row r="200" spans="1:10" x14ac:dyDescent="0.3">
      <c r="A200" t="s">
        <v>374</v>
      </c>
      <c r="B200" t="s">
        <v>238</v>
      </c>
      <c r="C200" t="s">
        <v>28</v>
      </c>
      <c r="D200" t="s">
        <v>36</v>
      </c>
      <c r="E200" s="1">
        <v>46207</v>
      </c>
      <c r="F200">
        <v>281</v>
      </c>
      <c r="G200">
        <v>262</v>
      </c>
      <c r="H200">
        <v>19</v>
      </c>
      <c r="I200">
        <v>565</v>
      </c>
      <c r="J200" t="s">
        <v>180</v>
      </c>
    </row>
    <row r="201" spans="1:10" x14ac:dyDescent="0.3">
      <c r="A201" t="s">
        <v>375</v>
      </c>
      <c r="B201" t="s">
        <v>146</v>
      </c>
      <c r="C201" t="s">
        <v>35</v>
      </c>
      <c r="D201" t="s">
        <v>13</v>
      </c>
      <c r="E201" s="1">
        <v>46272</v>
      </c>
      <c r="F201" t="s">
        <v>58</v>
      </c>
      <c r="G201">
        <v>97</v>
      </c>
      <c r="H201">
        <v>342</v>
      </c>
      <c r="I201">
        <v>634</v>
      </c>
      <c r="J201" t="s">
        <v>14</v>
      </c>
    </row>
    <row r="202" spans="1:10" x14ac:dyDescent="0.3">
      <c r="A202" t="s">
        <v>376</v>
      </c>
      <c r="B202" t="s">
        <v>377</v>
      </c>
      <c r="C202" t="s">
        <v>49</v>
      </c>
      <c r="D202" t="s">
        <v>21</v>
      </c>
      <c r="E202" s="1">
        <v>46227</v>
      </c>
      <c r="F202">
        <v>153</v>
      </c>
      <c r="G202">
        <v>123</v>
      </c>
      <c r="H202">
        <v>30</v>
      </c>
      <c r="I202">
        <v>363</v>
      </c>
      <c r="J202" t="s">
        <v>17</v>
      </c>
    </row>
    <row r="203" spans="1:10" x14ac:dyDescent="0.3">
      <c r="A203" t="s">
        <v>378</v>
      </c>
      <c r="B203" t="s">
        <v>19</v>
      </c>
      <c r="C203" t="s">
        <v>28</v>
      </c>
      <c r="D203" t="s">
        <v>36</v>
      </c>
      <c r="E203" s="1">
        <v>46274</v>
      </c>
      <c r="F203">
        <v>67</v>
      </c>
      <c r="G203">
        <v>18</v>
      </c>
      <c r="H203">
        <v>49</v>
      </c>
      <c r="I203">
        <v>1674</v>
      </c>
      <c r="J203" t="s">
        <v>17</v>
      </c>
    </row>
    <row r="204" spans="1:10" x14ac:dyDescent="0.3">
      <c r="A204" t="s">
        <v>379</v>
      </c>
      <c r="B204" t="s">
        <v>380</v>
      </c>
      <c r="C204" t="s">
        <v>28</v>
      </c>
      <c r="D204" t="s">
        <v>21</v>
      </c>
      <c r="E204" s="1">
        <v>46138</v>
      </c>
      <c r="F204">
        <v>210</v>
      </c>
      <c r="G204">
        <v>26</v>
      </c>
      <c r="H204">
        <v>184</v>
      </c>
      <c r="I204">
        <v>1311</v>
      </c>
      <c r="J204" t="s">
        <v>14</v>
      </c>
    </row>
    <row r="205" spans="1:10" x14ac:dyDescent="0.3">
      <c r="A205" t="s">
        <v>381</v>
      </c>
      <c r="B205" t="s">
        <v>382</v>
      </c>
      <c r="C205" t="s">
        <v>12</v>
      </c>
      <c r="D205" t="s">
        <v>13</v>
      </c>
      <c r="F205">
        <v>311</v>
      </c>
      <c r="G205">
        <v>0</v>
      </c>
      <c r="H205">
        <v>311</v>
      </c>
      <c r="I205" t="s">
        <v>383</v>
      </c>
      <c r="J205" t="s">
        <v>14</v>
      </c>
    </row>
    <row r="206" spans="1:10" x14ac:dyDescent="0.3">
      <c r="A206" t="s">
        <v>384</v>
      </c>
      <c r="B206" t="s">
        <v>236</v>
      </c>
      <c r="C206" t="s">
        <v>12</v>
      </c>
      <c r="D206" t="s">
        <v>32</v>
      </c>
      <c r="E206" s="1">
        <v>46176</v>
      </c>
      <c r="F206">
        <v>226</v>
      </c>
      <c r="G206">
        <v>174</v>
      </c>
      <c r="H206">
        <v>52</v>
      </c>
      <c r="I206">
        <v>2429</v>
      </c>
      <c r="J206" t="s">
        <v>17</v>
      </c>
    </row>
    <row r="207" spans="1:10" x14ac:dyDescent="0.3">
      <c r="A207" t="s">
        <v>385</v>
      </c>
      <c r="B207" t="s">
        <v>161</v>
      </c>
      <c r="C207" t="s">
        <v>12</v>
      </c>
      <c r="D207" t="s">
        <v>36</v>
      </c>
      <c r="E207" s="1">
        <v>46163</v>
      </c>
      <c r="F207">
        <v>312</v>
      </c>
      <c r="G207">
        <v>70</v>
      </c>
      <c r="H207">
        <v>242</v>
      </c>
      <c r="I207">
        <v>2259</v>
      </c>
      <c r="J207" t="s">
        <v>14</v>
      </c>
    </row>
    <row r="208" spans="1:10" x14ac:dyDescent="0.3">
      <c r="A208" t="s">
        <v>386</v>
      </c>
      <c r="B208" t="s">
        <v>387</v>
      </c>
      <c r="C208" t="s">
        <v>12</v>
      </c>
      <c r="D208" t="s">
        <v>21</v>
      </c>
      <c r="E208" s="1">
        <v>46216</v>
      </c>
      <c r="F208">
        <v>411</v>
      </c>
      <c r="G208">
        <v>162</v>
      </c>
      <c r="H208">
        <v>249</v>
      </c>
      <c r="I208">
        <v>1912</v>
      </c>
      <c r="J208" t="s">
        <v>14</v>
      </c>
    </row>
    <row r="209" spans="1:10" x14ac:dyDescent="0.3">
      <c r="A209" t="s">
        <v>388</v>
      </c>
      <c r="B209" t="s">
        <v>177</v>
      </c>
      <c r="C209" t="s">
        <v>31</v>
      </c>
      <c r="D209" t="s">
        <v>36</v>
      </c>
      <c r="E209" s="1">
        <v>46126</v>
      </c>
      <c r="F209">
        <v>433</v>
      </c>
      <c r="G209">
        <v>311</v>
      </c>
      <c r="H209">
        <v>122</v>
      </c>
      <c r="I209">
        <v>733</v>
      </c>
      <c r="J209" t="s">
        <v>14</v>
      </c>
    </row>
    <row r="210" spans="1:10" x14ac:dyDescent="0.3">
      <c r="A210" t="s">
        <v>389</v>
      </c>
      <c r="B210" t="s">
        <v>60</v>
      </c>
      <c r="C210" t="s">
        <v>58</v>
      </c>
      <c r="D210" t="s">
        <v>21</v>
      </c>
      <c r="F210">
        <v>319</v>
      </c>
      <c r="G210">
        <v>0</v>
      </c>
      <c r="H210">
        <v>319</v>
      </c>
      <c r="I210" t="s">
        <v>390</v>
      </c>
      <c r="J210" t="s">
        <v>14</v>
      </c>
    </row>
    <row r="211" spans="1:10" x14ac:dyDescent="0.3">
      <c r="A211" t="s">
        <v>391</v>
      </c>
      <c r="B211" t="s">
        <v>134</v>
      </c>
      <c r="C211" t="s">
        <v>213</v>
      </c>
      <c r="D211" t="s">
        <v>32</v>
      </c>
      <c r="E211" s="1">
        <v>46179</v>
      </c>
      <c r="F211">
        <v>325</v>
      </c>
      <c r="G211">
        <v>93</v>
      </c>
      <c r="H211">
        <v>232</v>
      </c>
      <c r="I211">
        <v>1731</v>
      </c>
      <c r="J211" t="s">
        <v>14</v>
      </c>
    </row>
    <row r="212" spans="1:10" x14ac:dyDescent="0.3">
      <c r="A212" t="s">
        <v>392</v>
      </c>
      <c r="B212" t="s">
        <v>48</v>
      </c>
      <c r="C212" t="s">
        <v>49</v>
      </c>
      <c r="D212" t="s">
        <v>36</v>
      </c>
      <c r="E212" s="1">
        <v>46047</v>
      </c>
      <c r="F212">
        <v>483</v>
      </c>
      <c r="G212">
        <v>74</v>
      </c>
      <c r="H212">
        <v>409</v>
      </c>
      <c r="I212">
        <v>1729</v>
      </c>
      <c r="J212" t="s">
        <v>14</v>
      </c>
    </row>
    <row r="213" spans="1:10" x14ac:dyDescent="0.3">
      <c r="A213" t="s">
        <v>393</v>
      </c>
      <c r="B213" t="s">
        <v>161</v>
      </c>
      <c r="C213" t="s">
        <v>12</v>
      </c>
      <c r="D213" t="s">
        <v>32</v>
      </c>
      <c r="E213" s="1">
        <v>46056</v>
      </c>
      <c r="F213">
        <v>246</v>
      </c>
      <c r="G213">
        <v>228</v>
      </c>
      <c r="H213">
        <v>18</v>
      </c>
      <c r="I213">
        <v>2264</v>
      </c>
      <c r="J213" t="s">
        <v>68</v>
      </c>
    </row>
    <row r="214" spans="1:10" x14ac:dyDescent="0.3">
      <c r="A214" t="s">
        <v>394</v>
      </c>
      <c r="B214" t="s">
        <v>117</v>
      </c>
      <c r="C214" t="s">
        <v>28</v>
      </c>
      <c r="D214" t="s">
        <v>13</v>
      </c>
      <c r="E214" t="s">
        <v>58</v>
      </c>
      <c r="F214">
        <v>311</v>
      </c>
      <c r="G214">
        <v>0</v>
      </c>
      <c r="H214">
        <v>311</v>
      </c>
      <c r="I214">
        <v>879</v>
      </c>
      <c r="J214" t="s">
        <v>127</v>
      </c>
    </row>
    <row r="215" spans="1:10" x14ac:dyDescent="0.3">
      <c r="A215" t="s">
        <v>395</v>
      </c>
      <c r="B215" t="s">
        <v>23</v>
      </c>
      <c r="C215" t="s">
        <v>35</v>
      </c>
      <c r="D215" t="s">
        <v>32</v>
      </c>
      <c r="E215" s="1">
        <v>46181</v>
      </c>
      <c r="F215">
        <v>465</v>
      </c>
      <c r="G215">
        <v>146</v>
      </c>
      <c r="H215">
        <v>319</v>
      </c>
      <c r="I215">
        <v>2648</v>
      </c>
      <c r="J215" t="s">
        <v>14</v>
      </c>
    </row>
    <row r="216" spans="1:10" x14ac:dyDescent="0.3">
      <c r="A216" t="s">
        <v>396</v>
      </c>
      <c r="B216" t="s">
        <v>296</v>
      </c>
      <c r="C216" t="s">
        <v>31</v>
      </c>
      <c r="D216" t="s">
        <v>32</v>
      </c>
      <c r="E216" s="1">
        <v>46167</v>
      </c>
      <c r="F216">
        <v>59</v>
      </c>
      <c r="G216">
        <v>52</v>
      </c>
      <c r="H216">
        <v>7</v>
      </c>
      <c r="I216">
        <v>515</v>
      </c>
      <c r="J216" t="s">
        <v>17</v>
      </c>
    </row>
    <row r="217" spans="1:10" x14ac:dyDescent="0.3">
      <c r="A217" t="s">
        <v>397</v>
      </c>
      <c r="B217" t="s">
        <v>27</v>
      </c>
      <c r="C217" t="s">
        <v>28</v>
      </c>
      <c r="D217" t="s">
        <v>36</v>
      </c>
      <c r="E217" s="1">
        <v>46163</v>
      </c>
      <c r="F217">
        <v>281</v>
      </c>
      <c r="G217">
        <v>232</v>
      </c>
      <c r="H217">
        <v>49</v>
      </c>
      <c r="I217">
        <v>57</v>
      </c>
      <c r="J217" t="s">
        <v>17</v>
      </c>
    </row>
    <row r="218" spans="1:10" x14ac:dyDescent="0.3">
      <c r="A218" t="s">
        <v>398</v>
      </c>
      <c r="B218" t="s">
        <v>399</v>
      </c>
      <c r="C218" t="s">
        <v>49</v>
      </c>
      <c r="D218" t="s">
        <v>32</v>
      </c>
      <c r="E218" t="s">
        <v>58</v>
      </c>
      <c r="F218">
        <v>264</v>
      </c>
      <c r="G218">
        <v>0</v>
      </c>
      <c r="H218">
        <v>264</v>
      </c>
      <c r="I218" t="s">
        <v>400</v>
      </c>
      <c r="J218" t="s">
        <v>14</v>
      </c>
    </row>
    <row r="219" spans="1:10" x14ac:dyDescent="0.3">
      <c r="A219" t="s">
        <v>401</v>
      </c>
      <c r="B219" t="s">
        <v>16</v>
      </c>
      <c r="C219" t="s">
        <v>12</v>
      </c>
      <c r="D219" t="s">
        <v>21</v>
      </c>
      <c r="E219" s="1">
        <v>46003</v>
      </c>
      <c r="F219">
        <v>455</v>
      </c>
      <c r="G219">
        <v>423</v>
      </c>
      <c r="H219">
        <v>32</v>
      </c>
      <c r="I219">
        <v>862</v>
      </c>
      <c r="J219" t="s">
        <v>43</v>
      </c>
    </row>
    <row r="220" spans="1:10" x14ac:dyDescent="0.3">
      <c r="A220" t="s">
        <v>402</v>
      </c>
      <c r="B220" t="s">
        <v>45</v>
      </c>
      <c r="C220" t="s">
        <v>103</v>
      </c>
      <c r="D220" t="s">
        <v>21</v>
      </c>
      <c r="E220" s="1">
        <v>46068</v>
      </c>
      <c r="F220">
        <v>425</v>
      </c>
      <c r="G220">
        <v>147</v>
      </c>
      <c r="H220">
        <v>278</v>
      </c>
      <c r="I220">
        <v>1993</v>
      </c>
      <c r="J220" t="s">
        <v>85</v>
      </c>
    </row>
    <row r="221" spans="1:10" x14ac:dyDescent="0.3">
      <c r="A221" t="s">
        <v>403</v>
      </c>
      <c r="B221" t="s">
        <v>262</v>
      </c>
      <c r="C221" t="s">
        <v>404</v>
      </c>
      <c r="D221" t="s">
        <v>36</v>
      </c>
      <c r="E221" s="1">
        <v>46220</v>
      </c>
      <c r="F221">
        <v>110</v>
      </c>
      <c r="G221">
        <v>96</v>
      </c>
      <c r="H221">
        <v>14</v>
      </c>
      <c r="I221">
        <v>1295</v>
      </c>
      <c r="J221" t="s">
        <v>17</v>
      </c>
    </row>
    <row r="222" spans="1:10" x14ac:dyDescent="0.3">
      <c r="A222" t="s">
        <v>405</v>
      </c>
      <c r="B222" t="s">
        <v>131</v>
      </c>
      <c r="C222" t="s">
        <v>49</v>
      </c>
      <c r="D222" t="s">
        <v>13</v>
      </c>
      <c r="E222" s="1">
        <v>46052</v>
      </c>
      <c r="F222">
        <v>384</v>
      </c>
      <c r="G222">
        <v>317</v>
      </c>
      <c r="H222">
        <v>67</v>
      </c>
      <c r="I222">
        <v>2549</v>
      </c>
      <c r="J222" t="s">
        <v>14</v>
      </c>
    </row>
    <row r="223" spans="1:10" x14ac:dyDescent="0.3">
      <c r="A223" t="s">
        <v>406</v>
      </c>
      <c r="B223" t="s">
        <v>387</v>
      </c>
      <c r="C223" t="s">
        <v>12</v>
      </c>
      <c r="D223" t="s">
        <v>13</v>
      </c>
      <c r="F223">
        <v>81</v>
      </c>
      <c r="G223">
        <v>0</v>
      </c>
      <c r="H223">
        <v>81</v>
      </c>
      <c r="I223">
        <v>430</v>
      </c>
      <c r="J223" t="s">
        <v>14</v>
      </c>
    </row>
    <row r="224" spans="1:10" x14ac:dyDescent="0.3">
      <c r="A224" t="s">
        <v>407</v>
      </c>
      <c r="B224" t="s">
        <v>243</v>
      </c>
      <c r="C224" t="s">
        <v>28</v>
      </c>
      <c r="D224" t="s">
        <v>13</v>
      </c>
      <c r="E224" t="s">
        <v>58</v>
      </c>
      <c r="F224">
        <v>492</v>
      </c>
      <c r="G224">
        <v>0</v>
      </c>
      <c r="H224">
        <v>492</v>
      </c>
      <c r="I224" t="s">
        <v>408</v>
      </c>
      <c r="J224" t="s">
        <v>46</v>
      </c>
    </row>
    <row r="225" spans="1:10" x14ac:dyDescent="0.3">
      <c r="A225" t="s">
        <v>409</v>
      </c>
      <c r="B225" t="s">
        <v>187</v>
      </c>
      <c r="C225" t="s">
        <v>12</v>
      </c>
      <c r="D225" t="s">
        <v>21</v>
      </c>
      <c r="E225" s="1">
        <v>46264</v>
      </c>
      <c r="F225">
        <v>355</v>
      </c>
      <c r="G225">
        <v>68</v>
      </c>
      <c r="H225">
        <v>287</v>
      </c>
      <c r="I225" t="s">
        <v>410</v>
      </c>
      <c r="J225" t="s">
        <v>127</v>
      </c>
    </row>
    <row r="226" spans="1:10" x14ac:dyDescent="0.3">
      <c r="A226" t="s">
        <v>411</v>
      </c>
      <c r="B226" t="s">
        <v>84</v>
      </c>
      <c r="C226" t="s">
        <v>28</v>
      </c>
      <c r="D226" t="s">
        <v>21</v>
      </c>
      <c r="F226">
        <v>120</v>
      </c>
      <c r="G226">
        <v>0</v>
      </c>
      <c r="H226">
        <v>120</v>
      </c>
      <c r="I226" t="s">
        <v>412</v>
      </c>
      <c r="J226" t="s">
        <v>85</v>
      </c>
    </row>
    <row r="227" spans="1:10" x14ac:dyDescent="0.3">
      <c r="A227" t="s">
        <v>413</v>
      </c>
      <c r="B227" t="s">
        <v>182</v>
      </c>
      <c r="C227" t="s">
        <v>12</v>
      </c>
      <c r="D227" t="s">
        <v>36</v>
      </c>
      <c r="E227" s="1">
        <v>46121</v>
      </c>
      <c r="F227">
        <v>397</v>
      </c>
      <c r="G227">
        <v>287</v>
      </c>
      <c r="H227">
        <v>110</v>
      </c>
      <c r="I227">
        <v>638</v>
      </c>
      <c r="J227" t="s">
        <v>14</v>
      </c>
    </row>
    <row r="228" spans="1:10" x14ac:dyDescent="0.3">
      <c r="A228" t="s">
        <v>414</v>
      </c>
      <c r="B228" t="s">
        <v>415</v>
      </c>
      <c r="C228" t="s">
        <v>31</v>
      </c>
      <c r="D228" t="s">
        <v>318</v>
      </c>
      <c r="E228" s="1">
        <v>46173</v>
      </c>
      <c r="F228">
        <v>401</v>
      </c>
      <c r="G228">
        <v>106</v>
      </c>
      <c r="H228">
        <v>295</v>
      </c>
      <c r="I228" t="s">
        <v>416</v>
      </c>
      <c r="J228" t="s">
        <v>14</v>
      </c>
    </row>
    <row r="229" spans="1:10" x14ac:dyDescent="0.3">
      <c r="A229" t="s">
        <v>417</v>
      </c>
      <c r="B229" t="s">
        <v>39</v>
      </c>
      <c r="C229" t="s">
        <v>418</v>
      </c>
      <c r="D229" t="s">
        <v>300</v>
      </c>
      <c r="E229" s="1">
        <v>46244</v>
      </c>
      <c r="F229">
        <v>362</v>
      </c>
      <c r="G229">
        <v>60</v>
      </c>
      <c r="H229">
        <v>302</v>
      </c>
      <c r="I229">
        <v>323</v>
      </c>
      <c r="J229" t="s">
        <v>14</v>
      </c>
    </row>
    <row r="230" spans="1:10" x14ac:dyDescent="0.3">
      <c r="A230" t="s">
        <v>419</v>
      </c>
      <c r="B230" t="s">
        <v>189</v>
      </c>
      <c r="C230" t="s">
        <v>49</v>
      </c>
      <c r="D230" t="s">
        <v>118</v>
      </c>
      <c r="E230" t="s">
        <v>58</v>
      </c>
      <c r="F230">
        <v>98</v>
      </c>
      <c r="G230">
        <v>0</v>
      </c>
      <c r="H230">
        <v>98</v>
      </c>
      <c r="I230">
        <v>846</v>
      </c>
      <c r="J230" t="s">
        <v>85</v>
      </c>
    </row>
    <row r="231" spans="1:10" x14ac:dyDescent="0.3">
      <c r="A231" t="s">
        <v>420</v>
      </c>
      <c r="B231" t="s">
        <v>95</v>
      </c>
      <c r="C231" t="s">
        <v>31</v>
      </c>
      <c r="D231" t="s">
        <v>32</v>
      </c>
      <c r="E231" s="1">
        <v>46167</v>
      </c>
      <c r="F231">
        <v>324</v>
      </c>
      <c r="G231">
        <v>48</v>
      </c>
      <c r="H231">
        <v>276</v>
      </c>
      <c r="I231">
        <v>2072</v>
      </c>
      <c r="J231" t="s">
        <v>14</v>
      </c>
    </row>
    <row r="232" spans="1:10" x14ac:dyDescent="0.3">
      <c r="A232" t="s">
        <v>421</v>
      </c>
      <c r="B232" t="s">
        <v>422</v>
      </c>
      <c r="C232" t="s">
        <v>58</v>
      </c>
      <c r="D232" t="s">
        <v>36</v>
      </c>
      <c r="E232" s="1">
        <v>46048</v>
      </c>
      <c r="F232">
        <v>473</v>
      </c>
      <c r="G232">
        <v>468</v>
      </c>
      <c r="H232">
        <v>5</v>
      </c>
      <c r="I232">
        <v>663</v>
      </c>
      <c r="J232" t="s">
        <v>17</v>
      </c>
    </row>
    <row r="233" spans="1:10" x14ac:dyDescent="0.3">
      <c r="A233" t="s">
        <v>423</v>
      </c>
      <c r="B233" t="s">
        <v>424</v>
      </c>
      <c r="C233" t="s">
        <v>12</v>
      </c>
      <c r="D233" t="s">
        <v>21</v>
      </c>
      <c r="E233" s="1">
        <v>46105</v>
      </c>
      <c r="F233">
        <v>380</v>
      </c>
      <c r="G233">
        <v>148</v>
      </c>
      <c r="H233">
        <v>232</v>
      </c>
      <c r="I233">
        <v>2605</v>
      </c>
      <c r="J233" t="s">
        <v>58</v>
      </c>
    </row>
    <row r="234" spans="1:10" x14ac:dyDescent="0.3">
      <c r="A234" t="s">
        <v>425</v>
      </c>
      <c r="B234" t="s">
        <v>80</v>
      </c>
      <c r="C234" t="s">
        <v>12</v>
      </c>
      <c r="D234" t="s">
        <v>36</v>
      </c>
      <c r="F234">
        <v>361</v>
      </c>
      <c r="G234">
        <v>0</v>
      </c>
      <c r="H234">
        <v>361</v>
      </c>
      <c r="I234">
        <v>2393</v>
      </c>
      <c r="J234" t="s">
        <v>14</v>
      </c>
    </row>
    <row r="235" spans="1:10" x14ac:dyDescent="0.3">
      <c r="A235" t="s">
        <v>426</v>
      </c>
      <c r="B235" t="s">
        <v>236</v>
      </c>
      <c r="C235" t="s">
        <v>12</v>
      </c>
      <c r="D235" t="s">
        <v>13</v>
      </c>
      <c r="F235">
        <v>328</v>
      </c>
      <c r="G235">
        <v>0</v>
      </c>
      <c r="H235">
        <v>328</v>
      </c>
      <c r="I235">
        <v>2809</v>
      </c>
      <c r="J235" t="s">
        <v>14</v>
      </c>
    </row>
    <row r="236" spans="1:10" x14ac:dyDescent="0.3">
      <c r="A236" t="s">
        <v>427</v>
      </c>
      <c r="B236" t="s">
        <v>428</v>
      </c>
      <c r="C236" t="s">
        <v>28</v>
      </c>
      <c r="D236" t="s">
        <v>36</v>
      </c>
      <c r="E236" s="1">
        <v>46262</v>
      </c>
      <c r="F236">
        <v>105</v>
      </c>
      <c r="G236">
        <v>104</v>
      </c>
      <c r="H236">
        <v>1</v>
      </c>
      <c r="I236">
        <v>394</v>
      </c>
      <c r="J236" t="s">
        <v>17</v>
      </c>
    </row>
    <row r="237" spans="1:10" x14ac:dyDescent="0.3">
      <c r="A237" t="s">
        <v>429</v>
      </c>
      <c r="B237" t="s">
        <v>189</v>
      </c>
      <c r="C237" t="s">
        <v>49</v>
      </c>
      <c r="D237" t="s">
        <v>13</v>
      </c>
      <c r="E237" t="s">
        <v>58</v>
      </c>
      <c r="F237">
        <v>452</v>
      </c>
      <c r="G237">
        <v>0</v>
      </c>
      <c r="H237">
        <v>452</v>
      </c>
      <c r="I237">
        <v>779</v>
      </c>
      <c r="J237" t="s">
        <v>14</v>
      </c>
    </row>
    <row r="238" spans="1:10" x14ac:dyDescent="0.3">
      <c r="A238" t="s">
        <v>430</v>
      </c>
      <c r="B238" t="s">
        <v>431</v>
      </c>
      <c r="C238" t="s">
        <v>12</v>
      </c>
      <c r="D238" t="s">
        <v>32</v>
      </c>
      <c r="E238" s="1">
        <v>46050</v>
      </c>
      <c r="G238">
        <v>88</v>
      </c>
      <c r="H238">
        <v>296</v>
      </c>
      <c r="I238">
        <v>655</v>
      </c>
      <c r="J238" t="s">
        <v>14</v>
      </c>
    </row>
    <row r="239" spans="1:10" x14ac:dyDescent="0.3">
      <c r="A239" t="s">
        <v>432</v>
      </c>
      <c r="B239" t="s">
        <v>224</v>
      </c>
      <c r="C239" t="s">
        <v>49</v>
      </c>
      <c r="D239" t="s">
        <v>32</v>
      </c>
      <c r="E239" s="1">
        <v>46286</v>
      </c>
      <c r="F239">
        <v>175</v>
      </c>
      <c r="G239">
        <v>67</v>
      </c>
      <c r="H239">
        <v>108</v>
      </c>
      <c r="I239">
        <v>1731</v>
      </c>
      <c r="J239" t="s">
        <v>14</v>
      </c>
    </row>
    <row r="240" spans="1:10" x14ac:dyDescent="0.3">
      <c r="A240" t="s">
        <v>433</v>
      </c>
      <c r="B240" t="s">
        <v>434</v>
      </c>
      <c r="C240" t="s">
        <v>31</v>
      </c>
      <c r="D240" t="s">
        <v>435</v>
      </c>
      <c r="F240">
        <v>446</v>
      </c>
      <c r="G240">
        <v>0</v>
      </c>
      <c r="H240">
        <v>446</v>
      </c>
      <c r="I240">
        <v>920</v>
      </c>
      <c r="J240" t="s">
        <v>58</v>
      </c>
    </row>
    <row r="241" spans="1:10" x14ac:dyDescent="0.3">
      <c r="A241" t="s">
        <v>436</v>
      </c>
      <c r="B241" t="s">
        <v>387</v>
      </c>
      <c r="C241" t="s">
        <v>12</v>
      </c>
      <c r="D241" t="s">
        <v>32</v>
      </c>
      <c r="E241" s="1">
        <v>46027</v>
      </c>
      <c r="F241">
        <v>423</v>
      </c>
      <c r="G241">
        <v>144</v>
      </c>
      <c r="H241">
        <v>279</v>
      </c>
      <c r="I241">
        <v>2205</v>
      </c>
      <c r="J241" t="s">
        <v>14</v>
      </c>
    </row>
    <row r="242" spans="1:10" x14ac:dyDescent="0.3">
      <c r="A242" t="s">
        <v>290</v>
      </c>
      <c r="B242" t="s">
        <v>234</v>
      </c>
      <c r="C242" t="s">
        <v>20</v>
      </c>
      <c r="D242" t="s">
        <v>21</v>
      </c>
      <c r="E242" s="1">
        <v>46172</v>
      </c>
      <c r="F242">
        <v>437</v>
      </c>
      <c r="G242">
        <v>35</v>
      </c>
      <c r="H242">
        <v>402</v>
      </c>
      <c r="I242">
        <v>2745</v>
      </c>
      <c r="J242" t="s">
        <v>14</v>
      </c>
    </row>
    <row r="243" spans="1:10" x14ac:dyDescent="0.3">
      <c r="A243" t="s">
        <v>437</v>
      </c>
      <c r="B243" t="s">
        <v>182</v>
      </c>
      <c r="C243" t="s">
        <v>12</v>
      </c>
      <c r="D243" t="s">
        <v>13</v>
      </c>
      <c r="E243" s="1">
        <v>46058</v>
      </c>
      <c r="F243">
        <v>301</v>
      </c>
      <c r="G243">
        <v>114</v>
      </c>
      <c r="H243">
        <v>187</v>
      </c>
      <c r="I243" t="s">
        <v>438</v>
      </c>
      <c r="J243" t="s">
        <v>85</v>
      </c>
    </row>
    <row r="244" spans="1:10" x14ac:dyDescent="0.3">
      <c r="A244" t="s">
        <v>439</v>
      </c>
      <c r="B244" t="s">
        <v>48</v>
      </c>
      <c r="C244" t="s">
        <v>49</v>
      </c>
      <c r="D244" t="s">
        <v>32</v>
      </c>
      <c r="E244" t="s">
        <v>58</v>
      </c>
      <c r="G244">
        <v>0</v>
      </c>
      <c r="H244">
        <v>157</v>
      </c>
      <c r="I244">
        <v>1094</v>
      </c>
      <c r="J244" t="s">
        <v>85</v>
      </c>
    </row>
    <row r="245" spans="1:10" x14ac:dyDescent="0.3">
      <c r="A245" t="s">
        <v>440</v>
      </c>
      <c r="B245" t="s">
        <v>441</v>
      </c>
      <c r="C245" t="s">
        <v>28</v>
      </c>
      <c r="D245" t="s">
        <v>13</v>
      </c>
      <c r="E245" s="1">
        <v>46249</v>
      </c>
      <c r="F245">
        <v>175</v>
      </c>
      <c r="G245">
        <v>127</v>
      </c>
      <c r="H245">
        <v>48</v>
      </c>
      <c r="I245">
        <v>1007</v>
      </c>
      <c r="J245" t="s">
        <v>43</v>
      </c>
    </row>
    <row r="246" spans="1:10" x14ac:dyDescent="0.3">
      <c r="A246" t="s">
        <v>442</v>
      </c>
      <c r="B246" t="s">
        <v>105</v>
      </c>
      <c r="C246" t="s">
        <v>28</v>
      </c>
      <c r="D246" t="s">
        <v>21</v>
      </c>
      <c r="E246" s="1">
        <v>46166</v>
      </c>
      <c r="F246">
        <v>129</v>
      </c>
      <c r="G246">
        <v>122</v>
      </c>
      <c r="H246">
        <v>7</v>
      </c>
      <c r="I246">
        <v>877</v>
      </c>
      <c r="J246" t="s">
        <v>17</v>
      </c>
    </row>
    <row r="247" spans="1:10" x14ac:dyDescent="0.3">
      <c r="A247" t="s">
        <v>443</v>
      </c>
      <c r="B247" t="s">
        <v>234</v>
      </c>
      <c r="C247" t="s">
        <v>28</v>
      </c>
      <c r="D247" t="s">
        <v>36</v>
      </c>
      <c r="E247" s="1">
        <v>46063</v>
      </c>
      <c r="F247">
        <v>97</v>
      </c>
      <c r="G247">
        <v>81</v>
      </c>
      <c r="H247">
        <v>16</v>
      </c>
      <c r="I247">
        <v>1975</v>
      </c>
      <c r="J247" t="s">
        <v>17</v>
      </c>
    </row>
    <row r="248" spans="1:10" x14ac:dyDescent="0.3">
      <c r="A248" t="s">
        <v>444</v>
      </c>
      <c r="B248" t="s">
        <v>189</v>
      </c>
      <c r="C248" t="s">
        <v>49</v>
      </c>
      <c r="D248" t="s">
        <v>21</v>
      </c>
      <c r="E248" s="1">
        <v>46243</v>
      </c>
      <c r="F248">
        <v>395</v>
      </c>
      <c r="G248">
        <v>95</v>
      </c>
      <c r="H248">
        <v>300</v>
      </c>
      <c r="I248">
        <v>2158</v>
      </c>
      <c r="J248" t="s">
        <v>14</v>
      </c>
    </row>
    <row r="249" spans="1:10" x14ac:dyDescent="0.3">
      <c r="A249" t="s">
        <v>445</v>
      </c>
      <c r="B249" t="s">
        <v>189</v>
      </c>
      <c r="C249" t="s">
        <v>49</v>
      </c>
      <c r="D249" t="s">
        <v>13</v>
      </c>
      <c r="E249" t="s">
        <v>58</v>
      </c>
      <c r="F249">
        <v>190</v>
      </c>
      <c r="G249">
        <v>0</v>
      </c>
      <c r="H249">
        <v>190</v>
      </c>
      <c r="I249" t="s">
        <v>446</v>
      </c>
      <c r="J249" t="s">
        <v>127</v>
      </c>
    </row>
    <row r="250" spans="1:10" x14ac:dyDescent="0.3">
      <c r="A250" t="s">
        <v>447</v>
      </c>
      <c r="B250" t="s">
        <v>51</v>
      </c>
      <c r="C250" t="s">
        <v>49</v>
      </c>
      <c r="D250" t="s">
        <v>21</v>
      </c>
      <c r="E250" s="1">
        <v>46092</v>
      </c>
      <c r="F250">
        <v>283</v>
      </c>
      <c r="G250">
        <v>75</v>
      </c>
      <c r="H250">
        <v>208</v>
      </c>
      <c r="I250">
        <v>122</v>
      </c>
      <c r="J250" t="s">
        <v>46</v>
      </c>
    </row>
    <row r="251" spans="1:10" x14ac:dyDescent="0.3">
      <c r="A251" t="s">
        <v>448</v>
      </c>
      <c r="B251" t="s">
        <v>48</v>
      </c>
      <c r="C251" t="s">
        <v>49</v>
      </c>
      <c r="D251" t="s">
        <v>36</v>
      </c>
      <c r="F251">
        <v>257</v>
      </c>
      <c r="G251">
        <v>0</v>
      </c>
      <c r="H251">
        <v>257</v>
      </c>
      <c r="J251" t="s">
        <v>14</v>
      </c>
    </row>
    <row r="252" spans="1:10" x14ac:dyDescent="0.3">
      <c r="A252" t="s">
        <v>449</v>
      </c>
      <c r="B252" t="s">
        <v>238</v>
      </c>
      <c r="C252" t="s">
        <v>279</v>
      </c>
      <c r="D252" t="s">
        <v>435</v>
      </c>
      <c r="F252">
        <v>398</v>
      </c>
      <c r="G252">
        <v>0</v>
      </c>
      <c r="H252">
        <v>398</v>
      </c>
      <c r="I252">
        <v>2002</v>
      </c>
      <c r="J252" t="s">
        <v>14</v>
      </c>
    </row>
    <row r="253" spans="1:10" x14ac:dyDescent="0.3">
      <c r="A253" t="s">
        <v>450</v>
      </c>
      <c r="B253" t="s">
        <v>134</v>
      </c>
      <c r="C253" t="s">
        <v>31</v>
      </c>
      <c r="D253" t="s">
        <v>13</v>
      </c>
      <c r="F253">
        <v>194</v>
      </c>
      <c r="G253">
        <v>0</v>
      </c>
      <c r="H253">
        <v>194</v>
      </c>
      <c r="I253">
        <v>1164</v>
      </c>
      <c r="J253" t="s">
        <v>14</v>
      </c>
    </row>
    <row r="254" spans="1:10" x14ac:dyDescent="0.3">
      <c r="A254" t="s">
        <v>451</v>
      </c>
      <c r="B254" t="s">
        <v>39</v>
      </c>
      <c r="C254" t="s">
        <v>279</v>
      </c>
      <c r="D254" t="s">
        <v>32</v>
      </c>
      <c r="E254" t="s">
        <v>58</v>
      </c>
      <c r="F254">
        <v>449</v>
      </c>
      <c r="G254">
        <v>0</v>
      </c>
      <c r="H254">
        <v>449</v>
      </c>
      <c r="I254">
        <v>2278</v>
      </c>
      <c r="J254" t="s">
        <v>14</v>
      </c>
    </row>
    <row r="255" spans="1:10" x14ac:dyDescent="0.3">
      <c r="A255" t="s">
        <v>452</v>
      </c>
      <c r="B255" t="s">
        <v>453</v>
      </c>
      <c r="C255" t="s">
        <v>49</v>
      </c>
      <c r="D255" t="s">
        <v>13</v>
      </c>
      <c r="E255" s="1">
        <v>46176</v>
      </c>
      <c r="F255">
        <v>228</v>
      </c>
      <c r="G255">
        <v>32</v>
      </c>
      <c r="H255">
        <v>196</v>
      </c>
      <c r="I255">
        <v>848</v>
      </c>
      <c r="J255" t="s">
        <v>14</v>
      </c>
    </row>
    <row r="256" spans="1:10" x14ac:dyDescent="0.3">
      <c r="A256" t="s">
        <v>454</v>
      </c>
      <c r="B256" t="s">
        <v>455</v>
      </c>
      <c r="C256" t="s">
        <v>35</v>
      </c>
      <c r="D256" t="s">
        <v>13</v>
      </c>
      <c r="E256" s="1">
        <v>46031</v>
      </c>
      <c r="F256">
        <v>107</v>
      </c>
      <c r="H256">
        <v>8</v>
      </c>
      <c r="I256">
        <v>951</v>
      </c>
      <c r="J256" t="s">
        <v>17</v>
      </c>
    </row>
    <row r="257" spans="1:10" x14ac:dyDescent="0.3">
      <c r="A257" t="s">
        <v>456</v>
      </c>
      <c r="B257" t="s">
        <v>367</v>
      </c>
      <c r="C257" t="s">
        <v>103</v>
      </c>
      <c r="D257" t="s">
        <v>21</v>
      </c>
      <c r="E257" s="1">
        <v>46217</v>
      </c>
      <c r="F257">
        <v>214</v>
      </c>
      <c r="G257">
        <v>183</v>
      </c>
      <c r="H257">
        <v>31</v>
      </c>
      <c r="I257">
        <v>2508</v>
      </c>
      <c r="J257" t="s">
        <v>43</v>
      </c>
    </row>
    <row r="258" spans="1:10" x14ac:dyDescent="0.3">
      <c r="A258" t="s">
        <v>457</v>
      </c>
      <c r="B258" t="s">
        <v>98</v>
      </c>
      <c r="C258" t="s">
        <v>12</v>
      </c>
      <c r="D258" t="s">
        <v>13</v>
      </c>
      <c r="E258" s="1">
        <v>46238</v>
      </c>
      <c r="G258">
        <v>107</v>
      </c>
      <c r="H258">
        <v>34</v>
      </c>
      <c r="I258">
        <v>2974</v>
      </c>
      <c r="J258" t="s">
        <v>17</v>
      </c>
    </row>
    <row r="259" spans="1:10" x14ac:dyDescent="0.3">
      <c r="A259" t="s">
        <v>458</v>
      </c>
      <c r="B259" t="s">
        <v>189</v>
      </c>
      <c r="C259" t="s">
        <v>49</v>
      </c>
      <c r="D259" t="s">
        <v>115</v>
      </c>
      <c r="E259" t="s">
        <v>58</v>
      </c>
      <c r="F259">
        <v>480</v>
      </c>
      <c r="G259">
        <v>0</v>
      </c>
      <c r="H259">
        <v>480</v>
      </c>
      <c r="I259">
        <v>256</v>
      </c>
      <c r="J259" t="s">
        <v>14</v>
      </c>
    </row>
    <row r="260" spans="1:10" x14ac:dyDescent="0.3">
      <c r="A260" t="s">
        <v>459</v>
      </c>
      <c r="B260" t="s">
        <v>54</v>
      </c>
      <c r="C260" t="s">
        <v>31</v>
      </c>
      <c r="D260" t="s">
        <v>21</v>
      </c>
      <c r="F260">
        <v>298</v>
      </c>
      <c r="G260">
        <v>0</v>
      </c>
      <c r="H260">
        <v>298</v>
      </c>
      <c r="I260">
        <v>432</v>
      </c>
      <c r="J260" t="s">
        <v>85</v>
      </c>
    </row>
    <row r="261" spans="1:10" x14ac:dyDescent="0.3">
      <c r="A261" t="s">
        <v>460</v>
      </c>
      <c r="B261" t="s">
        <v>461</v>
      </c>
      <c r="C261" t="s">
        <v>49</v>
      </c>
      <c r="D261" t="s">
        <v>13</v>
      </c>
      <c r="E261" s="1">
        <v>46254</v>
      </c>
      <c r="F261">
        <v>480</v>
      </c>
      <c r="G261">
        <v>425</v>
      </c>
      <c r="H261">
        <v>55</v>
      </c>
      <c r="I261" t="s">
        <v>462</v>
      </c>
      <c r="J261" t="s">
        <v>17</v>
      </c>
    </row>
    <row r="262" spans="1:10" x14ac:dyDescent="0.3">
      <c r="A262" t="s">
        <v>463</v>
      </c>
      <c r="B262" t="s">
        <v>67</v>
      </c>
      <c r="C262" t="s">
        <v>31</v>
      </c>
      <c r="D262" t="s">
        <v>32</v>
      </c>
      <c r="E262" s="1">
        <v>46030</v>
      </c>
      <c r="F262">
        <v>105</v>
      </c>
      <c r="G262">
        <v>7</v>
      </c>
      <c r="H262">
        <v>98</v>
      </c>
      <c r="I262" t="s">
        <v>464</v>
      </c>
      <c r="J262" t="s">
        <v>85</v>
      </c>
    </row>
    <row r="263" spans="1:10" x14ac:dyDescent="0.3">
      <c r="A263" t="s">
        <v>465</v>
      </c>
      <c r="B263" t="s">
        <v>60</v>
      </c>
      <c r="C263" t="s">
        <v>28</v>
      </c>
      <c r="D263" t="s">
        <v>318</v>
      </c>
      <c r="E263" s="1">
        <v>46230</v>
      </c>
      <c r="F263">
        <v>259</v>
      </c>
      <c r="G263">
        <v>228</v>
      </c>
      <c r="H263">
        <v>31</v>
      </c>
      <c r="I263">
        <v>388</v>
      </c>
      <c r="J263" t="s">
        <v>68</v>
      </c>
    </row>
    <row r="264" spans="1:10" x14ac:dyDescent="0.3">
      <c r="A264" t="s">
        <v>466</v>
      </c>
      <c r="B264" t="s">
        <v>51</v>
      </c>
      <c r="C264" t="s">
        <v>49</v>
      </c>
      <c r="D264" t="s">
        <v>13</v>
      </c>
      <c r="E264" s="1">
        <v>46079</v>
      </c>
      <c r="F264">
        <v>448</v>
      </c>
      <c r="G264">
        <v>109</v>
      </c>
      <c r="H264">
        <v>339</v>
      </c>
      <c r="I264">
        <v>460</v>
      </c>
      <c r="J264" t="s">
        <v>14</v>
      </c>
    </row>
    <row r="265" spans="1:10" x14ac:dyDescent="0.3">
      <c r="A265" t="s">
        <v>467</v>
      </c>
      <c r="B265" t="s">
        <v>23</v>
      </c>
      <c r="C265" t="s">
        <v>35</v>
      </c>
      <c r="D265" t="s">
        <v>32</v>
      </c>
      <c r="E265" s="1">
        <v>46195</v>
      </c>
      <c r="F265">
        <v>403</v>
      </c>
      <c r="G265">
        <v>137</v>
      </c>
      <c r="H265">
        <v>266</v>
      </c>
      <c r="I265">
        <v>2183</v>
      </c>
      <c r="J265" t="s">
        <v>46</v>
      </c>
    </row>
    <row r="266" spans="1:10" x14ac:dyDescent="0.3">
      <c r="A266" t="s">
        <v>468</v>
      </c>
      <c r="B266" t="s">
        <v>315</v>
      </c>
      <c r="C266" t="s">
        <v>49</v>
      </c>
      <c r="D266" t="s">
        <v>300</v>
      </c>
      <c r="F266">
        <v>349</v>
      </c>
      <c r="G266">
        <v>0</v>
      </c>
      <c r="H266">
        <v>349</v>
      </c>
      <c r="I266">
        <v>893</v>
      </c>
      <c r="J266" t="s">
        <v>85</v>
      </c>
    </row>
    <row r="267" spans="1:10" x14ac:dyDescent="0.3">
      <c r="A267" t="s">
        <v>469</v>
      </c>
      <c r="B267" t="s">
        <v>243</v>
      </c>
      <c r="C267" t="s">
        <v>28</v>
      </c>
      <c r="D267" t="s">
        <v>36</v>
      </c>
      <c r="E267" s="1">
        <v>46289</v>
      </c>
      <c r="F267">
        <v>406</v>
      </c>
      <c r="G267">
        <v>305</v>
      </c>
      <c r="H267">
        <v>101</v>
      </c>
      <c r="I267" t="s">
        <v>470</v>
      </c>
      <c r="J267" t="s">
        <v>58</v>
      </c>
    </row>
    <row r="268" spans="1:10" x14ac:dyDescent="0.3">
      <c r="A268" t="s">
        <v>471</v>
      </c>
      <c r="B268" t="s">
        <v>101</v>
      </c>
      <c r="C268" t="s">
        <v>12</v>
      </c>
      <c r="D268" t="s">
        <v>13</v>
      </c>
      <c r="E268" s="1">
        <v>46026</v>
      </c>
      <c r="F268">
        <v>463</v>
      </c>
      <c r="G268">
        <v>135</v>
      </c>
      <c r="H268">
        <v>328</v>
      </c>
      <c r="I268">
        <v>1257</v>
      </c>
      <c r="J268" t="s">
        <v>46</v>
      </c>
    </row>
    <row r="269" spans="1:10" x14ac:dyDescent="0.3">
      <c r="A269" t="s">
        <v>472</v>
      </c>
      <c r="B269" t="s">
        <v>243</v>
      </c>
      <c r="C269" t="s">
        <v>28</v>
      </c>
      <c r="D269" t="s">
        <v>32</v>
      </c>
      <c r="E269" s="1">
        <v>46136</v>
      </c>
      <c r="F269">
        <v>72</v>
      </c>
      <c r="G269">
        <v>8</v>
      </c>
      <c r="H269">
        <v>64</v>
      </c>
      <c r="I269">
        <v>1135</v>
      </c>
      <c r="J269" t="s">
        <v>14</v>
      </c>
    </row>
    <row r="270" spans="1:10" x14ac:dyDescent="0.3">
      <c r="A270" t="s">
        <v>473</v>
      </c>
      <c r="B270" t="s">
        <v>234</v>
      </c>
      <c r="C270" t="s">
        <v>279</v>
      </c>
      <c r="D270" t="s">
        <v>300</v>
      </c>
      <c r="E270" s="1">
        <v>46099</v>
      </c>
      <c r="F270">
        <v>290</v>
      </c>
      <c r="G270">
        <v>223</v>
      </c>
      <c r="H270">
        <v>67</v>
      </c>
      <c r="I270">
        <v>235</v>
      </c>
      <c r="J270" t="s">
        <v>14</v>
      </c>
    </row>
    <row r="271" spans="1:10" x14ac:dyDescent="0.3">
      <c r="A271" t="s">
        <v>474</v>
      </c>
      <c r="B271" t="s">
        <v>387</v>
      </c>
      <c r="C271" t="s">
        <v>12</v>
      </c>
      <c r="D271" t="s">
        <v>475</v>
      </c>
      <c r="F271" t="s">
        <v>58</v>
      </c>
      <c r="G271">
        <v>0</v>
      </c>
      <c r="H271">
        <v>269</v>
      </c>
      <c r="I271">
        <v>1120</v>
      </c>
      <c r="J271" t="s">
        <v>14</v>
      </c>
    </row>
    <row r="272" spans="1:10" x14ac:dyDescent="0.3">
      <c r="A272" t="s">
        <v>476</v>
      </c>
      <c r="B272" t="s">
        <v>477</v>
      </c>
      <c r="C272" t="s">
        <v>28</v>
      </c>
      <c r="D272" t="s">
        <v>21</v>
      </c>
      <c r="E272" s="1">
        <v>46095</v>
      </c>
      <c r="F272">
        <v>199</v>
      </c>
      <c r="G272">
        <v>55</v>
      </c>
      <c r="H272">
        <v>144</v>
      </c>
      <c r="I272">
        <v>1789</v>
      </c>
      <c r="J272" t="s">
        <v>14</v>
      </c>
    </row>
    <row r="273" spans="1:10" x14ac:dyDescent="0.3">
      <c r="A273" t="s">
        <v>478</v>
      </c>
      <c r="B273" t="s">
        <v>479</v>
      </c>
      <c r="C273" t="s">
        <v>139</v>
      </c>
      <c r="D273" t="s">
        <v>21</v>
      </c>
      <c r="E273" s="1">
        <v>46244</v>
      </c>
      <c r="F273">
        <v>292</v>
      </c>
      <c r="G273">
        <v>204</v>
      </c>
      <c r="H273">
        <v>88</v>
      </c>
      <c r="I273">
        <v>627</v>
      </c>
      <c r="J273" t="s">
        <v>14</v>
      </c>
    </row>
    <row r="274" spans="1:10" x14ac:dyDescent="0.3">
      <c r="A274" t="s">
        <v>480</v>
      </c>
      <c r="B274" t="s">
        <v>39</v>
      </c>
      <c r="C274" t="s">
        <v>279</v>
      </c>
      <c r="D274" t="s">
        <v>13</v>
      </c>
      <c r="E274" s="1">
        <v>46206</v>
      </c>
      <c r="F274">
        <v>253</v>
      </c>
      <c r="G274">
        <v>178</v>
      </c>
      <c r="H274">
        <v>75</v>
      </c>
      <c r="I274">
        <v>434</v>
      </c>
      <c r="J274" t="s">
        <v>14</v>
      </c>
    </row>
    <row r="275" spans="1:10" x14ac:dyDescent="0.3">
      <c r="A275" t="s">
        <v>481</v>
      </c>
      <c r="B275" t="s">
        <v>89</v>
      </c>
      <c r="C275" t="s">
        <v>49</v>
      </c>
      <c r="D275" t="s">
        <v>21</v>
      </c>
      <c r="E275" t="s">
        <v>58</v>
      </c>
      <c r="F275">
        <v>269</v>
      </c>
      <c r="G275">
        <v>0</v>
      </c>
      <c r="H275">
        <v>269</v>
      </c>
      <c r="I275">
        <v>880</v>
      </c>
      <c r="J275" t="s">
        <v>46</v>
      </c>
    </row>
    <row r="276" spans="1:10" x14ac:dyDescent="0.3">
      <c r="A276" t="s">
        <v>482</v>
      </c>
      <c r="B276" t="s">
        <v>117</v>
      </c>
      <c r="C276" t="s">
        <v>28</v>
      </c>
      <c r="D276" t="s">
        <v>36</v>
      </c>
      <c r="E276" s="1">
        <v>46151</v>
      </c>
      <c r="F276">
        <v>421</v>
      </c>
      <c r="G276">
        <v>298</v>
      </c>
      <c r="H276">
        <v>123</v>
      </c>
      <c r="I276">
        <v>618</v>
      </c>
      <c r="J276" t="s">
        <v>14</v>
      </c>
    </row>
    <row r="277" spans="1:10" x14ac:dyDescent="0.3">
      <c r="A277" t="s">
        <v>483</v>
      </c>
      <c r="B277" t="s">
        <v>262</v>
      </c>
      <c r="C277" t="s">
        <v>12</v>
      </c>
      <c r="D277" t="s">
        <v>36</v>
      </c>
      <c r="E277" s="1">
        <v>46193</v>
      </c>
      <c r="F277">
        <v>493</v>
      </c>
      <c r="G277">
        <v>485</v>
      </c>
      <c r="H277">
        <v>8</v>
      </c>
      <c r="I277" t="s">
        <v>484</v>
      </c>
      <c r="J277" t="s">
        <v>17</v>
      </c>
    </row>
    <row r="278" spans="1:10" x14ac:dyDescent="0.3">
      <c r="A278" t="s">
        <v>181</v>
      </c>
      <c r="B278" t="s">
        <v>182</v>
      </c>
      <c r="C278" t="s">
        <v>12</v>
      </c>
      <c r="D278" t="s">
        <v>32</v>
      </c>
      <c r="E278" s="1">
        <v>46223</v>
      </c>
      <c r="F278">
        <v>145</v>
      </c>
      <c r="G278">
        <v>139</v>
      </c>
      <c r="H278">
        <v>6</v>
      </c>
      <c r="I278">
        <v>1724</v>
      </c>
      <c r="J278" t="s">
        <v>17</v>
      </c>
    </row>
    <row r="279" spans="1:10" x14ac:dyDescent="0.3">
      <c r="A279" t="s">
        <v>485</v>
      </c>
      <c r="B279" t="s">
        <v>486</v>
      </c>
      <c r="C279" t="s">
        <v>28</v>
      </c>
      <c r="D279" t="s">
        <v>21</v>
      </c>
      <c r="E279" s="1">
        <v>46215</v>
      </c>
      <c r="F279">
        <v>251</v>
      </c>
      <c r="G279">
        <v>204</v>
      </c>
      <c r="H279">
        <v>47</v>
      </c>
      <c r="I279">
        <v>1030</v>
      </c>
      <c r="J279" t="s">
        <v>17</v>
      </c>
    </row>
    <row r="280" spans="1:10" x14ac:dyDescent="0.3">
      <c r="A280" t="s">
        <v>487</v>
      </c>
      <c r="B280" t="s">
        <v>98</v>
      </c>
      <c r="C280" t="s">
        <v>488</v>
      </c>
      <c r="D280" t="s">
        <v>36</v>
      </c>
      <c r="E280" s="1">
        <v>46048</v>
      </c>
      <c r="F280">
        <v>433</v>
      </c>
      <c r="G280">
        <v>86</v>
      </c>
      <c r="H280">
        <v>347</v>
      </c>
      <c r="I280">
        <v>631</v>
      </c>
      <c r="J280" t="s">
        <v>14</v>
      </c>
    </row>
    <row r="281" spans="1:10" x14ac:dyDescent="0.3">
      <c r="A281" t="s">
        <v>489</v>
      </c>
      <c r="B281" t="s">
        <v>296</v>
      </c>
      <c r="C281" t="s">
        <v>31</v>
      </c>
      <c r="D281" t="s">
        <v>13</v>
      </c>
      <c r="F281">
        <v>333</v>
      </c>
      <c r="G281">
        <v>0</v>
      </c>
      <c r="H281">
        <v>333</v>
      </c>
      <c r="I281">
        <v>2613</v>
      </c>
      <c r="J281" t="s">
        <v>14</v>
      </c>
    </row>
    <row r="282" spans="1:10" x14ac:dyDescent="0.3">
      <c r="A282" t="s">
        <v>490</v>
      </c>
      <c r="B282" t="s">
        <v>182</v>
      </c>
      <c r="C282" t="s">
        <v>12</v>
      </c>
      <c r="D282" t="s">
        <v>36</v>
      </c>
      <c r="F282">
        <v>455</v>
      </c>
      <c r="G282">
        <v>0</v>
      </c>
      <c r="H282">
        <v>455</v>
      </c>
      <c r="I282">
        <v>2785</v>
      </c>
      <c r="J282" t="s">
        <v>58</v>
      </c>
    </row>
    <row r="283" spans="1:10" x14ac:dyDescent="0.3">
      <c r="A283" t="s">
        <v>491</v>
      </c>
      <c r="B283" t="s">
        <v>151</v>
      </c>
      <c r="C283" t="s">
        <v>35</v>
      </c>
      <c r="D283" t="s">
        <v>21</v>
      </c>
      <c r="E283" s="1">
        <v>46238</v>
      </c>
      <c r="F283">
        <v>398</v>
      </c>
      <c r="G283">
        <v>333</v>
      </c>
      <c r="H283">
        <v>65</v>
      </c>
      <c r="I283">
        <v>2111</v>
      </c>
      <c r="J283" t="s">
        <v>127</v>
      </c>
    </row>
    <row r="284" spans="1:10" x14ac:dyDescent="0.3">
      <c r="A284" t="s">
        <v>492</v>
      </c>
      <c r="B284" t="s">
        <v>434</v>
      </c>
      <c r="C284" t="s">
        <v>31</v>
      </c>
      <c r="D284" t="s">
        <v>36</v>
      </c>
      <c r="E284" t="s">
        <v>58</v>
      </c>
      <c r="F284">
        <v>221</v>
      </c>
      <c r="G284">
        <v>0</v>
      </c>
      <c r="H284">
        <v>221</v>
      </c>
      <c r="I284" t="s">
        <v>493</v>
      </c>
      <c r="J284" t="s">
        <v>14</v>
      </c>
    </row>
    <row r="285" spans="1:10" x14ac:dyDescent="0.3">
      <c r="A285" t="s">
        <v>494</v>
      </c>
      <c r="B285" t="s">
        <v>138</v>
      </c>
      <c r="C285" t="s">
        <v>58</v>
      </c>
      <c r="D285" t="s">
        <v>13</v>
      </c>
      <c r="E285" s="1">
        <v>46051</v>
      </c>
      <c r="F285">
        <v>72</v>
      </c>
      <c r="G285">
        <v>70</v>
      </c>
      <c r="H285">
        <v>2</v>
      </c>
      <c r="I285">
        <v>2528</v>
      </c>
      <c r="J285" t="s">
        <v>17</v>
      </c>
    </row>
    <row r="286" spans="1:10" x14ac:dyDescent="0.3">
      <c r="A286" t="s">
        <v>495</v>
      </c>
      <c r="B286" t="s">
        <v>296</v>
      </c>
      <c r="C286" t="s">
        <v>31</v>
      </c>
      <c r="D286" t="s">
        <v>13</v>
      </c>
      <c r="E286" t="s">
        <v>58</v>
      </c>
      <c r="F286">
        <v>145</v>
      </c>
      <c r="G286">
        <v>0</v>
      </c>
      <c r="H286">
        <v>145</v>
      </c>
      <c r="I286">
        <v>430</v>
      </c>
      <c r="J286" t="s">
        <v>127</v>
      </c>
    </row>
    <row r="287" spans="1:10" x14ac:dyDescent="0.3">
      <c r="A287" t="s">
        <v>496</v>
      </c>
      <c r="B287" t="s">
        <v>415</v>
      </c>
      <c r="C287" t="s">
        <v>31</v>
      </c>
      <c r="D287" t="s">
        <v>21</v>
      </c>
      <c r="F287">
        <v>98</v>
      </c>
      <c r="G287">
        <v>0</v>
      </c>
      <c r="H287">
        <v>98</v>
      </c>
      <c r="I287" t="s">
        <v>497</v>
      </c>
      <c r="J287" t="s">
        <v>14</v>
      </c>
    </row>
    <row r="288" spans="1:10" x14ac:dyDescent="0.3">
      <c r="A288" t="s">
        <v>388</v>
      </c>
      <c r="B288" t="s">
        <v>177</v>
      </c>
      <c r="C288" t="s">
        <v>31</v>
      </c>
      <c r="D288" t="s">
        <v>36</v>
      </c>
      <c r="E288" s="1">
        <v>46126</v>
      </c>
      <c r="F288">
        <v>433</v>
      </c>
      <c r="G288">
        <v>311</v>
      </c>
      <c r="H288">
        <v>122</v>
      </c>
      <c r="I288">
        <v>733</v>
      </c>
      <c r="J288" t="s">
        <v>14</v>
      </c>
    </row>
    <row r="289" spans="1:10" x14ac:dyDescent="0.3">
      <c r="A289" t="s">
        <v>498</v>
      </c>
      <c r="B289" t="s">
        <v>499</v>
      </c>
      <c r="C289" t="s">
        <v>28</v>
      </c>
      <c r="D289" t="s">
        <v>13</v>
      </c>
      <c r="G289">
        <v>0</v>
      </c>
      <c r="H289">
        <v>350</v>
      </c>
      <c r="I289">
        <v>429</v>
      </c>
      <c r="J289" t="s">
        <v>14</v>
      </c>
    </row>
    <row r="290" spans="1:10" x14ac:dyDescent="0.3">
      <c r="A290" t="s">
        <v>500</v>
      </c>
      <c r="B290" t="s">
        <v>224</v>
      </c>
      <c r="C290" t="s">
        <v>49</v>
      </c>
      <c r="D290" t="s">
        <v>13</v>
      </c>
      <c r="E290" t="s">
        <v>58</v>
      </c>
      <c r="F290">
        <v>155</v>
      </c>
      <c r="G290">
        <v>0</v>
      </c>
      <c r="H290">
        <v>155</v>
      </c>
      <c r="I290">
        <v>1818</v>
      </c>
      <c r="J290" t="s">
        <v>14</v>
      </c>
    </row>
    <row r="291" spans="1:10" x14ac:dyDescent="0.3">
      <c r="A291" t="s">
        <v>501</v>
      </c>
      <c r="B291" t="s">
        <v>367</v>
      </c>
      <c r="C291" t="s">
        <v>35</v>
      </c>
      <c r="D291" t="s">
        <v>13</v>
      </c>
      <c r="E291" s="1">
        <v>46193</v>
      </c>
      <c r="F291">
        <v>432</v>
      </c>
      <c r="G291">
        <v>132</v>
      </c>
      <c r="H291">
        <v>300</v>
      </c>
      <c r="I291">
        <v>939</v>
      </c>
      <c r="J291" t="s">
        <v>85</v>
      </c>
    </row>
    <row r="292" spans="1:10" x14ac:dyDescent="0.3">
      <c r="A292" t="s">
        <v>502</v>
      </c>
      <c r="B292" t="s">
        <v>503</v>
      </c>
      <c r="C292" t="s">
        <v>35</v>
      </c>
      <c r="D292" t="s">
        <v>32</v>
      </c>
      <c r="E292" s="1">
        <v>46004</v>
      </c>
      <c r="F292">
        <v>389</v>
      </c>
      <c r="G292">
        <v>362</v>
      </c>
      <c r="H292">
        <v>27</v>
      </c>
      <c r="I292">
        <v>391</v>
      </c>
      <c r="J292" t="s">
        <v>17</v>
      </c>
    </row>
    <row r="293" spans="1:10" x14ac:dyDescent="0.3">
      <c r="A293" t="s">
        <v>504</v>
      </c>
      <c r="B293" t="s">
        <v>57</v>
      </c>
      <c r="C293" t="s">
        <v>28</v>
      </c>
      <c r="D293" t="s">
        <v>13</v>
      </c>
      <c r="F293">
        <v>181</v>
      </c>
      <c r="G293">
        <v>0</v>
      </c>
      <c r="H293">
        <v>181</v>
      </c>
      <c r="I293">
        <v>2815</v>
      </c>
      <c r="J293" t="s">
        <v>14</v>
      </c>
    </row>
    <row r="294" spans="1:10" x14ac:dyDescent="0.3">
      <c r="A294" t="s">
        <v>505</v>
      </c>
      <c r="B294" t="s">
        <v>34</v>
      </c>
      <c r="C294" t="s">
        <v>35</v>
      </c>
      <c r="D294" t="s">
        <v>25</v>
      </c>
      <c r="E294" s="1">
        <v>46279</v>
      </c>
      <c r="F294">
        <v>343</v>
      </c>
      <c r="G294">
        <v>18</v>
      </c>
      <c r="H294">
        <v>325</v>
      </c>
      <c r="I294">
        <v>2159</v>
      </c>
      <c r="J294" t="s">
        <v>14</v>
      </c>
    </row>
    <row r="295" spans="1:10" x14ac:dyDescent="0.3">
      <c r="A295" t="s">
        <v>506</v>
      </c>
      <c r="B295" t="s">
        <v>507</v>
      </c>
      <c r="C295" t="s">
        <v>28</v>
      </c>
      <c r="D295" t="s">
        <v>32</v>
      </c>
      <c r="E295" s="1">
        <v>46045</v>
      </c>
      <c r="F295">
        <v>53</v>
      </c>
      <c r="G295">
        <v>46</v>
      </c>
      <c r="H295">
        <v>7</v>
      </c>
      <c r="I295">
        <v>1338</v>
      </c>
      <c r="J295" t="s">
        <v>17</v>
      </c>
    </row>
    <row r="296" spans="1:10" x14ac:dyDescent="0.3">
      <c r="A296" t="s">
        <v>508</v>
      </c>
      <c r="B296" t="s">
        <v>19</v>
      </c>
      <c r="C296" t="s">
        <v>418</v>
      </c>
      <c r="D296" t="s">
        <v>32</v>
      </c>
      <c r="E296" s="1">
        <v>46127</v>
      </c>
      <c r="F296">
        <v>154</v>
      </c>
      <c r="G296">
        <v>135</v>
      </c>
      <c r="H296">
        <v>19</v>
      </c>
      <c r="I296">
        <v>304</v>
      </c>
      <c r="J296" t="s">
        <v>58</v>
      </c>
    </row>
    <row r="297" spans="1:10" x14ac:dyDescent="0.3">
      <c r="A297" t="s">
        <v>509</v>
      </c>
      <c r="B297" t="s">
        <v>134</v>
      </c>
      <c r="C297" t="s">
        <v>31</v>
      </c>
      <c r="D297" t="s">
        <v>21</v>
      </c>
      <c r="F297">
        <v>97</v>
      </c>
      <c r="G297">
        <v>0</v>
      </c>
      <c r="H297">
        <v>97</v>
      </c>
      <c r="I297">
        <v>1481</v>
      </c>
      <c r="J297" t="s">
        <v>14</v>
      </c>
    </row>
    <row r="298" spans="1:10" x14ac:dyDescent="0.3">
      <c r="A298" t="s">
        <v>510</v>
      </c>
      <c r="B298" t="s">
        <v>511</v>
      </c>
      <c r="C298" t="s">
        <v>31</v>
      </c>
      <c r="D298" t="s">
        <v>120</v>
      </c>
      <c r="E298" s="1">
        <v>46194</v>
      </c>
      <c r="F298">
        <v>224</v>
      </c>
      <c r="G298">
        <v>219</v>
      </c>
      <c r="H298">
        <v>5</v>
      </c>
      <c r="I298">
        <v>1207</v>
      </c>
      <c r="J298" t="s">
        <v>17</v>
      </c>
    </row>
    <row r="299" spans="1:10" x14ac:dyDescent="0.3">
      <c r="A299" t="s">
        <v>512</v>
      </c>
      <c r="B299" t="s">
        <v>284</v>
      </c>
      <c r="C299" t="s">
        <v>49</v>
      </c>
      <c r="D299" t="s">
        <v>36</v>
      </c>
      <c r="E299" s="1">
        <v>46100</v>
      </c>
      <c r="F299">
        <v>66</v>
      </c>
      <c r="G299">
        <v>62</v>
      </c>
      <c r="H299">
        <v>4</v>
      </c>
      <c r="I299">
        <v>2991</v>
      </c>
      <c r="J299" t="s">
        <v>17</v>
      </c>
    </row>
    <row r="300" spans="1:10" x14ac:dyDescent="0.3">
      <c r="A300" t="s">
        <v>513</v>
      </c>
      <c r="B300" t="s">
        <v>184</v>
      </c>
      <c r="C300" t="s">
        <v>31</v>
      </c>
      <c r="D300" t="s">
        <v>475</v>
      </c>
      <c r="E300" s="1">
        <v>45998</v>
      </c>
      <c r="F300">
        <v>307</v>
      </c>
      <c r="G300">
        <v>112</v>
      </c>
      <c r="H300">
        <v>195</v>
      </c>
      <c r="I300">
        <v>2489</v>
      </c>
      <c r="J300" t="s">
        <v>46</v>
      </c>
    </row>
    <row r="301" spans="1:10" x14ac:dyDescent="0.3">
      <c r="A301" t="s">
        <v>514</v>
      </c>
      <c r="B301" t="s">
        <v>515</v>
      </c>
      <c r="C301" t="s">
        <v>31</v>
      </c>
      <c r="D301" t="s">
        <v>13</v>
      </c>
      <c r="E301" s="1">
        <v>46237</v>
      </c>
      <c r="F301">
        <v>357</v>
      </c>
      <c r="G301">
        <v>294</v>
      </c>
      <c r="H301">
        <v>63</v>
      </c>
      <c r="I301">
        <v>1561</v>
      </c>
      <c r="J301" t="s">
        <v>14</v>
      </c>
    </row>
    <row r="302" spans="1:10" x14ac:dyDescent="0.3">
      <c r="A302" t="s">
        <v>516</v>
      </c>
      <c r="B302" t="s">
        <v>27</v>
      </c>
      <c r="C302" t="s">
        <v>28</v>
      </c>
      <c r="D302" t="s">
        <v>21</v>
      </c>
      <c r="E302" s="1">
        <v>46098</v>
      </c>
      <c r="F302">
        <v>87</v>
      </c>
      <c r="G302">
        <v>30</v>
      </c>
      <c r="H302">
        <v>57</v>
      </c>
      <c r="I302">
        <v>1194</v>
      </c>
      <c r="J302" t="s">
        <v>17</v>
      </c>
    </row>
    <row r="303" spans="1:10" x14ac:dyDescent="0.3">
      <c r="A303" t="s">
        <v>517</v>
      </c>
      <c r="B303" t="s">
        <v>518</v>
      </c>
      <c r="C303" t="s">
        <v>35</v>
      </c>
      <c r="D303" t="s">
        <v>13</v>
      </c>
      <c r="E303" s="1">
        <v>46116</v>
      </c>
      <c r="F303">
        <v>426</v>
      </c>
      <c r="G303">
        <v>160</v>
      </c>
      <c r="H303">
        <v>266</v>
      </c>
      <c r="I303">
        <v>1798</v>
      </c>
      <c r="J303" t="s">
        <v>14</v>
      </c>
    </row>
    <row r="304" spans="1:10" x14ac:dyDescent="0.3">
      <c r="A304" t="s">
        <v>519</v>
      </c>
      <c r="B304" t="s">
        <v>479</v>
      </c>
      <c r="C304" t="s">
        <v>31</v>
      </c>
      <c r="D304" t="s">
        <v>32</v>
      </c>
      <c r="E304" s="1">
        <v>46161</v>
      </c>
      <c r="F304">
        <v>50</v>
      </c>
      <c r="G304">
        <v>4</v>
      </c>
      <c r="H304">
        <v>46</v>
      </c>
      <c r="I304">
        <v>588</v>
      </c>
      <c r="J304" t="s">
        <v>17</v>
      </c>
    </row>
    <row r="305" spans="1:10" x14ac:dyDescent="0.3">
      <c r="A305" t="s">
        <v>520</v>
      </c>
      <c r="B305" t="s">
        <v>89</v>
      </c>
      <c r="C305" t="s">
        <v>58</v>
      </c>
      <c r="D305" t="s">
        <v>32</v>
      </c>
      <c r="E305" s="1">
        <v>46075</v>
      </c>
      <c r="F305">
        <v>163</v>
      </c>
      <c r="G305">
        <v>156</v>
      </c>
      <c r="H305">
        <v>7</v>
      </c>
      <c r="I305">
        <v>123</v>
      </c>
      <c r="J305" t="s">
        <v>17</v>
      </c>
    </row>
    <row r="306" spans="1:10" x14ac:dyDescent="0.3">
      <c r="A306" t="s">
        <v>521</v>
      </c>
      <c r="B306" t="s">
        <v>105</v>
      </c>
      <c r="C306" t="s">
        <v>28</v>
      </c>
      <c r="D306" t="s">
        <v>318</v>
      </c>
      <c r="E306" s="1">
        <v>46127</v>
      </c>
      <c r="F306">
        <v>451</v>
      </c>
      <c r="G306">
        <v>59</v>
      </c>
      <c r="H306">
        <v>392</v>
      </c>
      <c r="I306">
        <v>411</v>
      </c>
      <c r="J306" t="s">
        <v>46</v>
      </c>
    </row>
    <row r="307" spans="1:10" x14ac:dyDescent="0.3">
      <c r="A307" t="s">
        <v>522</v>
      </c>
      <c r="B307" t="s">
        <v>51</v>
      </c>
      <c r="C307" t="s">
        <v>49</v>
      </c>
      <c r="D307" t="s">
        <v>214</v>
      </c>
      <c r="E307" s="1">
        <v>46098</v>
      </c>
      <c r="F307">
        <v>246</v>
      </c>
      <c r="G307">
        <v>28</v>
      </c>
      <c r="H307">
        <v>218</v>
      </c>
      <c r="I307">
        <v>2296</v>
      </c>
      <c r="J307" t="s">
        <v>127</v>
      </c>
    </row>
    <row r="308" spans="1:10" x14ac:dyDescent="0.3">
      <c r="A308" t="s">
        <v>523</v>
      </c>
      <c r="B308" t="s">
        <v>184</v>
      </c>
      <c r="C308" t="s">
        <v>31</v>
      </c>
      <c r="D308" t="s">
        <v>21</v>
      </c>
      <c r="F308">
        <v>98</v>
      </c>
      <c r="G308">
        <v>0</v>
      </c>
      <c r="I308" t="s">
        <v>524</v>
      </c>
      <c r="J308" t="s">
        <v>46</v>
      </c>
    </row>
    <row r="309" spans="1:10" x14ac:dyDescent="0.3">
      <c r="A309" t="s">
        <v>525</v>
      </c>
      <c r="B309" t="s">
        <v>236</v>
      </c>
      <c r="C309" t="s">
        <v>12</v>
      </c>
      <c r="D309" t="s">
        <v>36</v>
      </c>
      <c r="E309" s="1">
        <v>46223</v>
      </c>
      <c r="F309">
        <v>435</v>
      </c>
      <c r="G309">
        <v>381</v>
      </c>
      <c r="H309">
        <v>54</v>
      </c>
      <c r="I309">
        <v>2951</v>
      </c>
      <c r="J309" t="s">
        <v>17</v>
      </c>
    </row>
    <row r="310" spans="1:10" x14ac:dyDescent="0.3">
      <c r="A310" t="s">
        <v>526</v>
      </c>
      <c r="B310" t="s">
        <v>238</v>
      </c>
      <c r="C310" t="s">
        <v>28</v>
      </c>
      <c r="D310" t="s">
        <v>36</v>
      </c>
      <c r="E310" s="1">
        <v>46237</v>
      </c>
      <c r="F310" t="s">
        <v>58</v>
      </c>
      <c r="G310">
        <v>196</v>
      </c>
      <c r="I310">
        <v>602</v>
      </c>
      <c r="J310" t="s">
        <v>14</v>
      </c>
    </row>
    <row r="311" spans="1:10" x14ac:dyDescent="0.3">
      <c r="A311" t="s">
        <v>527</v>
      </c>
      <c r="B311" t="s">
        <v>112</v>
      </c>
      <c r="C311" t="s">
        <v>35</v>
      </c>
      <c r="D311" t="s">
        <v>21</v>
      </c>
      <c r="E311" t="s">
        <v>58</v>
      </c>
      <c r="F311">
        <v>258</v>
      </c>
      <c r="G311">
        <v>0</v>
      </c>
      <c r="H311">
        <v>258</v>
      </c>
      <c r="I311">
        <v>1903</v>
      </c>
      <c r="J311" t="s">
        <v>14</v>
      </c>
    </row>
    <row r="312" spans="1:10" x14ac:dyDescent="0.3">
      <c r="A312" t="s">
        <v>528</v>
      </c>
      <c r="B312" t="s">
        <v>434</v>
      </c>
      <c r="C312" t="s">
        <v>251</v>
      </c>
      <c r="D312" t="s">
        <v>63</v>
      </c>
      <c r="E312" s="1">
        <v>46076</v>
      </c>
      <c r="F312">
        <v>469</v>
      </c>
      <c r="G312">
        <v>407</v>
      </c>
      <c r="H312">
        <v>62</v>
      </c>
      <c r="I312">
        <v>1236</v>
      </c>
      <c r="J312" t="s">
        <v>14</v>
      </c>
    </row>
    <row r="313" spans="1:10" x14ac:dyDescent="0.3">
      <c r="A313" t="s">
        <v>529</v>
      </c>
      <c r="B313" t="s">
        <v>530</v>
      </c>
      <c r="C313" t="s">
        <v>12</v>
      </c>
      <c r="D313" t="s">
        <v>13</v>
      </c>
      <c r="F313">
        <v>432</v>
      </c>
      <c r="G313">
        <v>0</v>
      </c>
      <c r="H313">
        <v>432</v>
      </c>
      <c r="I313">
        <v>947</v>
      </c>
      <c r="J313" t="s">
        <v>14</v>
      </c>
    </row>
    <row r="314" spans="1:10" x14ac:dyDescent="0.3">
      <c r="A314" t="s">
        <v>531</v>
      </c>
      <c r="B314" t="s">
        <v>532</v>
      </c>
      <c r="C314" t="s">
        <v>35</v>
      </c>
      <c r="D314" t="s">
        <v>21</v>
      </c>
      <c r="E314" s="1">
        <v>46190</v>
      </c>
      <c r="F314">
        <v>472</v>
      </c>
      <c r="G314">
        <v>460</v>
      </c>
      <c r="H314">
        <v>12</v>
      </c>
      <c r="I314">
        <v>1854</v>
      </c>
      <c r="J314" t="s">
        <v>180</v>
      </c>
    </row>
    <row r="315" spans="1:10" x14ac:dyDescent="0.3">
      <c r="A315" t="s">
        <v>533</v>
      </c>
      <c r="B315" t="s">
        <v>51</v>
      </c>
      <c r="C315" t="s">
        <v>49</v>
      </c>
      <c r="D315" t="s">
        <v>32</v>
      </c>
      <c r="E315" s="1">
        <v>46026</v>
      </c>
      <c r="F315">
        <v>261</v>
      </c>
      <c r="G315">
        <v>223</v>
      </c>
      <c r="H315">
        <v>38</v>
      </c>
      <c r="I315" t="s">
        <v>534</v>
      </c>
      <c r="J315" t="s">
        <v>17</v>
      </c>
    </row>
    <row r="316" spans="1:10" x14ac:dyDescent="0.3">
      <c r="A316" t="s">
        <v>535</v>
      </c>
      <c r="B316" t="s">
        <v>536</v>
      </c>
      <c r="C316" t="s">
        <v>35</v>
      </c>
      <c r="D316" t="s">
        <v>13</v>
      </c>
      <c r="F316">
        <v>177</v>
      </c>
      <c r="G316">
        <v>-5</v>
      </c>
      <c r="H316">
        <v>177</v>
      </c>
      <c r="I316">
        <v>696</v>
      </c>
      <c r="J316" t="s">
        <v>14</v>
      </c>
    </row>
    <row r="317" spans="1:10" x14ac:dyDescent="0.3">
      <c r="A317" t="s">
        <v>537</v>
      </c>
      <c r="B317" t="s">
        <v>479</v>
      </c>
      <c r="C317" t="s">
        <v>31</v>
      </c>
      <c r="D317" t="s">
        <v>475</v>
      </c>
      <c r="F317">
        <v>491</v>
      </c>
      <c r="H317">
        <v>491</v>
      </c>
      <c r="I317">
        <v>1951</v>
      </c>
      <c r="J317" t="s">
        <v>14</v>
      </c>
    </row>
    <row r="318" spans="1:10" x14ac:dyDescent="0.3">
      <c r="A318" t="s">
        <v>538</v>
      </c>
      <c r="B318" t="s">
        <v>422</v>
      </c>
      <c r="C318" t="s">
        <v>12</v>
      </c>
      <c r="D318" t="s">
        <v>36</v>
      </c>
      <c r="E318" s="1">
        <v>46009</v>
      </c>
      <c r="F318">
        <v>124</v>
      </c>
      <c r="G318">
        <v>105</v>
      </c>
      <c r="H318">
        <v>19</v>
      </c>
      <c r="I318" t="s">
        <v>539</v>
      </c>
      <c r="J318" t="s">
        <v>17</v>
      </c>
    </row>
    <row r="319" spans="1:10" x14ac:dyDescent="0.3">
      <c r="A319" t="s">
        <v>540</v>
      </c>
      <c r="B319" t="s">
        <v>284</v>
      </c>
      <c r="C319" t="s">
        <v>49</v>
      </c>
      <c r="D319" t="s">
        <v>25</v>
      </c>
      <c r="E319" s="1">
        <v>46200</v>
      </c>
      <c r="F319">
        <v>450</v>
      </c>
      <c r="G319">
        <v>64</v>
      </c>
      <c r="H319">
        <v>386</v>
      </c>
      <c r="I319" t="s">
        <v>541</v>
      </c>
      <c r="J319" t="s">
        <v>14</v>
      </c>
    </row>
    <row r="320" spans="1:10" x14ac:dyDescent="0.3">
      <c r="A320" t="s">
        <v>542</v>
      </c>
      <c r="B320" t="s">
        <v>434</v>
      </c>
      <c r="C320" t="s">
        <v>31</v>
      </c>
      <c r="D320" t="s">
        <v>214</v>
      </c>
      <c r="E320" s="1">
        <v>46215</v>
      </c>
      <c r="F320">
        <v>202</v>
      </c>
      <c r="G320">
        <v>157</v>
      </c>
      <c r="H320">
        <v>45</v>
      </c>
      <c r="I320">
        <v>1274</v>
      </c>
      <c r="J320" t="s">
        <v>68</v>
      </c>
    </row>
    <row r="321" spans="1:10" x14ac:dyDescent="0.3">
      <c r="A321" t="s">
        <v>543</v>
      </c>
      <c r="B321" t="s">
        <v>112</v>
      </c>
      <c r="C321" t="s">
        <v>35</v>
      </c>
      <c r="D321" t="s">
        <v>36</v>
      </c>
      <c r="E321" s="1">
        <v>46121</v>
      </c>
      <c r="F321">
        <v>309</v>
      </c>
      <c r="G321">
        <v>110</v>
      </c>
      <c r="H321">
        <v>199</v>
      </c>
      <c r="I321" t="s">
        <v>544</v>
      </c>
      <c r="J321" t="s">
        <v>127</v>
      </c>
    </row>
    <row r="322" spans="1:10" x14ac:dyDescent="0.3">
      <c r="A322" t="s">
        <v>545</v>
      </c>
      <c r="B322" t="s">
        <v>101</v>
      </c>
      <c r="C322" t="s">
        <v>12</v>
      </c>
      <c r="D322" t="s">
        <v>36</v>
      </c>
      <c r="E322" s="1">
        <v>46212</v>
      </c>
      <c r="F322">
        <v>231</v>
      </c>
      <c r="G322">
        <v>183</v>
      </c>
      <c r="H322">
        <v>48</v>
      </c>
      <c r="I322">
        <v>1374</v>
      </c>
      <c r="J322" t="s">
        <v>17</v>
      </c>
    </row>
    <row r="323" spans="1:10" x14ac:dyDescent="0.3">
      <c r="A323" t="s">
        <v>487</v>
      </c>
      <c r="B323" t="s">
        <v>98</v>
      </c>
      <c r="C323" t="s">
        <v>488</v>
      </c>
      <c r="D323" t="s">
        <v>36</v>
      </c>
      <c r="E323" s="1">
        <v>46048</v>
      </c>
      <c r="F323">
        <v>433</v>
      </c>
      <c r="G323">
        <v>86</v>
      </c>
      <c r="H323">
        <v>347</v>
      </c>
      <c r="I323">
        <v>631</v>
      </c>
      <c r="J323" t="s">
        <v>14</v>
      </c>
    </row>
    <row r="324" spans="1:10" x14ac:dyDescent="0.3">
      <c r="A324" t="s">
        <v>546</v>
      </c>
      <c r="B324" t="s">
        <v>57</v>
      </c>
      <c r="C324" t="s">
        <v>28</v>
      </c>
      <c r="D324" t="s">
        <v>21</v>
      </c>
      <c r="E324" s="1">
        <v>46012</v>
      </c>
      <c r="F324">
        <v>332</v>
      </c>
      <c r="G324">
        <v>62</v>
      </c>
      <c r="H324">
        <v>270</v>
      </c>
      <c r="I324" t="s">
        <v>547</v>
      </c>
      <c r="J324" t="s">
        <v>14</v>
      </c>
    </row>
    <row r="325" spans="1:10" x14ac:dyDescent="0.3">
      <c r="A325" t="s">
        <v>548</v>
      </c>
      <c r="B325" t="s">
        <v>60</v>
      </c>
      <c r="C325" t="s">
        <v>20</v>
      </c>
      <c r="D325" t="s">
        <v>13</v>
      </c>
      <c r="E325" s="1">
        <v>46066</v>
      </c>
      <c r="F325">
        <v>421</v>
      </c>
      <c r="G325">
        <v>63</v>
      </c>
      <c r="H325">
        <v>358</v>
      </c>
      <c r="I325">
        <v>1887</v>
      </c>
      <c r="J325" t="s">
        <v>14</v>
      </c>
    </row>
    <row r="326" spans="1:10" x14ac:dyDescent="0.3">
      <c r="A326" t="s">
        <v>549</v>
      </c>
      <c r="B326" t="s">
        <v>479</v>
      </c>
      <c r="C326" t="s">
        <v>31</v>
      </c>
      <c r="D326" t="s">
        <v>32</v>
      </c>
      <c r="E326" t="s">
        <v>58</v>
      </c>
      <c r="F326">
        <v>440</v>
      </c>
      <c r="G326">
        <v>0</v>
      </c>
      <c r="H326">
        <v>440</v>
      </c>
      <c r="I326">
        <v>1157</v>
      </c>
      <c r="J326" t="s">
        <v>14</v>
      </c>
    </row>
    <row r="327" spans="1:10" x14ac:dyDescent="0.3">
      <c r="A327" t="s">
        <v>323</v>
      </c>
      <c r="B327" t="s">
        <v>324</v>
      </c>
      <c r="C327" t="s">
        <v>31</v>
      </c>
      <c r="D327" t="s">
        <v>13</v>
      </c>
      <c r="E327" s="1">
        <v>46182</v>
      </c>
      <c r="F327">
        <v>379</v>
      </c>
      <c r="G327">
        <v>84</v>
      </c>
      <c r="H327">
        <v>295</v>
      </c>
      <c r="I327">
        <v>2186</v>
      </c>
      <c r="J327" t="s">
        <v>58</v>
      </c>
    </row>
    <row r="328" spans="1:10" x14ac:dyDescent="0.3">
      <c r="A328" t="s">
        <v>550</v>
      </c>
      <c r="B328" t="s">
        <v>551</v>
      </c>
      <c r="C328" t="s">
        <v>12</v>
      </c>
      <c r="D328" t="s">
        <v>36</v>
      </c>
      <c r="E328" s="1">
        <v>46013</v>
      </c>
      <c r="F328">
        <v>487</v>
      </c>
      <c r="G328">
        <v>484</v>
      </c>
      <c r="H328">
        <v>3</v>
      </c>
      <c r="I328">
        <v>127</v>
      </c>
      <c r="J328" t="s">
        <v>17</v>
      </c>
    </row>
    <row r="329" spans="1:10" x14ac:dyDescent="0.3">
      <c r="A329" t="s">
        <v>552</v>
      </c>
      <c r="B329" t="s">
        <v>262</v>
      </c>
      <c r="C329" t="s">
        <v>12</v>
      </c>
      <c r="D329" t="s">
        <v>13</v>
      </c>
      <c r="F329">
        <v>421</v>
      </c>
      <c r="G329">
        <v>0</v>
      </c>
      <c r="H329">
        <v>421</v>
      </c>
      <c r="I329">
        <v>806</v>
      </c>
      <c r="J329" t="s">
        <v>14</v>
      </c>
    </row>
    <row r="330" spans="1:10" x14ac:dyDescent="0.3">
      <c r="A330" t="s">
        <v>553</v>
      </c>
      <c r="B330" t="s">
        <v>27</v>
      </c>
      <c r="C330" t="s">
        <v>28</v>
      </c>
      <c r="D330" t="s">
        <v>21</v>
      </c>
      <c r="F330">
        <v>483</v>
      </c>
      <c r="G330">
        <v>0</v>
      </c>
      <c r="H330">
        <v>483</v>
      </c>
      <c r="I330">
        <v>1369</v>
      </c>
      <c r="J330" t="s">
        <v>14</v>
      </c>
    </row>
    <row r="331" spans="1:10" x14ac:dyDescent="0.3">
      <c r="A331" t="s">
        <v>283</v>
      </c>
      <c r="B331" t="s">
        <v>284</v>
      </c>
      <c r="C331" t="s">
        <v>49</v>
      </c>
      <c r="D331" t="s">
        <v>13</v>
      </c>
      <c r="E331" s="1">
        <v>46268</v>
      </c>
      <c r="F331">
        <v>137</v>
      </c>
      <c r="G331">
        <v>131</v>
      </c>
      <c r="H331">
        <v>6</v>
      </c>
      <c r="I331">
        <v>1650</v>
      </c>
      <c r="J331" t="s">
        <v>17</v>
      </c>
    </row>
    <row r="332" spans="1:10" x14ac:dyDescent="0.3">
      <c r="A332" t="s">
        <v>554</v>
      </c>
      <c r="B332" t="s">
        <v>164</v>
      </c>
      <c r="C332" t="s">
        <v>52</v>
      </c>
      <c r="D332" t="s">
        <v>36</v>
      </c>
      <c r="F332">
        <v>481</v>
      </c>
      <c r="G332">
        <v>-5</v>
      </c>
      <c r="H332">
        <v>481</v>
      </c>
      <c r="I332">
        <v>2061</v>
      </c>
      <c r="J332" t="s">
        <v>14</v>
      </c>
    </row>
    <row r="333" spans="1:10" x14ac:dyDescent="0.3">
      <c r="A333" t="s">
        <v>555</v>
      </c>
      <c r="B333" t="s">
        <v>556</v>
      </c>
      <c r="C333" t="s">
        <v>28</v>
      </c>
      <c r="D333" t="s">
        <v>36</v>
      </c>
      <c r="F333">
        <v>234</v>
      </c>
      <c r="G333">
        <v>0</v>
      </c>
      <c r="H333">
        <v>234</v>
      </c>
      <c r="I333">
        <v>2125</v>
      </c>
      <c r="J333" t="s">
        <v>85</v>
      </c>
    </row>
    <row r="334" spans="1:10" x14ac:dyDescent="0.3">
      <c r="A334" t="s">
        <v>557</v>
      </c>
      <c r="B334" t="s">
        <v>422</v>
      </c>
      <c r="C334" t="s">
        <v>12</v>
      </c>
      <c r="D334" t="s">
        <v>36</v>
      </c>
      <c r="E334" s="1">
        <v>46045</v>
      </c>
      <c r="F334">
        <v>458</v>
      </c>
      <c r="G334">
        <v>173</v>
      </c>
      <c r="H334">
        <v>285</v>
      </c>
      <c r="I334">
        <v>925</v>
      </c>
      <c r="J334" t="s">
        <v>14</v>
      </c>
    </row>
    <row r="335" spans="1:10" x14ac:dyDescent="0.3">
      <c r="A335" t="s">
        <v>558</v>
      </c>
      <c r="B335" t="s">
        <v>39</v>
      </c>
      <c r="C335" t="s">
        <v>20</v>
      </c>
      <c r="D335" t="s">
        <v>318</v>
      </c>
      <c r="E335" s="1">
        <v>46077</v>
      </c>
      <c r="F335">
        <v>256</v>
      </c>
      <c r="G335">
        <v>59</v>
      </c>
      <c r="H335">
        <v>197</v>
      </c>
      <c r="I335">
        <v>1336</v>
      </c>
      <c r="J335" t="s">
        <v>14</v>
      </c>
    </row>
    <row r="336" spans="1:10" x14ac:dyDescent="0.3">
      <c r="A336" t="s">
        <v>277</v>
      </c>
      <c r="B336" t="s">
        <v>278</v>
      </c>
      <c r="C336" t="s">
        <v>279</v>
      </c>
      <c r="D336" t="s">
        <v>36</v>
      </c>
      <c r="F336">
        <v>282</v>
      </c>
      <c r="G336">
        <v>0</v>
      </c>
      <c r="H336">
        <v>282</v>
      </c>
      <c r="I336">
        <v>1187</v>
      </c>
      <c r="J336" t="s">
        <v>58</v>
      </c>
    </row>
    <row r="337" spans="1:10" x14ac:dyDescent="0.3">
      <c r="A337" t="s">
        <v>559</v>
      </c>
      <c r="B337" t="s">
        <v>479</v>
      </c>
      <c r="C337" t="s">
        <v>31</v>
      </c>
      <c r="D337" t="s">
        <v>13</v>
      </c>
      <c r="E337" s="1">
        <v>46245</v>
      </c>
      <c r="F337">
        <v>270</v>
      </c>
      <c r="G337">
        <v>212</v>
      </c>
      <c r="H337">
        <v>58</v>
      </c>
      <c r="I337">
        <v>2914</v>
      </c>
      <c r="J337" t="s">
        <v>17</v>
      </c>
    </row>
    <row r="338" spans="1:10" x14ac:dyDescent="0.3">
      <c r="A338" t="s">
        <v>560</v>
      </c>
      <c r="B338" t="s">
        <v>240</v>
      </c>
      <c r="C338" t="s">
        <v>52</v>
      </c>
      <c r="D338" t="s">
        <v>25</v>
      </c>
      <c r="F338">
        <v>231</v>
      </c>
      <c r="G338">
        <v>0</v>
      </c>
      <c r="H338">
        <v>231</v>
      </c>
      <c r="I338">
        <v>1189</v>
      </c>
      <c r="J338" t="s">
        <v>14</v>
      </c>
    </row>
    <row r="339" spans="1:10" x14ac:dyDescent="0.3">
      <c r="A339" t="s">
        <v>561</v>
      </c>
      <c r="B339" t="s">
        <v>562</v>
      </c>
      <c r="C339" t="s">
        <v>35</v>
      </c>
      <c r="D339" t="s">
        <v>13</v>
      </c>
      <c r="E339" s="1">
        <v>46008</v>
      </c>
      <c r="F339">
        <v>388</v>
      </c>
      <c r="G339">
        <v>68</v>
      </c>
      <c r="H339">
        <v>320</v>
      </c>
      <c r="I339">
        <v>334</v>
      </c>
      <c r="J339" t="s">
        <v>46</v>
      </c>
    </row>
    <row r="340" spans="1:10" x14ac:dyDescent="0.3">
      <c r="A340" t="s">
        <v>563</v>
      </c>
      <c r="B340" t="s">
        <v>142</v>
      </c>
      <c r="C340" t="s">
        <v>49</v>
      </c>
      <c r="D340" t="s">
        <v>32</v>
      </c>
      <c r="F340">
        <v>204</v>
      </c>
      <c r="G340">
        <v>0</v>
      </c>
      <c r="H340">
        <v>204</v>
      </c>
      <c r="J340" t="s">
        <v>14</v>
      </c>
    </row>
    <row r="341" spans="1:10" x14ac:dyDescent="0.3">
      <c r="A341" t="s">
        <v>564</v>
      </c>
      <c r="B341" t="s">
        <v>234</v>
      </c>
      <c r="C341" t="s">
        <v>28</v>
      </c>
      <c r="D341" t="s">
        <v>318</v>
      </c>
      <c r="E341" s="1">
        <v>46075</v>
      </c>
      <c r="F341">
        <v>95</v>
      </c>
      <c r="G341">
        <v>83</v>
      </c>
      <c r="H341">
        <v>12</v>
      </c>
      <c r="I341">
        <v>2859</v>
      </c>
      <c r="J341" t="s">
        <v>17</v>
      </c>
    </row>
    <row r="342" spans="1:10" x14ac:dyDescent="0.3">
      <c r="A342" t="s">
        <v>565</v>
      </c>
      <c r="B342" t="s">
        <v>566</v>
      </c>
      <c r="C342" t="s">
        <v>12</v>
      </c>
      <c r="D342" t="s">
        <v>32</v>
      </c>
      <c r="E342" t="s">
        <v>58</v>
      </c>
      <c r="F342">
        <v>79</v>
      </c>
      <c r="G342">
        <v>0</v>
      </c>
      <c r="H342">
        <v>79</v>
      </c>
      <c r="I342">
        <v>2406</v>
      </c>
      <c r="J342" t="s">
        <v>14</v>
      </c>
    </row>
    <row r="343" spans="1:10" x14ac:dyDescent="0.3">
      <c r="A343" t="s">
        <v>567</v>
      </c>
      <c r="B343" t="s">
        <v>262</v>
      </c>
      <c r="C343" t="s">
        <v>12</v>
      </c>
      <c r="D343" t="s">
        <v>36</v>
      </c>
      <c r="E343" s="1">
        <v>46148</v>
      </c>
      <c r="F343">
        <v>448</v>
      </c>
      <c r="G343">
        <v>41</v>
      </c>
      <c r="H343">
        <v>407</v>
      </c>
      <c r="I343">
        <v>1520</v>
      </c>
      <c r="J343" t="s">
        <v>14</v>
      </c>
    </row>
    <row r="344" spans="1:10" x14ac:dyDescent="0.3">
      <c r="A344" t="s">
        <v>568</v>
      </c>
      <c r="B344" t="s">
        <v>146</v>
      </c>
      <c r="C344" t="s">
        <v>35</v>
      </c>
      <c r="D344" t="s">
        <v>36</v>
      </c>
      <c r="F344">
        <v>220</v>
      </c>
      <c r="G344">
        <v>0</v>
      </c>
      <c r="H344">
        <v>220</v>
      </c>
      <c r="I344">
        <v>369</v>
      </c>
      <c r="J344" t="s">
        <v>14</v>
      </c>
    </row>
    <row r="345" spans="1:10" x14ac:dyDescent="0.3">
      <c r="A345" t="s">
        <v>569</v>
      </c>
      <c r="B345" t="s">
        <v>34</v>
      </c>
      <c r="C345" t="s">
        <v>35</v>
      </c>
      <c r="D345" t="s">
        <v>13</v>
      </c>
      <c r="E345" s="1">
        <v>46269</v>
      </c>
      <c r="F345">
        <v>485</v>
      </c>
      <c r="G345">
        <v>179</v>
      </c>
      <c r="H345">
        <v>306</v>
      </c>
      <c r="I345">
        <v>548</v>
      </c>
      <c r="J345" t="s">
        <v>14</v>
      </c>
    </row>
    <row r="346" spans="1:10" x14ac:dyDescent="0.3">
      <c r="A346" t="s">
        <v>570</v>
      </c>
      <c r="B346" t="s">
        <v>93</v>
      </c>
      <c r="C346" t="s">
        <v>12</v>
      </c>
      <c r="D346" t="s">
        <v>13</v>
      </c>
      <c r="E346" s="1">
        <v>46041</v>
      </c>
      <c r="F346">
        <v>246</v>
      </c>
      <c r="G346">
        <v>65</v>
      </c>
      <c r="H346">
        <v>181</v>
      </c>
      <c r="I346">
        <v>555</v>
      </c>
      <c r="J346" t="s">
        <v>14</v>
      </c>
    </row>
    <row r="347" spans="1:10" x14ac:dyDescent="0.3">
      <c r="A347" t="s">
        <v>571</v>
      </c>
      <c r="B347" t="s">
        <v>45</v>
      </c>
      <c r="C347" t="s">
        <v>35</v>
      </c>
      <c r="D347" t="s">
        <v>13</v>
      </c>
      <c r="E347" s="1">
        <v>46067</v>
      </c>
      <c r="F347">
        <v>352</v>
      </c>
      <c r="G347">
        <v>73</v>
      </c>
      <c r="H347">
        <v>279</v>
      </c>
      <c r="I347" t="s">
        <v>572</v>
      </c>
      <c r="J347" t="s">
        <v>127</v>
      </c>
    </row>
    <row r="348" spans="1:10" x14ac:dyDescent="0.3">
      <c r="A348" t="s">
        <v>573</v>
      </c>
      <c r="B348" t="s">
        <v>211</v>
      </c>
      <c r="C348" t="s">
        <v>35</v>
      </c>
      <c r="D348" t="s">
        <v>32</v>
      </c>
      <c r="E348" s="1">
        <v>46155</v>
      </c>
      <c r="F348">
        <v>119</v>
      </c>
      <c r="G348">
        <v>40</v>
      </c>
      <c r="H348">
        <v>79</v>
      </c>
      <c r="I348">
        <v>1132</v>
      </c>
      <c r="J348" t="s">
        <v>14</v>
      </c>
    </row>
    <row r="349" spans="1:10" x14ac:dyDescent="0.3">
      <c r="A349" t="s">
        <v>574</v>
      </c>
      <c r="B349" t="s">
        <v>455</v>
      </c>
      <c r="C349" t="s">
        <v>35</v>
      </c>
      <c r="D349" t="s">
        <v>21</v>
      </c>
      <c r="E349" s="1">
        <v>46160</v>
      </c>
      <c r="F349">
        <v>294</v>
      </c>
      <c r="G349">
        <v>281</v>
      </c>
      <c r="H349">
        <v>13</v>
      </c>
      <c r="I349">
        <v>2480</v>
      </c>
      <c r="J349" t="s">
        <v>17</v>
      </c>
    </row>
    <row r="350" spans="1:10" x14ac:dyDescent="0.3">
      <c r="A350" t="s">
        <v>575</v>
      </c>
      <c r="B350" t="s">
        <v>576</v>
      </c>
      <c r="C350" t="s">
        <v>103</v>
      </c>
      <c r="D350" t="s">
        <v>21</v>
      </c>
      <c r="F350">
        <v>133</v>
      </c>
      <c r="G350">
        <v>0</v>
      </c>
      <c r="H350">
        <v>133</v>
      </c>
      <c r="I350">
        <v>1793</v>
      </c>
      <c r="J350" t="s">
        <v>14</v>
      </c>
    </row>
    <row r="351" spans="1:10" x14ac:dyDescent="0.3">
      <c r="A351" t="s">
        <v>577</v>
      </c>
      <c r="B351" t="s">
        <v>211</v>
      </c>
      <c r="C351" t="s">
        <v>103</v>
      </c>
      <c r="D351" t="s">
        <v>214</v>
      </c>
      <c r="E351" s="1">
        <v>46001</v>
      </c>
      <c r="F351">
        <v>489</v>
      </c>
      <c r="G351">
        <v>469</v>
      </c>
      <c r="H351">
        <v>20</v>
      </c>
      <c r="I351" t="s">
        <v>578</v>
      </c>
      <c r="J351" t="s">
        <v>17</v>
      </c>
    </row>
    <row r="352" spans="1:10" x14ac:dyDescent="0.3">
      <c r="A352" t="s">
        <v>579</v>
      </c>
      <c r="B352" t="s">
        <v>415</v>
      </c>
      <c r="C352" t="s">
        <v>31</v>
      </c>
      <c r="D352" t="s">
        <v>36</v>
      </c>
      <c r="E352" s="1">
        <v>46020</v>
      </c>
      <c r="F352">
        <v>170</v>
      </c>
      <c r="G352">
        <v>60</v>
      </c>
      <c r="H352">
        <v>110</v>
      </c>
      <c r="I352">
        <v>1012</v>
      </c>
      <c r="J352" t="s">
        <v>14</v>
      </c>
    </row>
    <row r="353" spans="1:10" x14ac:dyDescent="0.3">
      <c r="A353" t="s">
        <v>580</v>
      </c>
      <c r="B353" t="s">
        <v>142</v>
      </c>
      <c r="C353" t="s">
        <v>49</v>
      </c>
      <c r="D353" t="s">
        <v>13</v>
      </c>
      <c r="E353" s="1">
        <v>46248</v>
      </c>
      <c r="F353">
        <v>249</v>
      </c>
      <c r="G353">
        <v>209</v>
      </c>
      <c r="H353">
        <v>40</v>
      </c>
      <c r="I353">
        <v>2595</v>
      </c>
      <c r="J353" t="s">
        <v>68</v>
      </c>
    </row>
    <row r="354" spans="1:10" x14ac:dyDescent="0.3">
      <c r="A354" t="s">
        <v>581</v>
      </c>
      <c r="B354" t="s">
        <v>236</v>
      </c>
      <c r="C354" t="s">
        <v>12</v>
      </c>
      <c r="D354" t="s">
        <v>13</v>
      </c>
      <c r="E354" s="1">
        <v>46143</v>
      </c>
      <c r="F354">
        <v>381</v>
      </c>
      <c r="H354">
        <v>240</v>
      </c>
      <c r="I354" t="s">
        <v>582</v>
      </c>
      <c r="J354" t="s">
        <v>14</v>
      </c>
    </row>
    <row r="355" spans="1:10" x14ac:dyDescent="0.3">
      <c r="A355" t="s">
        <v>583</v>
      </c>
      <c r="B355" t="s">
        <v>93</v>
      </c>
      <c r="C355" t="s">
        <v>58</v>
      </c>
      <c r="D355" t="s">
        <v>21</v>
      </c>
      <c r="E355" t="s">
        <v>58</v>
      </c>
      <c r="F355">
        <v>101</v>
      </c>
      <c r="G355">
        <v>0</v>
      </c>
      <c r="H355">
        <v>101</v>
      </c>
      <c r="I355">
        <v>2566</v>
      </c>
      <c r="J355" t="s">
        <v>46</v>
      </c>
    </row>
    <row r="356" spans="1:10" x14ac:dyDescent="0.3">
      <c r="A356" t="s">
        <v>584</v>
      </c>
      <c r="B356" t="s">
        <v>124</v>
      </c>
      <c r="C356" t="s">
        <v>28</v>
      </c>
      <c r="D356" t="s">
        <v>32</v>
      </c>
      <c r="F356">
        <v>145</v>
      </c>
      <c r="G356">
        <v>0</v>
      </c>
      <c r="H356">
        <v>145</v>
      </c>
      <c r="J356" t="s">
        <v>14</v>
      </c>
    </row>
    <row r="357" spans="1:10" x14ac:dyDescent="0.3">
      <c r="A357" t="s">
        <v>585</v>
      </c>
      <c r="B357" t="s">
        <v>234</v>
      </c>
      <c r="C357" t="s">
        <v>20</v>
      </c>
      <c r="D357" t="s">
        <v>21</v>
      </c>
      <c r="E357" t="s">
        <v>58</v>
      </c>
      <c r="F357">
        <v>56</v>
      </c>
      <c r="G357">
        <v>0</v>
      </c>
      <c r="H357">
        <v>56</v>
      </c>
      <c r="I357">
        <v>2302</v>
      </c>
      <c r="J357" t="s">
        <v>43</v>
      </c>
    </row>
    <row r="358" spans="1:10" x14ac:dyDescent="0.3">
      <c r="A358" t="s">
        <v>586</v>
      </c>
      <c r="B358" t="s">
        <v>200</v>
      </c>
      <c r="C358" t="s">
        <v>103</v>
      </c>
      <c r="D358" t="s">
        <v>32</v>
      </c>
      <c r="E358" s="1">
        <v>46134</v>
      </c>
      <c r="F358">
        <v>444</v>
      </c>
      <c r="G358">
        <v>88</v>
      </c>
      <c r="H358">
        <v>356</v>
      </c>
      <c r="I358" t="s">
        <v>587</v>
      </c>
      <c r="J358" t="s">
        <v>14</v>
      </c>
    </row>
    <row r="359" spans="1:10" x14ac:dyDescent="0.3">
      <c r="A359" t="s">
        <v>588</v>
      </c>
      <c r="B359" t="s">
        <v>78</v>
      </c>
      <c r="C359" t="s">
        <v>35</v>
      </c>
      <c r="D359" t="s">
        <v>21</v>
      </c>
      <c r="E359" s="1">
        <v>46174</v>
      </c>
      <c r="F359">
        <v>73</v>
      </c>
      <c r="G359">
        <v>72</v>
      </c>
      <c r="H359">
        <v>1</v>
      </c>
      <c r="I359">
        <v>2856</v>
      </c>
      <c r="J359" t="s">
        <v>17</v>
      </c>
    </row>
    <row r="360" spans="1:10" x14ac:dyDescent="0.3">
      <c r="A360" t="s">
        <v>589</v>
      </c>
      <c r="B360" t="s">
        <v>590</v>
      </c>
      <c r="C360" t="s">
        <v>35</v>
      </c>
      <c r="D360" t="s">
        <v>36</v>
      </c>
      <c r="E360" t="s">
        <v>58</v>
      </c>
      <c r="F360">
        <v>112</v>
      </c>
      <c r="G360">
        <v>0</v>
      </c>
      <c r="H360">
        <v>112</v>
      </c>
      <c r="I360" t="s">
        <v>319</v>
      </c>
      <c r="J360" t="s">
        <v>14</v>
      </c>
    </row>
    <row r="361" spans="1:10" x14ac:dyDescent="0.3">
      <c r="A361" t="s">
        <v>591</v>
      </c>
      <c r="B361" t="s">
        <v>142</v>
      </c>
      <c r="C361" t="s">
        <v>49</v>
      </c>
      <c r="D361" t="s">
        <v>13</v>
      </c>
      <c r="F361">
        <v>370</v>
      </c>
      <c r="G361">
        <v>0</v>
      </c>
      <c r="H361">
        <v>370</v>
      </c>
      <c r="I361">
        <v>1968</v>
      </c>
      <c r="J361" t="s">
        <v>14</v>
      </c>
    </row>
    <row r="362" spans="1:10" x14ac:dyDescent="0.3">
      <c r="A362" t="s">
        <v>342</v>
      </c>
      <c r="B362" t="s">
        <v>48</v>
      </c>
      <c r="C362" t="s">
        <v>52</v>
      </c>
      <c r="D362" t="s">
        <v>13</v>
      </c>
      <c r="E362" s="1">
        <v>46166</v>
      </c>
      <c r="F362">
        <v>451</v>
      </c>
      <c r="G362">
        <v>140</v>
      </c>
      <c r="H362">
        <v>311</v>
      </c>
      <c r="I362">
        <v>624</v>
      </c>
      <c r="J362" t="s">
        <v>14</v>
      </c>
    </row>
    <row r="363" spans="1:10" x14ac:dyDescent="0.3">
      <c r="A363" t="s">
        <v>592</v>
      </c>
      <c r="B363" t="s">
        <v>593</v>
      </c>
      <c r="C363" t="s">
        <v>49</v>
      </c>
      <c r="D363" t="s">
        <v>13</v>
      </c>
      <c r="E363" t="s">
        <v>58</v>
      </c>
      <c r="F363">
        <v>355</v>
      </c>
      <c r="G363">
        <v>0</v>
      </c>
      <c r="H363">
        <v>355</v>
      </c>
      <c r="J363" t="s">
        <v>14</v>
      </c>
    </row>
    <row r="364" spans="1:10" x14ac:dyDescent="0.3">
      <c r="A364" t="s">
        <v>594</v>
      </c>
      <c r="B364" t="s">
        <v>71</v>
      </c>
      <c r="C364" t="s">
        <v>35</v>
      </c>
      <c r="D364" t="s">
        <v>21</v>
      </c>
      <c r="E364" t="s">
        <v>58</v>
      </c>
      <c r="F364">
        <v>212</v>
      </c>
      <c r="G364">
        <v>0</v>
      </c>
      <c r="H364">
        <v>212</v>
      </c>
      <c r="I364">
        <v>2217</v>
      </c>
      <c r="J364" t="s">
        <v>58</v>
      </c>
    </row>
    <row r="365" spans="1:10" x14ac:dyDescent="0.3">
      <c r="A365" t="s">
        <v>595</v>
      </c>
      <c r="B365" t="s">
        <v>596</v>
      </c>
      <c r="C365" t="s">
        <v>49</v>
      </c>
      <c r="D365" t="s">
        <v>32</v>
      </c>
      <c r="E365" s="1">
        <v>46060</v>
      </c>
      <c r="F365">
        <v>454</v>
      </c>
      <c r="G365">
        <v>431</v>
      </c>
      <c r="H365">
        <v>23</v>
      </c>
      <c r="I365" t="s">
        <v>597</v>
      </c>
      <c r="J365" t="s">
        <v>17</v>
      </c>
    </row>
    <row r="366" spans="1:10" x14ac:dyDescent="0.3">
      <c r="A366" t="s">
        <v>598</v>
      </c>
      <c r="B366" t="s">
        <v>131</v>
      </c>
      <c r="C366" t="s">
        <v>49</v>
      </c>
      <c r="D366" t="s">
        <v>13</v>
      </c>
      <c r="E366" t="s">
        <v>58</v>
      </c>
      <c r="F366">
        <v>185</v>
      </c>
      <c r="G366">
        <v>0</v>
      </c>
      <c r="H366">
        <v>185</v>
      </c>
      <c r="I366">
        <v>244</v>
      </c>
      <c r="J366" t="s">
        <v>14</v>
      </c>
    </row>
    <row r="367" spans="1:10" x14ac:dyDescent="0.3">
      <c r="A367" t="s">
        <v>599</v>
      </c>
      <c r="B367" t="s">
        <v>600</v>
      </c>
      <c r="C367" t="s">
        <v>49</v>
      </c>
      <c r="D367" t="s">
        <v>21</v>
      </c>
      <c r="E367" s="1">
        <v>46270</v>
      </c>
      <c r="F367">
        <v>213</v>
      </c>
      <c r="G367">
        <v>64</v>
      </c>
      <c r="H367" t="s">
        <v>58</v>
      </c>
      <c r="I367">
        <v>448</v>
      </c>
      <c r="J367" t="s">
        <v>14</v>
      </c>
    </row>
    <row r="368" spans="1:10" x14ac:dyDescent="0.3">
      <c r="A368" t="s">
        <v>601</v>
      </c>
      <c r="B368" t="s">
        <v>60</v>
      </c>
      <c r="C368" t="s">
        <v>28</v>
      </c>
      <c r="D368" t="s">
        <v>13</v>
      </c>
      <c r="F368">
        <v>110</v>
      </c>
      <c r="G368">
        <v>0</v>
      </c>
      <c r="H368">
        <v>110</v>
      </c>
      <c r="I368">
        <v>1907</v>
      </c>
      <c r="J368" t="s">
        <v>58</v>
      </c>
    </row>
    <row r="369" spans="1:10" x14ac:dyDescent="0.3">
      <c r="A369" t="s">
        <v>602</v>
      </c>
      <c r="B369" t="s">
        <v>243</v>
      </c>
      <c r="C369" t="s">
        <v>28</v>
      </c>
      <c r="D369" t="s">
        <v>13</v>
      </c>
      <c r="F369">
        <v>74</v>
      </c>
      <c r="G369">
        <v>0</v>
      </c>
      <c r="H369">
        <v>74</v>
      </c>
      <c r="I369" t="s">
        <v>603</v>
      </c>
      <c r="J369" t="s">
        <v>14</v>
      </c>
    </row>
    <row r="370" spans="1:10" x14ac:dyDescent="0.3">
      <c r="A370" t="s">
        <v>604</v>
      </c>
      <c r="B370" t="s">
        <v>54</v>
      </c>
      <c r="C370" t="s">
        <v>31</v>
      </c>
      <c r="D370" t="s">
        <v>36</v>
      </c>
      <c r="E370" s="1">
        <v>46037</v>
      </c>
      <c r="F370">
        <v>331</v>
      </c>
      <c r="G370">
        <v>114</v>
      </c>
      <c r="H370">
        <v>217</v>
      </c>
      <c r="J370" t="s">
        <v>14</v>
      </c>
    </row>
    <row r="371" spans="1:10" x14ac:dyDescent="0.3">
      <c r="A371" t="s">
        <v>605</v>
      </c>
      <c r="B371" t="s">
        <v>455</v>
      </c>
      <c r="C371" t="s">
        <v>35</v>
      </c>
      <c r="D371" t="s">
        <v>475</v>
      </c>
      <c r="F371">
        <v>351</v>
      </c>
      <c r="G371">
        <v>0</v>
      </c>
      <c r="H371">
        <v>351</v>
      </c>
      <c r="I371">
        <v>1341</v>
      </c>
      <c r="J371" t="s">
        <v>14</v>
      </c>
    </row>
    <row r="372" spans="1:10" x14ac:dyDescent="0.3">
      <c r="A372" t="s">
        <v>606</v>
      </c>
      <c r="B372" t="s">
        <v>607</v>
      </c>
      <c r="C372" t="s">
        <v>31</v>
      </c>
      <c r="D372" t="s">
        <v>21</v>
      </c>
      <c r="E372" s="1">
        <v>46210</v>
      </c>
      <c r="F372">
        <v>183</v>
      </c>
      <c r="G372">
        <v>34</v>
      </c>
      <c r="H372">
        <v>149</v>
      </c>
      <c r="I372" t="s">
        <v>271</v>
      </c>
      <c r="J372" t="s">
        <v>14</v>
      </c>
    </row>
    <row r="373" spans="1:10" x14ac:dyDescent="0.3">
      <c r="A373" t="s">
        <v>608</v>
      </c>
      <c r="B373" t="s">
        <v>108</v>
      </c>
      <c r="C373" t="s">
        <v>28</v>
      </c>
      <c r="D373" t="s">
        <v>13</v>
      </c>
      <c r="E373" s="1">
        <v>46274</v>
      </c>
      <c r="F373">
        <v>239</v>
      </c>
      <c r="G373">
        <v>35</v>
      </c>
      <c r="H373">
        <v>204</v>
      </c>
      <c r="I373">
        <v>679</v>
      </c>
      <c r="J373" t="s">
        <v>14</v>
      </c>
    </row>
    <row r="374" spans="1:10" x14ac:dyDescent="0.3">
      <c r="A374" t="s">
        <v>609</v>
      </c>
      <c r="B374" t="s">
        <v>610</v>
      </c>
      <c r="C374" t="s">
        <v>404</v>
      </c>
      <c r="D374" t="s">
        <v>36</v>
      </c>
      <c r="E374" s="1">
        <v>46166</v>
      </c>
      <c r="F374">
        <v>421</v>
      </c>
      <c r="G374">
        <v>82</v>
      </c>
      <c r="H374">
        <v>339</v>
      </c>
      <c r="J374" t="s">
        <v>14</v>
      </c>
    </row>
    <row r="375" spans="1:10" x14ac:dyDescent="0.3">
      <c r="A375" t="s">
        <v>611</v>
      </c>
      <c r="B375" t="s">
        <v>363</v>
      </c>
      <c r="C375" t="s">
        <v>12</v>
      </c>
      <c r="D375" t="s">
        <v>21</v>
      </c>
      <c r="E375" s="1">
        <v>46173</v>
      </c>
      <c r="F375">
        <v>102</v>
      </c>
      <c r="G375">
        <v>12</v>
      </c>
      <c r="H375">
        <v>90</v>
      </c>
      <c r="I375" t="s">
        <v>612</v>
      </c>
      <c r="J375" t="s">
        <v>14</v>
      </c>
    </row>
    <row r="376" spans="1:10" x14ac:dyDescent="0.3">
      <c r="A376" t="s">
        <v>613</v>
      </c>
      <c r="B376" t="s">
        <v>259</v>
      </c>
      <c r="C376" t="s">
        <v>49</v>
      </c>
      <c r="D376" t="s">
        <v>13</v>
      </c>
      <c r="E376" s="1">
        <v>46267</v>
      </c>
      <c r="F376">
        <v>140</v>
      </c>
      <c r="G376">
        <v>131</v>
      </c>
      <c r="H376">
        <v>9</v>
      </c>
      <c r="I376">
        <v>2436</v>
      </c>
      <c r="J376" t="s">
        <v>17</v>
      </c>
    </row>
    <row r="377" spans="1:10" x14ac:dyDescent="0.3">
      <c r="A377" t="s">
        <v>614</v>
      </c>
      <c r="B377" t="s">
        <v>284</v>
      </c>
      <c r="C377" t="s">
        <v>49</v>
      </c>
      <c r="D377" t="s">
        <v>13</v>
      </c>
      <c r="F377">
        <v>470</v>
      </c>
      <c r="G377">
        <v>0</v>
      </c>
      <c r="H377">
        <v>470</v>
      </c>
      <c r="I377">
        <v>2124</v>
      </c>
      <c r="J377" t="s">
        <v>85</v>
      </c>
    </row>
    <row r="378" spans="1:10" x14ac:dyDescent="0.3">
      <c r="A378" t="s">
        <v>615</v>
      </c>
      <c r="B378" t="s">
        <v>19</v>
      </c>
      <c r="C378" t="s">
        <v>20</v>
      </c>
      <c r="D378" t="s">
        <v>32</v>
      </c>
      <c r="E378" s="1">
        <v>46129</v>
      </c>
      <c r="G378">
        <v>154</v>
      </c>
      <c r="H378">
        <v>6</v>
      </c>
      <c r="I378">
        <v>2910</v>
      </c>
      <c r="J378" t="s">
        <v>17</v>
      </c>
    </row>
    <row r="379" spans="1:10" x14ac:dyDescent="0.3">
      <c r="A379" t="s">
        <v>616</v>
      </c>
      <c r="B379" t="s">
        <v>198</v>
      </c>
      <c r="C379" t="s">
        <v>31</v>
      </c>
      <c r="D379" t="s">
        <v>36</v>
      </c>
      <c r="E379" t="s">
        <v>58</v>
      </c>
      <c r="F379">
        <v>192</v>
      </c>
      <c r="G379">
        <v>0</v>
      </c>
      <c r="H379">
        <v>192</v>
      </c>
      <c r="I379">
        <v>507</v>
      </c>
      <c r="J379" t="s">
        <v>14</v>
      </c>
    </row>
    <row r="380" spans="1:10" x14ac:dyDescent="0.3">
      <c r="A380" t="s">
        <v>617</v>
      </c>
      <c r="B380" t="s">
        <v>189</v>
      </c>
      <c r="C380" t="s">
        <v>49</v>
      </c>
      <c r="D380" t="s">
        <v>13</v>
      </c>
      <c r="E380" t="s">
        <v>58</v>
      </c>
      <c r="F380">
        <v>146</v>
      </c>
      <c r="G380">
        <v>0</v>
      </c>
      <c r="H380">
        <v>146</v>
      </c>
      <c r="I380">
        <v>1243</v>
      </c>
      <c r="J380" t="s">
        <v>58</v>
      </c>
    </row>
    <row r="381" spans="1:10" x14ac:dyDescent="0.3">
      <c r="A381" t="s">
        <v>618</v>
      </c>
      <c r="B381" t="s">
        <v>296</v>
      </c>
      <c r="C381" t="s">
        <v>31</v>
      </c>
      <c r="D381" t="s">
        <v>36</v>
      </c>
      <c r="E381" s="1">
        <v>46000</v>
      </c>
      <c r="F381">
        <v>338</v>
      </c>
      <c r="G381">
        <v>61</v>
      </c>
      <c r="H381">
        <v>277</v>
      </c>
      <c r="I381">
        <v>1262</v>
      </c>
      <c r="J381" t="s">
        <v>14</v>
      </c>
    </row>
    <row r="382" spans="1:10" x14ac:dyDescent="0.3">
      <c r="A382" t="s">
        <v>619</v>
      </c>
      <c r="B382" t="s">
        <v>315</v>
      </c>
      <c r="C382" t="s">
        <v>49</v>
      </c>
      <c r="D382" t="s">
        <v>21</v>
      </c>
      <c r="F382">
        <v>255</v>
      </c>
      <c r="G382">
        <v>0</v>
      </c>
      <c r="H382">
        <v>255</v>
      </c>
      <c r="I382">
        <v>2610</v>
      </c>
      <c r="J382" t="s">
        <v>14</v>
      </c>
    </row>
    <row r="383" spans="1:10" x14ac:dyDescent="0.3">
      <c r="A383" t="s">
        <v>620</v>
      </c>
      <c r="B383" t="s">
        <v>60</v>
      </c>
      <c r="C383" t="s">
        <v>28</v>
      </c>
      <c r="D383" t="s">
        <v>36</v>
      </c>
      <c r="F383">
        <v>455</v>
      </c>
      <c r="G383">
        <v>0</v>
      </c>
      <c r="H383">
        <v>455</v>
      </c>
      <c r="I383" t="s">
        <v>621</v>
      </c>
      <c r="J383" t="s">
        <v>14</v>
      </c>
    </row>
    <row r="384" spans="1:10" x14ac:dyDescent="0.3">
      <c r="A384" t="s">
        <v>622</v>
      </c>
      <c r="B384" t="s">
        <v>136</v>
      </c>
      <c r="C384" t="s">
        <v>35</v>
      </c>
      <c r="D384" t="s">
        <v>36</v>
      </c>
      <c r="E384" t="s">
        <v>58</v>
      </c>
      <c r="F384">
        <v>365</v>
      </c>
      <c r="G384">
        <v>0</v>
      </c>
      <c r="H384">
        <v>365</v>
      </c>
      <c r="I384">
        <v>959</v>
      </c>
      <c r="J384" t="s">
        <v>85</v>
      </c>
    </row>
    <row r="385" spans="1:10" x14ac:dyDescent="0.3">
      <c r="A385" t="s">
        <v>623</v>
      </c>
      <c r="B385" t="s">
        <v>455</v>
      </c>
      <c r="C385" t="s">
        <v>35</v>
      </c>
      <c r="D385" t="s">
        <v>32</v>
      </c>
      <c r="E385" s="1">
        <v>46205</v>
      </c>
      <c r="F385">
        <v>283</v>
      </c>
      <c r="G385">
        <v>65</v>
      </c>
      <c r="H385">
        <v>218</v>
      </c>
      <c r="I385">
        <v>2012</v>
      </c>
      <c r="J385" t="s">
        <v>14</v>
      </c>
    </row>
    <row r="386" spans="1:10" x14ac:dyDescent="0.3">
      <c r="A386" t="s">
        <v>624</v>
      </c>
      <c r="B386" t="s">
        <v>234</v>
      </c>
      <c r="C386" t="s">
        <v>279</v>
      </c>
      <c r="D386" t="s">
        <v>13</v>
      </c>
      <c r="E386" s="1">
        <v>46253</v>
      </c>
      <c r="F386">
        <v>381</v>
      </c>
      <c r="G386">
        <v>352</v>
      </c>
      <c r="H386">
        <v>29</v>
      </c>
      <c r="I386">
        <v>178</v>
      </c>
      <c r="J386" t="s">
        <v>43</v>
      </c>
    </row>
    <row r="387" spans="1:10" x14ac:dyDescent="0.3">
      <c r="A387" t="s">
        <v>625</v>
      </c>
      <c r="B387" t="s">
        <v>124</v>
      </c>
      <c r="C387" t="s">
        <v>20</v>
      </c>
      <c r="D387" t="s">
        <v>36</v>
      </c>
      <c r="F387">
        <v>417</v>
      </c>
      <c r="G387">
        <v>0</v>
      </c>
      <c r="H387">
        <v>417</v>
      </c>
      <c r="I387">
        <v>2431</v>
      </c>
      <c r="J387" t="s">
        <v>14</v>
      </c>
    </row>
    <row r="388" spans="1:10" x14ac:dyDescent="0.3">
      <c r="A388" t="s">
        <v>626</v>
      </c>
      <c r="B388" t="s">
        <v>84</v>
      </c>
      <c r="C388" t="s">
        <v>20</v>
      </c>
      <c r="D388" t="s">
        <v>32</v>
      </c>
      <c r="E388" s="1">
        <v>46085</v>
      </c>
      <c r="F388">
        <v>459</v>
      </c>
      <c r="G388">
        <v>367</v>
      </c>
      <c r="H388">
        <v>92</v>
      </c>
      <c r="I388">
        <v>617</v>
      </c>
      <c r="J388" t="s">
        <v>14</v>
      </c>
    </row>
    <row r="389" spans="1:10" x14ac:dyDescent="0.3">
      <c r="A389" t="s">
        <v>627</v>
      </c>
      <c r="B389" t="s">
        <v>211</v>
      </c>
      <c r="C389" t="s">
        <v>24</v>
      </c>
      <c r="D389" t="s">
        <v>36</v>
      </c>
      <c r="E389" s="1">
        <v>46257</v>
      </c>
      <c r="F389">
        <v>159</v>
      </c>
      <c r="G389">
        <v>130</v>
      </c>
      <c r="H389">
        <v>29</v>
      </c>
      <c r="I389">
        <v>2077</v>
      </c>
      <c r="J389" t="s">
        <v>17</v>
      </c>
    </row>
    <row r="390" spans="1:10" x14ac:dyDescent="0.3">
      <c r="A390" t="s">
        <v>628</v>
      </c>
      <c r="B390" t="s">
        <v>16</v>
      </c>
      <c r="C390" t="s">
        <v>12</v>
      </c>
      <c r="D390" t="s">
        <v>13</v>
      </c>
      <c r="E390" s="1">
        <v>46261</v>
      </c>
      <c r="F390">
        <v>316</v>
      </c>
      <c r="G390">
        <v>68</v>
      </c>
      <c r="H390">
        <v>248</v>
      </c>
      <c r="I390">
        <v>560</v>
      </c>
      <c r="J390" t="s">
        <v>14</v>
      </c>
    </row>
    <row r="391" spans="1:10" x14ac:dyDescent="0.3">
      <c r="A391" t="s">
        <v>629</v>
      </c>
      <c r="B391" t="s">
        <v>243</v>
      </c>
      <c r="C391" t="s">
        <v>28</v>
      </c>
      <c r="D391" t="s">
        <v>21</v>
      </c>
      <c r="E391" s="1">
        <v>46106</v>
      </c>
      <c r="F391">
        <v>85</v>
      </c>
      <c r="G391">
        <v>29</v>
      </c>
      <c r="H391">
        <v>56</v>
      </c>
      <c r="I391">
        <v>1434</v>
      </c>
      <c r="J391" t="s">
        <v>17</v>
      </c>
    </row>
    <row r="392" spans="1:10" x14ac:dyDescent="0.3">
      <c r="A392" t="s">
        <v>630</v>
      </c>
      <c r="B392" t="s">
        <v>27</v>
      </c>
      <c r="C392" t="s">
        <v>28</v>
      </c>
      <c r="D392" t="s">
        <v>36</v>
      </c>
      <c r="E392" s="1">
        <v>46161</v>
      </c>
      <c r="F392">
        <v>401</v>
      </c>
      <c r="G392">
        <v>92</v>
      </c>
      <c r="H392">
        <v>309</v>
      </c>
      <c r="I392">
        <v>624</v>
      </c>
      <c r="J392" t="s">
        <v>85</v>
      </c>
    </row>
    <row r="393" spans="1:10" x14ac:dyDescent="0.3">
      <c r="A393" t="s">
        <v>631</v>
      </c>
      <c r="B393" t="s">
        <v>146</v>
      </c>
      <c r="C393" t="s">
        <v>35</v>
      </c>
      <c r="D393" t="s">
        <v>13</v>
      </c>
      <c r="E393" s="1">
        <v>46104</v>
      </c>
      <c r="F393">
        <v>54</v>
      </c>
      <c r="G393">
        <v>9</v>
      </c>
      <c r="H393">
        <v>45</v>
      </c>
      <c r="I393" t="s">
        <v>632</v>
      </c>
      <c r="J393" t="s">
        <v>17</v>
      </c>
    </row>
    <row r="394" spans="1:10" x14ac:dyDescent="0.3">
      <c r="A394" t="s">
        <v>633</v>
      </c>
      <c r="B394" t="s">
        <v>93</v>
      </c>
      <c r="C394" t="s">
        <v>12</v>
      </c>
      <c r="D394" t="s">
        <v>32</v>
      </c>
      <c r="E394" s="1">
        <v>46080</v>
      </c>
      <c r="F394">
        <v>446</v>
      </c>
      <c r="G394">
        <v>40</v>
      </c>
      <c r="H394">
        <v>406</v>
      </c>
      <c r="I394" t="s">
        <v>634</v>
      </c>
      <c r="J394" t="s">
        <v>14</v>
      </c>
    </row>
    <row r="395" spans="1:10" x14ac:dyDescent="0.3">
      <c r="A395" t="s">
        <v>635</v>
      </c>
      <c r="B395" t="s">
        <v>274</v>
      </c>
      <c r="C395" t="s">
        <v>28</v>
      </c>
      <c r="D395" t="s">
        <v>21</v>
      </c>
      <c r="E395" t="s">
        <v>58</v>
      </c>
      <c r="F395" t="s">
        <v>58</v>
      </c>
      <c r="G395">
        <v>0</v>
      </c>
      <c r="H395">
        <v>183</v>
      </c>
      <c r="I395">
        <v>347</v>
      </c>
      <c r="J395" t="s">
        <v>14</v>
      </c>
    </row>
    <row r="396" spans="1:10" x14ac:dyDescent="0.3">
      <c r="A396" t="s">
        <v>636</v>
      </c>
      <c r="B396" t="s">
        <v>363</v>
      </c>
      <c r="C396" t="s">
        <v>404</v>
      </c>
      <c r="D396" t="s">
        <v>36</v>
      </c>
      <c r="E396" s="1">
        <v>46252</v>
      </c>
      <c r="F396">
        <v>248</v>
      </c>
      <c r="G396">
        <v>79</v>
      </c>
      <c r="H396">
        <v>169</v>
      </c>
      <c r="I396">
        <v>2143</v>
      </c>
      <c r="J396" t="s">
        <v>14</v>
      </c>
    </row>
    <row r="397" spans="1:10" x14ac:dyDescent="0.3">
      <c r="A397" t="s">
        <v>637</v>
      </c>
      <c r="B397" t="s">
        <v>98</v>
      </c>
      <c r="C397" t="s">
        <v>12</v>
      </c>
      <c r="D397" t="s">
        <v>21</v>
      </c>
      <c r="E397" s="1">
        <v>46250</v>
      </c>
      <c r="F397">
        <v>51</v>
      </c>
      <c r="G397">
        <v>44</v>
      </c>
      <c r="H397">
        <v>7</v>
      </c>
      <c r="I397">
        <v>273</v>
      </c>
      <c r="J397" t="s">
        <v>17</v>
      </c>
    </row>
    <row r="398" spans="1:10" x14ac:dyDescent="0.3">
      <c r="A398" t="s">
        <v>638</v>
      </c>
      <c r="B398" t="s">
        <v>639</v>
      </c>
      <c r="C398" t="s">
        <v>58</v>
      </c>
      <c r="D398" t="s">
        <v>13</v>
      </c>
      <c r="F398">
        <v>234</v>
      </c>
      <c r="G398">
        <v>0</v>
      </c>
      <c r="H398">
        <v>234</v>
      </c>
      <c r="I398">
        <v>962</v>
      </c>
      <c r="J398" t="s">
        <v>14</v>
      </c>
    </row>
    <row r="399" spans="1:10" x14ac:dyDescent="0.3">
      <c r="A399" t="s">
        <v>640</v>
      </c>
      <c r="B399" t="s">
        <v>298</v>
      </c>
      <c r="C399" t="s">
        <v>31</v>
      </c>
      <c r="D399" t="s">
        <v>13</v>
      </c>
      <c r="F399">
        <v>379</v>
      </c>
      <c r="G399">
        <v>-5</v>
      </c>
      <c r="H399">
        <v>379</v>
      </c>
      <c r="I399">
        <v>2579</v>
      </c>
      <c r="J399" t="s">
        <v>46</v>
      </c>
    </row>
    <row r="400" spans="1:10" x14ac:dyDescent="0.3">
      <c r="A400" t="s">
        <v>641</v>
      </c>
      <c r="B400" t="s">
        <v>105</v>
      </c>
      <c r="C400" t="s">
        <v>58</v>
      </c>
      <c r="D400" t="s">
        <v>13</v>
      </c>
      <c r="E400" s="1">
        <v>46070</v>
      </c>
      <c r="F400">
        <v>358</v>
      </c>
      <c r="G400">
        <v>118</v>
      </c>
      <c r="H400">
        <v>240</v>
      </c>
      <c r="I400" t="s">
        <v>642</v>
      </c>
      <c r="J400" t="s">
        <v>14</v>
      </c>
    </row>
    <row r="401" spans="1:10" x14ac:dyDescent="0.3">
      <c r="A401" t="s">
        <v>643</v>
      </c>
      <c r="B401" t="s">
        <v>78</v>
      </c>
      <c r="C401" t="s">
        <v>35</v>
      </c>
      <c r="D401" t="s">
        <v>32</v>
      </c>
      <c r="E401" t="s">
        <v>58</v>
      </c>
      <c r="F401">
        <v>219</v>
      </c>
      <c r="G401">
        <v>0</v>
      </c>
      <c r="H401">
        <v>219</v>
      </c>
      <c r="I401" t="s">
        <v>644</v>
      </c>
      <c r="J401" t="s">
        <v>14</v>
      </c>
    </row>
    <row r="402" spans="1:10" x14ac:dyDescent="0.3">
      <c r="A402" t="s">
        <v>645</v>
      </c>
      <c r="B402" t="s">
        <v>11</v>
      </c>
      <c r="C402" t="s">
        <v>12</v>
      </c>
      <c r="D402" t="s">
        <v>646</v>
      </c>
      <c r="E402" s="1">
        <v>46174</v>
      </c>
      <c r="F402">
        <v>383</v>
      </c>
      <c r="G402">
        <v>53</v>
      </c>
      <c r="H402">
        <v>330</v>
      </c>
      <c r="J402" t="s">
        <v>58</v>
      </c>
    </row>
    <row r="403" spans="1:10" x14ac:dyDescent="0.3">
      <c r="A403" t="s">
        <v>647</v>
      </c>
      <c r="B403" t="s">
        <v>48</v>
      </c>
      <c r="C403" t="s">
        <v>58</v>
      </c>
      <c r="D403" t="s">
        <v>120</v>
      </c>
      <c r="E403" s="1">
        <v>46215</v>
      </c>
      <c r="F403">
        <v>496</v>
      </c>
      <c r="G403">
        <v>354</v>
      </c>
      <c r="H403">
        <v>142</v>
      </c>
      <c r="I403">
        <v>1278</v>
      </c>
      <c r="J403" t="s">
        <v>14</v>
      </c>
    </row>
    <row r="404" spans="1:10" x14ac:dyDescent="0.3">
      <c r="A404" t="s">
        <v>411</v>
      </c>
      <c r="B404" t="s">
        <v>84</v>
      </c>
      <c r="C404" t="s">
        <v>28</v>
      </c>
      <c r="D404" t="s">
        <v>21</v>
      </c>
      <c r="F404">
        <v>120</v>
      </c>
      <c r="G404">
        <v>0</v>
      </c>
      <c r="H404">
        <v>120</v>
      </c>
      <c r="I404" t="s">
        <v>412</v>
      </c>
      <c r="J404" t="s">
        <v>85</v>
      </c>
    </row>
    <row r="405" spans="1:10" x14ac:dyDescent="0.3">
      <c r="A405" t="s">
        <v>648</v>
      </c>
      <c r="B405" t="s">
        <v>284</v>
      </c>
      <c r="C405" t="s">
        <v>49</v>
      </c>
      <c r="D405" t="s">
        <v>13</v>
      </c>
      <c r="E405" s="1">
        <v>46032</v>
      </c>
      <c r="F405">
        <v>438</v>
      </c>
      <c r="G405">
        <v>369</v>
      </c>
      <c r="H405">
        <v>69</v>
      </c>
      <c r="I405">
        <v>567</v>
      </c>
      <c r="J405" t="s">
        <v>14</v>
      </c>
    </row>
    <row r="406" spans="1:10" x14ac:dyDescent="0.3">
      <c r="A406" t="s">
        <v>649</v>
      </c>
      <c r="B406" t="s">
        <v>238</v>
      </c>
      <c r="C406" t="s">
        <v>28</v>
      </c>
      <c r="D406" t="s">
        <v>21</v>
      </c>
      <c r="E406" s="1">
        <v>45998</v>
      </c>
      <c r="F406">
        <v>429</v>
      </c>
      <c r="G406">
        <v>361</v>
      </c>
      <c r="H406">
        <v>68</v>
      </c>
      <c r="I406">
        <v>1836</v>
      </c>
      <c r="J406" t="s">
        <v>14</v>
      </c>
    </row>
    <row r="407" spans="1:10" x14ac:dyDescent="0.3">
      <c r="A407" t="s">
        <v>650</v>
      </c>
      <c r="B407" t="s">
        <v>182</v>
      </c>
      <c r="C407" t="s">
        <v>12</v>
      </c>
      <c r="D407" t="s">
        <v>21</v>
      </c>
      <c r="E407" s="1">
        <v>46243</v>
      </c>
      <c r="F407">
        <v>296</v>
      </c>
      <c r="G407">
        <v>18</v>
      </c>
      <c r="H407">
        <v>278</v>
      </c>
      <c r="I407" t="s">
        <v>651</v>
      </c>
      <c r="J407" t="s">
        <v>46</v>
      </c>
    </row>
    <row r="408" spans="1:10" x14ac:dyDescent="0.3">
      <c r="A408" t="s">
        <v>652</v>
      </c>
      <c r="B408" t="s">
        <v>51</v>
      </c>
      <c r="C408" t="s">
        <v>49</v>
      </c>
      <c r="D408" t="s">
        <v>32</v>
      </c>
      <c r="E408" s="1">
        <v>46156</v>
      </c>
      <c r="F408">
        <v>147</v>
      </c>
      <c r="G408">
        <v>103</v>
      </c>
      <c r="H408">
        <v>44</v>
      </c>
      <c r="I408">
        <v>2669</v>
      </c>
      <c r="J408" t="s">
        <v>43</v>
      </c>
    </row>
    <row r="409" spans="1:10" x14ac:dyDescent="0.3">
      <c r="A409" t="s">
        <v>653</v>
      </c>
      <c r="B409" t="s">
        <v>654</v>
      </c>
      <c r="C409" t="s">
        <v>12</v>
      </c>
      <c r="D409" t="s">
        <v>21</v>
      </c>
      <c r="E409" s="1">
        <v>46200</v>
      </c>
      <c r="F409">
        <v>496</v>
      </c>
      <c r="G409">
        <v>486</v>
      </c>
      <c r="H409">
        <v>10</v>
      </c>
      <c r="I409">
        <v>1346</v>
      </c>
      <c r="J409" t="s">
        <v>17</v>
      </c>
    </row>
    <row r="410" spans="1:10" x14ac:dyDescent="0.3">
      <c r="A410" t="s">
        <v>655</v>
      </c>
      <c r="B410" t="s">
        <v>11</v>
      </c>
      <c r="C410" t="s">
        <v>12</v>
      </c>
      <c r="D410" t="s">
        <v>475</v>
      </c>
      <c r="E410" s="1">
        <v>46143</v>
      </c>
      <c r="F410">
        <v>304</v>
      </c>
      <c r="G410">
        <v>100</v>
      </c>
      <c r="H410">
        <v>204</v>
      </c>
      <c r="I410">
        <v>728</v>
      </c>
      <c r="J410" t="s">
        <v>14</v>
      </c>
    </row>
    <row r="411" spans="1:10" x14ac:dyDescent="0.3">
      <c r="A411" t="s">
        <v>656</v>
      </c>
      <c r="B411" t="s">
        <v>98</v>
      </c>
      <c r="C411" t="s">
        <v>404</v>
      </c>
      <c r="D411" t="s">
        <v>32</v>
      </c>
      <c r="E411" s="1">
        <v>46266</v>
      </c>
      <c r="F411">
        <v>385</v>
      </c>
      <c r="G411">
        <v>303</v>
      </c>
      <c r="I411">
        <v>2467</v>
      </c>
      <c r="J411" t="s">
        <v>14</v>
      </c>
    </row>
    <row r="412" spans="1:10" x14ac:dyDescent="0.3">
      <c r="A412" t="s">
        <v>657</v>
      </c>
      <c r="B412" t="s">
        <v>182</v>
      </c>
      <c r="C412" t="s">
        <v>58</v>
      </c>
      <c r="D412" t="s">
        <v>21</v>
      </c>
      <c r="E412" s="1">
        <v>46004</v>
      </c>
      <c r="F412">
        <v>163</v>
      </c>
      <c r="G412">
        <v>123</v>
      </c>
      <c r="H412" t="s">
        <v>58</v>
      </c>
      <c r="I412">
        <v>1722</v>
      </c>
      <c r="J412" t="s">
        <v>17</v>
      </c>
    </row>
    <row r="413" spans="1:10" x14ac:dyDescent="0.3">
      <c r="A413" t="s">
        <v>658</v>
      </c>
      <c r="B413" t="s">
        <v>499</v>
      </c>
      <c r="C413" t="s">
        <v>28</v>
      </c>
      <c r="D413" t="s">
        <v>36</v>
      </c>
      <c r="E413" s="1">
        <v>46145</v>
      </c>
      <c r="F413">
        <v>328</v>
      </c>
      <c r="G413">
        <v>52</v>
      </c>
      <c r="H413">
        <v>276</v>
      </c>
      <c r="I413">
        <v>570</v>
      </c>
      <c r="J413" t="s">
        <v>14</v>
      </c>
    </row>
    <row r="414" spans="1:10" x14ac:dyDescent="0.3">
      <c r="A414" t="s">
        <v>659</v>
      </c>
      <c r="B414" t="s">
        <v>660</v>
      </c>
      <c r="C414" t="s">
        <v>31</v>
      </c>
      <c r="D414" t="s">
        <v>32</v>
      </c>
      <c r="E414" t="s">
        <v>58</v>
      </c>
      <c r="F414">
        <v>188</v>
      </c>
      <c r="G414">
        <v>0</v>
      </c>
      <c r="H414">
        <v>188</v>
      </c>
      <c r="I414">
        <v>1417</v>
      </c>
      <c r="J414" t="s">
        <v>14</v>
      </c>
    </row>
    <row r="415" spans="1:10" x14ac:dyDescent="0.3">
      <c r="A415" t="s">
        <v>661</v>
      </c>
      <c r="B415" t="s">
        <v>62</v>
      </c>
      <c r="C415" t="s">
        <v>49</v>
      </c>
      <c r="D415" t="s">
        <v>32</v>
      </c>
      <c r="E415" s="1">
        <v>46036</v>
      </c>
      <c r="F415">
        <v>211</v>
      </c>
      <c r="G415">
        <v>24</v>
      </c>
      <c r="H415">
        <v>187</v>
      </c>
      <c r="I415">
        <v>2656</v>
      </c>
      <c r="J415" t="s">
        <v>58</v>
      </c>
    </row>
    <row r="416" spans="1:10" x14ac:dyDescent="0.3">
      <c r="A416" t="s">
        <v>662</v>
      </c>
      <c r="B416" t="s">
        <v>387</v>
      </c>
      <c r="C416" t="s">
        <v>58</v>
      </c>
      <c r="D416" t="s">
        <v>32</v>
      </c>
      <c r="E416" s="1">
        <v>46253</v>
      </c>
      <c r="F416">
        <v>347</v>
      </c>
      <c r="G416">
        <v>69</v>
      </c>
      <c r="H416">
        <v>278</v>
      </c>
      <c r="I416" t="s">
        <v>663</v>
      </c>
      <c r="J416" t="s">
        <v>14</v>
      </c>
    </row>
    <row r="417" spans="1:10" x14ac:dyDescent="0.3">
      <c r="A417" t="s">
        <v>664</v>
      </c>
      <c r="B417" t="s">
        <v>62</v>
      </c>
      <c r="C417" t="s">
        <v>49</v>
      </c>
      <c r="D417" t="s">
        <v>118</v>
      </c>
      <c r="E417" s="1">
        <v>46120</v>
      </c>
      <c r="F417">
        <v>90</v>
      </c>
      <c r="G417">
        <v>27</v>
      </c>
      <c r="H417">
        <v>63</v>
      </c>
      <c r="I417">
        <v>2754</v>
      </c>
      <c r="J417" t="s">
        <v>14</v>
      </c>
    </row>
    <row r="418" spans="1:10" x14ac:dyDescent="0.3">
      <c r="A418" t="s">
        <v>665</v>
      </c>
      <c r="B418" t="s">
        <v>562</v>
      </c>
      <c r="C418" t="s">
        <v>35</v>
      </c>
      <c r="D418" t="s">
        <v>32</v>
      </c>
      <c r="E418" s="1">
        <v>46090</v>
      </c>
      <c r="F418">
        <v>450</v>
      </c>
      <c r="G418">
        <v>368</v>
      </c>
      <c r="H418">
        <v>82</v>
      </c>
      <c r="I418">
        <v>2662</v>
      </c>
      <c r="J418" t="s">
        <v>14</v>
      </c>
    </row>
    <row r="419" spans="1:10" x14ac:dyDescent="0.3">
      <c r="A419" t="s">
        <v>666</v>
      </c>
      <c r="B419" t="s">
        <v>67</v>
      </c>
      <c r="C419" t="s">
        <v>58</v>
      </c>
      <c r="D419" t="s">
        <v>36</v>
      </c>
      <c r="E419" s="1">
        <v>46083</v>
      </c>
      <c r="F419">
        <v>283</v>
      </c>
      <c r="G419">
        <v>55</v>
      </c>
      <c r="H419">
        <v>228</v>
      </c>
      <c r="I419">
        <v>2387</v>
      </c>
      <c r="J419" t="s">
        <v>46</v>
      </c>
    </row>
    <row r="420" spans="1:10" x14ac:dyDescent="0.3">
      <c r="A420" t="s">
        <v>667</v>
      </c>
      <c r="B420" t="s">
        <v>54</v>
      </c>
      <c r="C420" t="s">
        <v>31</v>
      </c>
      <c r="D420" t="s">
        <v>32</v>
      </c>
      <c r="E420" s="1">
        <v>46065</v>
      </c>
      <c r="F420">
        <v>430</v>
      </c>
      <c r="G420">
        <v>362</v>
      </c>
      <c r="H420">
        <v>68</v>
      </c>
      <c r="I420">
        <v>503</v>
      </c>
      <c r="J420" t="s">
        <v>85</v>
      </c>
    </row>
    <row r="421" spans="1:10" x14ac:dyDescent="0.3">
      <c r="A421" t="s">
        <v>668</v>
      </c>
      <c r="B421" t="s">
        <v>84</v>
      </c>
      <c r="C421" t="s">
        <v>28</v>
      </c>
      <c r="D421" t="s">
        <v>475</v>
      </c>
      <c r="F421">
        <v>482</v>
      </c>
      <c r="G421">
        <v>0</v>
      </c>
      <c r="H421">
        <v>482</v>
      </c>
      <c r="I421">
        <v>1549</v>
      </c>
      <c r="J421" t="s">
        <v>85</v>
      </c>
    </row>
    <row r="422" spans="1:10" x14ac:dyDescent="0.3">
      <c r="A422" t="s">
        <v>669</v>
      </c>
      <c r="B422" t="s">
        <v>455</v>
      </c>
      <c r="C422" t="s">
        <v>35</v>
      </c>
      <c r="D422" t="s">
        <v>153</v>
      </c>
      <c r="E422" s="1">
        <v>46281</v>
      </c>
      <c r="F422">
        <v>380</v>
      </c>
      <c r="G422">
        <v>335</v>
      </c>
      <c r="H422">
        <v>45</v>
      </c>
      <c r="I422">
        <v>1949</v>
      </c>
      <c r="J422" t="s">
        <v>17</v>
      </c>
    </row>
    <row r="423" spans="1:10" x14ac:dyDescent="0.3">
      <c r="A423" t="s">
        <v>670</v>
      </c>
      <c r="B423" t="s">
        <v>296</v>
      </c>
      <c r="C423" t="s">
        <v>58</v>
      </c>
      <c r="D423" t="s">
        <v>32</v>
      </c>
      <c r="E423" s="1">
        <v>46042</v>
      </c>
      <c r="F423">
        <v>412</v>
      </c>
      <c r="G423">
        <v>42</v>
      </c>
      <c r="H423">
        <v>370</v>
      </c>
      <c r="I423">
        <v>1857</v>
      </c>
      <c r="J423" t="s">
        <v>14</v>
      </c>
    </row>
    <row r="424" spans="1:10" x14ac:dyDescent="0.3">
      <c r="A424" t="s">
        <v>671</v>
      </c>
      <c r="B424" t="s">
        <v>479</v>
      </c>
      <c r="C424" t="s">
        <v>31</v>
      </c>
      <c r="D424" t="s">
        <v>36</v>
      </c>
      <c r="E424" s="1">
        <v>46106</v>
      </c>
      <c r="F424">
        <v>393</v>
      </c>
      <c r="G424">
        <v>38</v>
      </c>
      <c r="H424">
        <v>355</v>
      </c>
      <c r="I424" t="s">
        <v>672</v>
      </c>
      <c r="J424" t="s">
        <v>14</v>
      </c>
    </row>
    <row r="425" spans="1:10" x14ac:dyDescent="0.3">
      <c r="A425" t="s">
        <v>333</v>
      </c>
      <c r="B425" t="s">
        <v>284</v>
      </c>
      <c r="C425" t="s">
        <v>49</v>
      </c>
      <c r="D425" t="s">
        <v>36</v>
      </c>
      <c r="E425" s="1">
        <v>46035</v>
      </c>
      <c r="F425" t="s">
        <v>58</v>
      </c>
      <c r="G425">
        <v>29</v>
      </c>
      <c r="H425">
        <v>379</v>
      </c>
      <c r="I425">
        <v>1234</v>
      </c>
      <c r="J425" t="s">
        <v>14</v>
      </c>
    </row>
    <row r="426" spans="1:10" x14ac:dyDescent="0.3">
      <c r="A426" t="s">
        <v>673</v>
      </c>
      <c r="B426" t="s">
        <v>95</v>
      </c>
      <c r="C426" t="s">
        <v>31</v>
      </c>
      <c r="D426" t="s">
        <v>13</v>
      </c>
      <c r="E426" s="1">
        <v>46240</v>
      </c>
      <c r="F426">
        <v>166</v>
      </c>
      <c r="G426">
        <v>144</v>
      </c>
      <c r="H426">
        <v>22</v>
      </c>
      <c r="I426">
        <v>2038</v>
      </c>
      <c r="J426" t="s">
        <v>17</v>
      </c>
    </row>
    <row r="427" spans="1:10" x14ac:dyDescent="0.3">
      <c r="A427" t="s">
        <v>674</v>
      </c>
      <c r="B427" t="s">
        <v>387</v>
      </c>
      <c r="C427" t="s">
        <v>12</v>
      </c>
      <c r="D427" t="s">
        <v>21</v>
      </c>
      <c r="E427" s="1">
        <v>46243</v>
      </c>
      <c r="F427">
        <v>475</v>
      </c>
      <c r="H427">
        <v>141</v>
      </c>
      <c r="I427">
        <v>2886</v>
      </c>
      <c r="J427" t="s">
        <v>14</v>
      </c>
    </row>
    <row r="428" spans="1:10" x14ac:dyDescent="0.3">
      <c r="A428" t="s">
        <v>675</v>
      </c>
      <c r="B428" t="s">
        <v>112</v>
      </c>
      <c r="C428" t="s">
        <v>35</v>
      </c>
      <c r="D428" t="s">
        <v>153</v>
      </c>
      <c r="E428" t="s">
        <v>58</v>
      </c>
      <c r="F428">
        <v>297</v>
      </c>
      <c r="G428">
        <v>0</v>
      </c>
      <c r="H428">
        <v>297</v>
      </c>
      <c r="I428">
        <v>911</v>
      </c>
      <c r="J428" t="s">
        <v>46</v>
      </c>
    </row>
    <row r="429" spans="1:10" x14ac:dyDescent="0.3">
      <c r="A429" t="s">
        <v>676</v>
      </c>
      <c r="B429" t="s">
        <v>142</v>
      </c>
      <c r="C429" t="s">
        <v>49</v>
      </c>
      <c r="D429" t="s">
        <v>21</v>
      </c>
      <c r="E429" t="s">
        <v>58</v>
      </c>
      <c r="F429">
        <v>463</v>
      </c>
      <c r="G429">
        <v>0</v>
      </c>
      <c r="H429">
        <v>463</v>
      </c>
      <c r="I429">
        <v>960</v>
      </c>
      <c r="J429" t="s">
        <v>14</v>
      </c>
    </row>
    <row r="430" spans="1:10" x14ac:dyDescent="0.3">
      <c r="A430" t="s">
        <v>677</v>
      </c>
      <c r="B430" t="s">
        <v>105</v>
      </c>
      <c r="C430" t="s">
        <v>28</v>
      </c>
      <c r="D430" t="s">
        <v>21</v>
      </c>
      <c r="E430" s="1">
        <v>46216</v>
      </c>
      <c r="F430">
        <v>163</v>
      </c>
      <c r="G430">
        <v>47</v>
      </c>
      <c r="H430">
        <v>116</v>
      </c>
      <c r="I430">
        <v>1596</v>
      </c>
      <c r="J430" t="s">
        <v>14</v>
      </c>
    </row>
    <row r="431" spans="1:10" x14ac:dyDescent="0.3">
      <c r="A431" t="s">
        <v>678</v>
      </c>
      <c r="B431" t="s">
        <v>23</v>
      </c>
      <c r="C431" t="s">
        <v>35</v>
      </c>
      <c r="D431" t="s">
        <v>13</v>
      </c>
      <c r="E431" s="1">
        <v>46068</v>
      </c>
      <c r="F431">
        <v>213</v>
      </c>
      <c r="G431">
        <v>156</v>
      </c>
      <c r="H431">
        <v>57</v>
      </c>
      <c r="I431">
        <v>2970</v>
      </c>
      <c r="J431" t="s">
        <v>17</v>
      </c>
    </row>
    <row r="432" spans="1:10" x14ac:dyDescent="0.3">
      <c r="A432" t="s">
        <v>679</v>
      </c>
      <c r="B432" t="s">
        <v>434</v>
      </c>
      <c r="C432" t="s">
        <v>31</v>
      </c>
      <c r="D432" t="s">
        <v>36</v>
      </c>
      <c r="E432" t="s">
        <v>58</v>
      </c>
      <c r="F432">
        <v>202</v>
      </c>
      <c r="H432">
        <v>202</v>
      </c>
      <c r="I432">
        <v>50</v>
      </c>
      <c r="J432" t="s">
        <v>14</v>
      </c>
    </row>
    <row r="433" spans="1:10" x14ac:dyDescent="0.3">
      <c r="A433" t="s">
        <v>680</v>
      </c>
      <c r="B433" t="s">
        <v>191</v>
      </c>
      <c r="C433" t="s">
        <v>28</v>
      </c>
      <c r="D433" t="s">
        <v>21</v>
      </c>
      <c r="E433" s="1">
        <v>46010</v>
      </c>
      <c r="F433">
        <v>139</v>
      </c>
      <c r="G433">
        <v>23</v>
      </c>
      <c r="H433">
        <v>116</v>
      </c>
      <c r="I433">
        <v>1175</v>
      </c>
      <c r="J433" t="s">
        <v>14</v>
      </c>
    </row>
    <row r="434" spans="1:10" x14ac:dyDescent="0.3">
      <c r="A434" t="s">
        <v>681</v>
      </c>
      <c r="B434" t="s">
        <v>682</v>
      </c>
      <c r="C434" t="s">
        <v>49</v>
      </c>
      <c r="D434" t="s">
        <v>36</v>
      </c>
      <c r="E434" s="1">
        <v>46227</v>
      </c>
      <c r="F434">
        <v>89</v>
      </c>
      <c r="G434">
        <v>82</v>
      </c>
      <c r="H434">
        <v>7</v>
      </c>
      <c r="I434">
        <v>1525</v>
      </c>
      <c r="J434" t="s">
        <v>58</v>
      </c>
    </row>
    <row r="435" spans="1:10" x14ac:dyDescent="0.3">
      <c r="A435" t="s">
        <v>683</v>
      </c>
      <c r="B435" t="s">
        <v>101</v>
      </c>
      <c r="C435" t="s">
        <v>12</v>
      </c>
      <c r="D435" t="s">
        <v>36</v>
      </c>
      <c r="E435" s="1">
        <v>46039</v>
      </c>
      <c r="F435">
        <v>455</v>
      </c>
      <c r="G435">
        <v>364</v>
      </c>
      <c r="H435">
        <v>91</v>
      </c>
      <c r="I435">
        <v>2533</v>
      </c>
      <c r="J435" t="s">
        <v>14</v>
      </c>
    </row>
    <row r="436" spans="1:10" x14ac:dyDescent="0.3">
      <c r="A436" t="s">
        <v>684</v>
      </c>
      <c r="B436" t="s">
        <v>243</v>
      </c>
      <c r="C436" t="s">
        <v>28</v>
      </c>
      <c r="D436" t="s">
        <v>36</v>
      </c>
      <c r="E436" t="s">
        <v>58</v>
      </c>
      <c r="F436">
        <v>408</v>
      </c>
      <c r="G436">
        <v>0</v>
      </c>
      <c r="H436">
        <v>408</v>
      </c>
      <c r="I436">
        <v>776</v>
      </c>
      <c r="J436" t="s">
        <v>46</v>
      </c>
    </row>
    <row r="437" spans="1:10" x14ac:dyDescent="0.3">
      <c r="A437" t="s">
        <v>685</v>
      </c>
      <c r="B437" t="s">
        <v>105</v>
      </c>
      <c r="C437" t="s">
        <v>28</v>
      </c>
      <c r="D437" t="s">
        <v>36</v>
      </c>
      <c r="E437" s="1">
        <v>46190</v>
      </c>
      <c r="F437">
        <v>397</v>
      </c>
      <c r="G437">
        <v>310</v>
      </c>
      <c r="H437">
        <v>87</v>
      </c>
      <c r="J437" t="s">
        <v>14</v>
      </c>
    </row>
    <row r="438" spans="1:10" x14ac:dyDescent="0.3">
      <c r="A438" t="s">
        <v>686</v>
      </c>
      <c r="B438" t="s">
        <v>134</v>
      </c>
      <c r="C438" t="s">
        <v>31</v>
      </c>
      <c r="D438" t="s">
        <v>21</v>
      </c>
      <c r="E438" s="1">
        <v>46034</v>
      </c>
      <c r="F438">
        <v>429</v>
      </c>
      <c r="G438">
        <v>76</v>
      </c>
      <c r="H438">
        <v>353</v>
      </c>
      <c r="I438">
        <v>1900</v>
      </c>
      <c r="J438" t="s">
        <v>14</v>
      </c>
    </row>
    <row r="439" spans="1:10" x14ac:dyDescent="0.3">
      <c r="A439" t="s">
        <v>687</v>
      </c>
      <c r="B439" t="s">
        <v>191</v>
      </c>
      <c r="C439" t="s">
        <v>28</v>
      </c>
      <c r="D439" t="s">
        <v>32</v>
      </c>
      <c r="F439">
        <v>248</v>
      </c>
      <c r="G439">
        <v>0</v>
      </c>
      <c r="H439">
        <v>248</v>
      </c>
      <c r="I439" t="s">
        <v>688</v>
      </c>
      <c r="J439" t="s">
        <v>14</v>
      </c>
    </row>
    <row r="440" spans="1:10" x14ac:dyDescent="0.3">
      <c r="A440" t="s">
        <v>689</v>
      </c>
      <c r="B440" t="s">
        <v>16</v>
      </c>
      <c r="C440" t="s">
        <v>12</v>
      </c>
      <c r="D440" t="s">
        <v>32</v>
      </c>
      <c r="F440">
        <v>373</v>
      </c>
      <c r="G440">
        <v>0</v>
      </c>
      <c r="H440">
        <v>373</v>
      </c>
      <c r="I440">
        <v>1339</v>
      </c>
      <c r="J440" t="s">
        <v>14</v>
      </c>
    </row>
    <row r="441" spans="1:10" x14ac:dyDescent="0.3">
      <c r="A441" t="s">
        <v>303</v>
      </c>
      <c r="B441" t="s">
        <v>304</v>
      </c>
      <c r="C441" t="s">
        <v>31</v>
      </c>
      <c r="D441" t="s">
        <v>13</v>
      </c>
      <c r="F441">
        <v>470</v>
      </c>
      <c r="G441">
        <v>0</v>
      </c>
      <c r="H441">
        <v>470</v>
      </c>
      <c r="I441">
        <v>615</v>
      </c>
      <c r="J441" t="s">
        <v>127</v>
      </c>
    </row>
    <row r="442" spans="1:10" x14ac:dyDescent="0.3">
      <c r="A442" t="s">
        <v>690</v>
      </c>
      <c r="B442" t="s">
        <v>455</v>
      </c>
      <c r="C442" t="s">
        <v>35</v>
      </c>
      <c r="D442" t="s">
        <v>13</v>
      </c>
      <c r="E442" s="1">
        <v>46067</v>
      </c>
      <c r="F442">
        <v>462</v>
      </c>
      <c r="G442">
        <v>324</v>
      </c>
      <c r="H442">
        <v>138</v>
      </c>
      <c r="I442">
        <v>2675</v>
      </c>
      <c r="J442" t="s">
        <v>14</v>
      </c>
    </row>
    <row r="443" spans="1:10" x14ac:dyDescent="0.3">
      <c r="A443" t="s">
        <v>691</v>
      </c>
      <c r="B443" t="s">
        <v>236</v>
      </c>
      <c r="C443" t="s">
        <v>12</v>
      </c>
      <c r="D443" t="s">
        <v>21</v>
      </c>
      <c r="E443" t="s">
        <v>58</v>
      </c>
      <c r="F443">
        <v>171</v>
      </c>
      <c r="G443">
        <v>-5</v>
      </c>
      <c r="H443">
        <v>171</v>
      </c>
      <c r="I443">
        <v>1551</v>
      </c>
      <c r="J443" t="s">
        <v>46</v>
      </c>
    </row>
    <row r="444" spans="1:10" x14ac:dyDescent="0.3">
      <c r="A444" t="s">
        <v>692</v>
      </c>
      <c r="B444" t="s">
        <v>48</v>
      </c>
      <c r="C444" t="s">
        <v>42</v>
      </c>
      <c r="D444" t="s">
        <v>32</v>
      </c>
      <c r="E444" s="1">
        <v>46017</v>
      </c>
      <c r="G444">
        <v>80</v>
      </c>
      <c r="H444">
        <v>26</v>
      </c>
      <c r="I444">
        <v>2216</v>
      </c>
      <c r="J444" t="s">
        <v>17</v>
      </c>
    </row>
    <row r="445" spans="1:10" x14ac:dyDescent="0.3">
      <c r="A445" t="s">
        <v>693</v>
      </c>
      <c r="B445" t="s">
        <v>189</v>
      </c>
      <c r="C445" t="s">
        <v>49</v>
      </c>
      <c r="D445" t="s">
        <v>36</v>
      </c>
      <c r="E445" s="1">
        <v>46148</v>
      </c>
      <c r="F445">
        <v>355</v>
      </c>
      <c r="G445">
        <v>74</v>
      </c>
      <c r="H445">
        <v>281</v>
      </c>
      <c r="I445">
        <v>766</v>
      </c>
      <c r="J445" t="s">
        <v>14</v>
      </c>
    </row>
    <row r="446" spans="1:10" x14ac:dyDescent="0.3">
      <c r="A446" t="s">
        <v>694</v>
      </c>
      <c r="B446" t="s">
        <v>57</v>
      </c>
      <c r="C446" t="s">
        <v>28</v>
      </c>
      <c r="D446" t="s">
        <v>695</v>
      </c>
      <c r="E446" s="1">
        <v>46129</v>
      </c>
      <c r="F446">
        <v>164</v>
      </c>
      <c r="G446">
        <v>140</v>
      </c>
      <c r="H446">
        <v>24</v>
      </c>
      <c r="I446">
        <v>1771</v>
      </c>
      <c r="J446" t="s">
        <v>17</v>
      </c>
    </row>
    <row r="447" spans="1:10" x14ac:dyDescent="0.3">
      <c r="A447" t="s">
        <v>696</v>
      </c>
      <c r="B447" t="s">
        <v>65</v>
      </c>
      <c r="C447" t="s">
        <v>49</v>
      </c>
      <c r="D447" t="s">
        <v>21</v>
      </c>
      <c r="E447" s="1">
        <v>45999</v>
      </c>
      <c r="F447">
        <v>235</v>
      </c>
      <c r="G447">
        <v>44</v>
      </c>
      <c r="H447">
        <v>191</v>
      </c>
      <c r="I447">
        <v>1940</v>
      </c>
      <c r="J447" t="s">
        <v>14</v>
      </c>
    </row>
    <row r="448" spans="1:10" x14ac:dyDescent="0.3">
      <c r="A448" t="s">
        <v>697</v>
      </c>
      <c r="B448" t="s">
        <v>698</v>
      </c>
      <c r="C448" t="s">
        <v>35</v>
      </c>
      <c r="D448" t="s">
        <v>13</v>
      </c>
      <c r="E448" s="1">
        <v>46109</v>
      </c>
      <c r="F448">
        <v>78</v>
      </c>
      <c r="G448">
        <v>9</v>
      </c>
      <c r="H448">
        <v>69</v>
      </c>
      <c r="I448">
        <v>196</v>
      </c>
      <c r="J448" t="s">
        <v>14</v>
      </c>
    </row>
    <row r="449" spans="1:10" x14ac:dyDescent="0.3">
      <c r="A449" t="s">
        <v>699</v>
      </c>
      <c r="B449" t="s">
        <v>700</v>
      </c>
      <c r="C449" t="s">
        <v>35</v>
      </c>
      <c r="D449" t="s">
        <v>36</v>
      </c>
      <c r="E449" s="1">
        <v>46021</v>
      </c>
      <c r="F449">
        <v>56</v>
      </c>
      <c r="G449">
        <v>42</v>
      </c>
      <c r="H449">
        <v>14</v>
      </c>
      <c r="I449">
        <v>304</v>
      </c>
      <c r="J449" t="s">
        <v>17</v>
      </c>
    </row>
    <row r="450" spans="1:10" x14ac:dyDescent="0.3">
      <c r="A450" t="s">
        <v>701</v>
      </c>
      <c r="B450" t="s">
        <v>479</v>
      </c>
      <c r="C450" t="s">
        <v>31</v>
      </c>
      <c r="D450" t="s">
        <v>21</v>
      </c>
      <c r="E450" s="1">
        <v>46141</v>
      </c>
      <c r="F450">
        <v>160</v>
      </c>
      <c r="G450">
        <v>20</v>
      </c>
      <c r="H450">
        <v>140</v>
      </c>
      <c r="I450">
        <v>418</v>
      </c>
      <c r="J450" t="s">
        <v>14</v>
      </c>
    </row>
    <row r="451" spans="1:10" x14ac:dyDescent="0.3">
      <c r="A451" t="s">
        <v>702</v>
      </c>
      <c r="B451" t="s">
        <v>73</v>
      </c>
      <c r="C451" t="s">
        <v>49</v>
      </c>
      <c r="D451" t="s">
        <v>36</v>
      </c>
      <c r="E451" t="s">
        <v>58</v>
      </c>
      <c r="F451">
        <v>466</v>
      </c>
      <c r="G451">
        <v>0</v>
      </c>
      <c r="H451">
        <v>466</v>
      </c>
      <c r="I451" t="s">
        <v>703</v>
      </c>
      <c r="J451" t="s">
        <v>127</v>
      </c>
    </row>
    <row r="452" spans="1:10" x14ac:dyDescent="0.3">
      <c r="A452" t="s">
        <v>704</v>
      </c>
      <c r="B452" t="s">
        <v>57</v>
      </c>
      <c r="C452" t="s">
        <v>279</v>
      </c>
      <c r="D452" t="s">
        <v>32</v>
      </c>
      <c r="E452" s="1">
        <v>46099</v>
      </c>
      <c r="F452">
        <v>387</v>
      </c>
      <c r="G452">
        <v>361</v>
      </c>
      <c r="H452">
        <v>26</v>
      </c>
      <c r="I452" t="s">
        <v>705</v>
      </c>
      <c r="J452" t="s">
        <v>17</v>
      </c>
    </row>
    <row r="453" spans="1:10" x14ac:dyDescent="0.3">
      <c r="A453" t="s">
        <v>706</v>
      </c>
      <c r="B453" t="s">
        <v>236</v>
      </c>
      <c r="C453" t="s">
        <v>12</v>
      </c>
      <c r="D453" t="s">
        <v>36</v>
      </c>
      <c r="E453" s="1">
        <v>46290</v>
      </c>
      <c r="F453">
        <v>236</v>
      </c>
      <c r="G453">
        <v>27</v>
      </c>
      <c r="H453">
        <v>209</v>
      </c>
      <c r="I453">
        <v>964</v>
      </c>
      <c r="J453" t="s">
        <v>14</v>
      </c>
    </row>
    <row r="454" spans="1:10" x14ac:dyDescent="0.3">
      <c r="A454" t="s">
        <v>707</v>
      </c>
      <c r="B454" t="s">
        <v>415</v>
      </c>
      <c r="C454" t="s">
        <v>31</v>
      </c>
      <c r="D454" t="s">
        <v>21</v>
      </c>
      <c r="E454" s="1">
        <v>46263</v>
      </c>
      <c r="F454">
        <v>250</v>
      </c>
      <c r="G454">
        <v>201</v>
      </c>
      <c r="H454">
        <v>49</v>
      </c>
      <c r="I454">
        <v>2982</v>
      </c>
      <c r="J454" t="s">
        <v>17</v>
      </c>
    </row>
    <row r="455" spans="1:10" x14ac:dyDescent="0.3">
      <c r="A455" t="s">
        <v>708</v>
      </c>
      <c r="B455" t="s">
        <v>198</v>
      </c>
      <c r="C455" t="s">
        <v>139</v>
      </c>
      <c r="D455" t="s">
        <v>209</v>
      </c>
      <c r="E455" t="s">
        <v>58</v>
      </c>
      <c r="F455">
        <v>233</v>
      </c>
      <c r="G455">
        <v>0</v>
      </c>
      <c r="I455">
        <v>1677</v>
      </c>
      <c r="J455" t="s">
        <v>14</v>
      </c>
    </row>
    <row r="456" spans="1:10" x14ac:dyDescent="0.3">
      <c r="A456" t="s">
        <v>709</v>
      </c>
      <c r="B456" t="s">
        <v>51</v>
      </c>
      <c r="C456" t="s">
        <v>74</v>
      </c>
      <c r="D456" t="s">
        <v>153</v>
      </c>
      <c r="E456" t="s">
        <v>58</v>
      </c>
      <c r="F456">
        <v>52</v>
      </c>
      <c r="G456">
        <v>0</v>
      </c>
      <c r="H456" t="s">
        <v>58</v>
      </c>
      <c r="I456">
        <v>218</v>
      </c>
      <c r="J456" t="s">
        <v>68</v>
      </c>
    </row>
    <row r="457" spans="1:10" x14ac:dyDescent="0.3">
      <c r="A457" t="s">
        <v>710</v>
      </c>
      <c r="B457" t="s">
        <v>479</v>
      </c>
      <c r="C457" t="s">
        <v>31</v>
      </c>
      <c r="D457" t="s">
        <v>13</v>
      </c>
      <c r="E457" t="s">
        <v>58</v>
      </c>
      <c r="F457">
        <v>64</v>
      </c>
      <c r="G457">
        <v>0</v>
      </c>
      <c r="H457">
        <v>64</v>
      </c>
      <c r="I457" t="s">
        <v>711</v>
      </c>
      <c r="J457" t="s">
        <v>14</v>
      </c>
    </row>
    <row r="458" spans="1:10" x14ac:dyDescent="0.3">
      <c r="A458" t="s">
        <v>712</v>
      </c>
      <c r="B458" t="s">
        <v>284</v>
      </c>
      <c r="C458" t="s">
        <v>49</v>
      </c>
      <c r="D458" t="s">
        <v>13</v>
      </c>
      <c r="E458" s="1">
        <v>46237</v>
      </c>
      <c r="F458">
        <v>154</v>
      </c>
      <c r="G458">
        <v>21</v>
      </c>
      <c r="H458" t="s">
        <v>58</v>
      </c>
      <c r="I458">
        <v>2105</v>
      </c>
      <c r="J458" t="s">
        <v>14</v>
      </c>
    </row>
    <row r="459" spans="1:10" x14ac:dyDescent="0.3">
      <c r="A459" t="s">
        <v>713</v>
      </c>
      <c r="B459" t="s">
        <v>714</v>
      </c>
      <c r="C459" t="s">
        <v>279</v>
      </c>
      <c r="D459" t="s">
        <v>13</v>
      </c>
      <c r="E459" s="1">
        <v>46166</v>
      </c>
      <c r="F459">
        <v>105</v>
      </c>
      <c r="G459">
        <v>7</v>
      </c>
      <c r="H459">
        <v>98</v>
      </c>
      <c r="I459">
        <v>378</v>
      </c>
      <c r="J459" t="s">
        <v>14</v>
      </c>
    </row>
    <row r="460" spans="1:10" x14ac:dyDescent="0.3">
      <c r="A460" t="s">
        <v>715</v>
      </c>
      <c r="B460" t="s">
        <v>124</v>
      </c>
      <c r="C460" t="s">
        <v>28</v>
      </c>
      <c r="D460" t="s">
        <v>13</v>
      </c>
      <c r="E460" s="1">
        <v>46059</v>
      </c>
      <c r="F460">
        <v>163</v>
      </c>
      <c r="G460">
        <v>9</v>
      </c>
      <c r="H460">
        <v>154</v>
      </c>
      <c r="I460">
        <v>426</v>
      </c>
      <c r="J460" t="s">
        <v>14</v>
      </c>
    </row>
    <row r="461" spans="1:10" x14ac:dyDescent="0.3">
      <c r="A461" t="s">
        <v>716</v>
      </c>
      <c r="B461" t="s">
        <v>89</v>
      </c>
      <c r="C461" t="s">
        <v>49</v>
      </c>
      <c r="D461" t="s">
        <v>32</v>
      </c>
      <c r="F461">
        <v>263</v>
      </c>
      <c r="G461">
        <v>0</v>
      </c>
      <c r="H461">
        <v>263</v>
      </c>
      <c r="I461">
        <v>1077</v>
      </c>
      <c r="J461" t="s">
        <v>14</v>
      </c>
    </row>
    <row r="462" spans="1:10" x14ac:dyDescent="0.3">
      <c r="A462" t="s">
        <v>717</v>
      </c>
      <c r="B462" t="s">
        <v>142</v>
      </c>
      <c r="C462" t="s">
        <v>52</v>
      </c>
      <c r="D462" t="s">
        <v>21</v>
      </c>
      <c r="E462" s="1">
        <v>46142</v>
      </c>
      <c r="F462">
        <v>350</v>
      </c>
      <c r="G462">
        <v>302</v>
      </c>
      <c r="H462">
        <v>48</v>
      </c>
      <c r="I462">
        <v>1374</v>
      </c>
      <c r="J462" t="s">
        <v>43</v>
      </c>
    </row>
    <row r="463" spans="1:10" x14ac:dyDescent="0.3">
      <c r="A463" t="s">
        <v>718</v>
      </c>
      <c r="B463" t="s">
        <v>136</v>
      </c>
      <c r="C463" t="s">
        <v>35</v>
      </c>
      <c r="D463" t="s">
        <v>32</v>
      </c>
      <c r="E463" s="1">
        <v>46195</v>
      </c>
      <c r="F463">
        <v>184</v>
      </c>
      <c r="G463">
        <v>22</v>
      </c>
      <c r="H463">
        <v>162</v>
      </c>
      <c r="I463" t="s">
        <v>719</v>
      </c>
      <c r="J463" t="s">
        <v>14</v>
      </c>
    </row>
    <row r="464" spans="1:10" x14ac:dyDescent="0.3">
      <c r="A464" t="s">
        <v>452</v>
      </c>
      <c r="B464" t="s">
        <v>453</v>
      </c>
      <c r="C464" t="s">
        <v>49</v>
      </c>
      <c r="D464" t="s">
        <v>13</v>
      </c>
      <c r="E464" s="1">
        <v>46176</v>
      </c>
      <c r="F464">
        <v>228</v>
      </c>
      <c r="G464">
        <v>32</v>
      </c>
      <c r="H464">
        <v>196</v>
      </c>
      <c r="I464">
        <v>848</v>
      </c>
      <c r="J464" t="s">
        <v>14</v>
      </c>
    </row>
    <row r="465" spans="1:10" x14ac:dyDescent="0.3">
      <c r="A465" t="s">
        <v>720</v>
      </c>
      <c r="B465" t="s">
        <v>78</v>
      </c>
      <c r="C465" t="s">
        <v>35</v>
      </c>
      <c r="D465" t="s">
        <v>63</v>
      </c>
      <c r="E465" s="1">
        <v>46274</v>
      </c>
      <c r="F465">
        <v>474</v>
      </c>
      <c r="G465">
        <v>401</v>
      </c>
      <c r="H465">
        <v>73</v>
      </c>
      <c r="I465" t="s">
        <v>721</v>
      </c>
      <c r="J465" t="s">
        <v>127</v>
      </c>
    </row>
    <row r="466" spans="1:10" x14ac:dyDescent="0.3">
      <c r="A466" t="s">
        <v>722</v>
      </c>
      <c r="B466" t="s">
        <v>112</v>
      </c>
      <c r="C466" t="s">
        <v>35</v>
      </c>
      <c r="D466" t="s">
        <v>13</v>
      </c>
      <c r="E466" s="1">
        <v>46200</v>
      </c>
      <c r="F466">
        <v>411</v>
      </c>
      <c r="G466">
        <v>124</v>
      </c>
      <c r="H466">
        <v>287</v>
      </c>
      <c r="I466">
        <v>2608</v>
      </c>
      <c r="J466" t="s">
        <v>14</v>
      </c>
    </row>
    <row r="467" spans="1:10" x14ac:dyDescent="0.3">
      <c r="A467" t="s">
        <v>723</v>
      </c>
      <c r="B467" t="s">
        <v>112</v>
      </c>
      <c r="C467" t="s">
        <v>35</v>
      </c>
      <c r="D467" t="s">
        <v>32</v>
      </c>
      <c r="E467" s="1">
        <v>46208</v>
      </c>
      <c r="F467">
        <v>221</v>
      </c>
      <c r="G467">
        <v>17</v>
      </c>
      <c r="H467">
        <v>204</v>
      </c>
      <c r="I467">
        <v>2508</v>
      </c>
      <c r="J467" t="s">
        <v>14</v>
      </c>
    </row>
    <row r="468" spans="1:10" x14ac:dyDescent="0.3">
      <c r="A468" t="s">
        <v>724</v>
      </c>
      <c r="B468" t="s">
        <v>725</v>
      </c>
      <c r="C468" t="s">
        <v>35</v>
      </c>
      <c r="D468" t="s">
        <v>21</v>
      </c>
      <c r="E468" s="1">
        <v>46129</v>
      </c>
      <c r="F468">
        <v>465</v>
      </c>
      <c r="G468">
        <v>405</v>
      </c>
      <c r="H468">
        <v>60</v>
      </c>
      <c r="I468">
        <v>1544</v>
      </c>
      <c r="J468" t="s">
        <v>14</v>
      </c>
    </row>
    <row r="469" spans="1:10" x14ac:dyDescent="0.3">
      <c r="A469" t="s">
        <v>726</v>
      </c>
      <c r="B469" t="s">
        <v>95</v>
      </c>
      <c r="C469" t="s">
        <v>31</v>
      </c>
      <c r="D469" t="s">
        <v>32</v>
      </c>
      <c r="E469" s="1">
        <v>45996</v>
      </c>
      <c r="F469">
        <v>293</v>
      </c>
      <c r="G469">
        <v>66</v>
      </c>
      <c r="H469">
        <v>227</v>
      </c>
      <c r="I469">
        <v>922</v>
      </c>
      <c r="J469" t="s">
        <v>14</v>
      </c>
    </row>
    <row r="470" spans="1:10" x14ac:dyDescent="0.3">
      <c r="A470" t="s">
        <v>727</v>
      </c>
      <c r="B470" t="s">
        <v>34</v>
      </c>
      <c r="C470" t="s">
        <v>35</v>
      </c>
      <c r="D470" t="s">
        <v>21</v>
      </c>
      <c r="E470" s="1">
        <v>46257</v>
      </c>
      <c r="F470">
        <v>258</v>
      </c>
      <c r="G470">
        <v>56</v>
      </c>
      <c r="H470">
        <v>202</v>
      </c>
      <c r="I470">
        <v>1391</v>
      </c>
      <c r="J470" t="s">
        <v>14</v>
      </c>
    </row>
    <row r="471" spans="1:10" x14ac:dyDescent="0.3">
      <c r="A471" t="s">
        <v>728</v>
      </c>
      <c r="B471" t="s">
        <v>191</v>
      </c>
      <c r="C471" t="s">
        <v>28</v>
      </c>
      <c r="D471" t="s">
        <v>32</v>
      </c>
      <c r="E471" s="1">
        <v>46116</v>
      </c>
      <c r="F471" t="s">
        <v>58</v>
      </c>
      <c r="G471">
        <v>106</v>
      </c>
      <c r="H471">
        <v>199</v>
      </c>
      <c r="I471">
        <v>1246</v>
      </c>
      <c r="J471" t="s">
        <v>14</v>
      </c>
    </row>
    <row r="472" spans="1:10" x14ac:dyDescent="0.3">
      <c r="A472" t="s">
        <v>729</v>
      </c>
      <c r="B472" t="s">
        <v>146</v>
      </c>
      <c r="C472" t="s">
        <v>35</v>
      </c>
      <c r="D472" t="s">
        <v>32</v>
      </c>
      <c r="E472" s="1">
        <v>46203</v>
      </c>
      <c r="F472">
        <v>344</v>
      </c>
      <c r="G472">
        <v>116</v>
      </c>
      <c r="H472">
        <v>228</v>
      </c>
      <c r="I472">
        <v>1951</v>
      </c>
      <c r="J472" t="s">
        <v>14</v>
      </c>
    </row>
    <row r="473" spans="1:10" x14ac:dyDescent="0.3">
      <c r="A473" t="s">
        <v>730</v>
      </c>
      <c r="B473" t="s">
        <v>158</v>
      </c>
      <c r="C473" t="s">
        <v>31</v>
      </c>
      <c r="D473" t="s">
        <v>32</v>
      </c>
      <c r="E473" s="1">
        <v>46098</v>
      </c>
      <c r="F473">
        <v>482</v>
      </c>
      <c r="G473">
        <v>102</v>
      </c>
      <c r="H473">
        <v>380</v>
      </c>
      <c r="I473">
        <v>2585</v>
      </c>
      <c r="J473" t="s">
        <v>14</v>
      </c>
    </row>
    <row r="474" spans="1:10" x14ac:dyDescent="0.3">
      <c r="A474" t="s">
        <v>731</v>
      </c>
      <c r="B474" t="s">
        <v>238</v>
      </c>
      <c r="C474" t="s">
        <v>28</v>
      </c>
      <c r="D474" t="s">
        <v>21</v>
      </c>
      <c r="E474" t="s">
        <v>58</v>
      </c>
      <c r="F474">
        <v>408</v>
      </c>
      <c r="G474">
        <v>0</v>
      </c>
      <c r="H474">
        <v>408</v>
      </c>
      <c r="I474">
        <v>2854</v>
      </c>
      <c r="J474" t="s">
        <v>127</v>
      </c>
    </row>
    <row r="475" spans="1:10" x14ac:dyDescent="0.3">
      <c r="A475" t="s">
        <v>732</v>
      </c>
      <c r="B475" t="s">
        <v>733</v>
      </c>
      <c r="C475" t="s">
        <v>12</v>
      </c>
      <c r="D475" t="s">
        <v>36</v>
      </c>
      <c r="F475">
        <v>65</v>
      </c>
      <c r="G475">
        <v>0</v>
      </c>
      <c r="H475">
        <v>65</v>
      </c>
      <c r="I475">
        <v>1406</v>
      </c>
      <c r="J475" t="s">
        <v>46</v>
      </c>
    </row>
    <row r="476" spans="1:10" x14ac:dyDescent="0.3">
      <c r="A476" t="s">
        <v>734</v>
      </c>
      <c r="B476" t="s">
        <v>23</v>
      </c>
      <c r="C476" t="s">
        <v>35</v>
      </c>
      <c r="D476" t="s">
        <v>21</v>
      </c>
      <c r="F476">
        <v>389</v>
      </c>
      <c r="G476">
        <v>0</v>
      </c>
      <c r="H476">
        <v>389</v>
      </c>
      <c r="I476">
        <v>2147</v>
      </c>
      <c r="J476" t="s">
        <v>14</v>
      </c>
    </row>
    <row r="477" spans="1:10" x14ac:dyDescent="0.3">
      <c r="A477" t="s">
        <v>735</v>
      </c>
      <c r="B477" t="s">
        <v>78</v>
      </c>
      <c r="C477" t="s">
        <v>35</v>
      </c>
      <c r="D477" t="s">
        <v>36</v>
      </c>
      <c r="E477" s="1">
        <v>46051</v>
      </c>
      <c r="F477">
        <v>179</v>
      </c>
      <c r="G477">
        <v>37</v>
      </c>
      <c r="H477">
        <v>142</v>
      </c>
      <c r="I477">
        <v>1712</v>
      </c>
      <c r="J477" t="s">
        <v>14</v>
      </c>
    </row>
    <row r="478" spans="1:10" x14ac:dyDescent="0.3">
      <c r="A478" t="s">
        <v>736</v>
      </c>
      <c r="B478" t="s">
        <v>60</v>
      </c>
      <c r="C478" t="s">
        <v>28</v>
      </c>
      <c r="D478" t="s">
        <v>21</v>
      </c>
      <c r="E478" s="1">
        <v>46120</v>
      </c>
      <c r="F478">
        <v>164</v>
      </c>
      <c r="G478">
        <v>37</v>
      </c>
      <c r="H478">
        <v>127</v>
      </c>
      <c r="I478">
        <v>1682</v>
      </c>
      <c r="J478" t="s">
        <v>14</v>
      </c>
    </row>
    <row r="479" spans="1:10" x14ac:dyDescent="0.3">
      <c r="A479" t="s">
        <v>737</v>
      </c>
      <c r="B479" t="s">
        <v>738</v>
      </c>
      <c r="C479" t="s">
        <v>49</v>
      </c>
      <c r="D479" t="s">
        <v>13</v>
      </c>
      <c r="E479" s="1">
        <v>46209</v>
      </c>
      <c r="F479">
        <v>319</v>
      </c>
      <c r="G479">
        <v>126</v>
      </c>
      <c r="H479">
        <v>193</v>
      </c>
      <c r="I479">
        <v>1462</v>
      </c>
      <c r="J479" t="s">
        <v>14</v>
      </c>
    </row>
    <row r="480" spans="1:10" x14ac:dyDescent="0.3">
      <c r="A480" t="s">
        <v>739</v>
      </c>
      <c r="B480" t="s">
        <v>184</v>
      </c>
      <c r="C480" t="s">
        <v>31</v>
      </c>
      <c r="D480" t="s">
        <v>21</v>
      </c>
      <c r="F480">
        <v>365</v>
      </c>
      <c r="G480">
        <v>0</v>
      </c>
      <c r="H480">
        <v>365</v>
      </c>
      <c r="I480">
        <v>1885</v>
      </c>
      <c r="J480" t="s">
        <v>14</v>
      </c>
    </row>
    <row r="481" spans="1:10" x14ac:dyDescent="0.3">
      <c r="A481" t="s">
        <v>740</v>
      </c>
      <c r="B481" t="s">
        <v>164</v>
      </c>
      <c r="C481" t="s">
        <v>49</v>
      </c>
      <c r="D481" t="s">
        <v>32</v>
      </c>
      <c r="G481">
        <v>0</v>
      </c>
      <c r="H481">
        <v>478</v>
      </c>
      <c r="I481">
        <v>550</v>
      </c>
      <c r="J481" t="s">
        <v>127</v>
      </c>
    </row>
    <row r="482" spans="1:10" x14ac:dyDescent="0.3">
      <c r="A482" t="s">
        <v>741</v>
      </c>
      <c r="B482" t="s">
        <v>742</v>
      </c>
      <c r="C482" t="s">
        <v>28</v>
      </c>
      <c r="D482" t="s">
        <v>115</v>
      </c>
      <c r="E482" t="s">
        <v>58</v>
      </c>
      <c r="F482">
        <v>392</v>
      </c>
      <c r="G482">
        <v>0</v>
      </c>
      <c r="H482">
        <v>392</v>
      </c>
      <c r="I482">
        <v>921</v>
      </c>
      <c r="J482" t="s">
        <v>14</v>
      </c>
    </row>
    <row r="483" spans="1:10" x14ac:dyDescent="0.3">
      <c r="A483" t="s">
        <v>743</v>
      </c>
      <c r="B483" t="s">
        <v>39</v>
      </c>
      <c r="C483" t="s">
        <v>28</v>
      </c>
      <c r="D483" t="s">
        <v>32</v>
      </c>
      <c r="E483" s="1">
        <v>46221</v>
      </c>
      <c r="F483">
        <v>123</v>
      </c>
      <c r="G483">
        <v>34</v>
      </c>
      <c r="H483" t="s">
        <v>58</v>
      </c>
      <c r="I483">
        <v>1548</v>
      </c>
      <c r="J483" t="s">
        <v>14</v>
      </c>
    </row>
    <row r="484" spans="1:10" x14ac:dyDescent="0.3">
      <c r="A484" t="s">
        <v>744</v>
      </c>
      <c r="B484" t="s">
        <v>62</v>
      </c>
      <c r="C484" t="s">
        <v>49</v>
      </c>
      <c r="D484" t="s">
        <v>21</v>
      </c>
      <c r="E484" t="s">
        <v>58</v>
      </c>
      <c r="F484">
        <v>320</v>
      </c>
      <c r="G484">
        <v>0</v>
      </c>
      <c r="H484">
        <v>320</v>
      </c>
      <c r="I484">
        <v>2613</v>
      </c>
      <c r="J484" t="s">
        <v>14</v>
      </c>
    </row>
    <row r="485" spans="1:10" x14ac:dyDescent="0.3">
      <c r="A485" t="s">
        <v>745</v>
      </c>
      <c r="B485" t="s">
        <v>158</v>
      </c>
      <c r="C485" t="s">
        <v>58</v>
      </c>
      <c r="D485" t="s">
        <v>25</v>
      </c>
      <c r="E485" s="1">
        <v>46207</v>
      </c>
      <c r="F485">
        <v>329</v>
      </c>
      <c r="G485">
        <v>318</v>
      </c>
      <c r="H485">
        <v>11</v>
      </c>
      <c r="I485">
        <v>411</v>
      </c>
      <c r="J485" t="s">
        <v>17</v>
      </c>
    </row>
    <row r="486" spans="1:10" x14ac:dyDescent="0.3">
      <c r="A486" t="s">
        <v>746</v>
      </c>
      <c r="B486" t="s">
        <v>562</v>
      </c>
      <c r="C486" t="s">
        <v>35</v>
      </c>
      <c r="D486" t="s">
        <v>32</v>
      </c>
      <c r="E486" s="1">
        <v>46111</v>
      </c>
      <c r="F486">
        <v>91</v>
      </c>
      <c r="G486">
        <v>20</v>
      </c>
      <c r="H486">
        <v>71</v>
      </c>
      <c r="I486">
        <v>2620</v>
      </c>
      <c r="J486" t="s">
        <v>14</v>
      </c>
    </row>
    <row r="487" spans="1:10" x14ac:dyDescent="0.3">
      <c r="A487" t="s">
        <v>747</v>
      </c>
      <c r="B487" t="s">
        <v>71</v>
      </c>
      <c r="C487" t="s">
        <v>35</v>
      </c>
      <c r="D487" t="s">
        <v>120</v>
      </c>
      <c r="E487" s="1">
        <v>45998</v>
      </c>
      <c r="F487">
        <v>338</v>
      </c>
      <c r="G487">
        <v>273</v>
      </c>
      <c r="H487">
        <v>65</v>
      </c>
      <c r="I487">
        <v>446</v>
      </c>
      <c r="J487" t="s">
        <v>14</v>
      </c>
    </row>
    <row r="488" spans="1:10" x14ac:dyDescent="0.3">
      <c r="A488" t="s">
        <v>748</v>
      </c>
      <c r="B488" t="s">
        <v>146</v>
      </c>
      <c r="C488" t="s">
        <v>58</v>
      </c>
      <c r="D488" t="s">
        <v>32</v>
      </c>
      <c r="E488" s="1">
        <v>46257</v>
      </c>
      <c r="F488">
        <v>99</v>
      </c>
      <c r="G488">
        <v>8</v>
      </c>
      <c r="H488">
        <v>91</v>
      </c>
      <c r="I488">
        <v>823</v>
      </c>
      <c r="J488" t="s">
        <v>14</v>
      </c>
    </row>
    <row r="489" spans="1:10" x14ac:dyDescent="0.3">
      <c r="A489" t="s">
        <v>749</v>
      </c>
      <c r="B489" t="s">
        <v>240</v>
      </c>
      <c r="C489" t="s">
        <v>49</v>
      </c>
      <c r="D489" t="s">
        <v>21</v>
      </c>
      <c r="F489">
        <v>165</v>
      </c>
      <c r="G489">
        <v>0</v>
      </c>
      <c r="H489">
        <v>165</v>
      </c>
      <c r="I489">
        <v>1998</v>
      </c>
      <c r="J489" t="s">
        <v>14</v>
      </c>
    </row>
    <row r="490" spans="1:10" x14ac:dyDescent="0.3">
      <c r="A490" t="s">
        <v>750</v>
      </c>
      <c r="B490" t="s">
        <v>142</v>
      </c>
      <c r="C490" t="s">
        <v>49</v>
      </c>
      <c r="D490" t="s">
        <v>32</v>
      </c>
      <c r="E490" s="1">
        <v>46110</v>
      </c>
      <c r="F490">
        <v>143</v>
      </c>
      <c r="G490">
        <v>46</v>
      </c>
      <c r="H490">
        <v>97</v>
      </c>
      <c r="I490">
        <v>165</v>
      </c>
      <c r="J490" t="s">
        <v>14</v>
      </c>
    </row>
    <row r="491" spans="1:10" x14ac:dyDescent="0.3">
      <c r="A491" t="s">
        <v>751</v>
      </c>
      <c r="B491" t="s">
        <v>499</v>
      </c>
      <c r="C491" t="s">
        <v>28</v>
      </c>
      <c r="D491" t="s">
        <v>695</v>
      </c>
      <c r="E491" t="s">
        <v>58</v>
      </c>
      <c r="F491">
        <v>283</v>
      </c>
      <c r="G491">
        <v>-5</v>
      </c>
      <c r="H491">
        <v>283</v>
      </c>
      <c r="I491" t="s">
        <v>752</v>
      </c>
      <c r="J491" t="s">
        <v>85</v>
      </c>
    </row>
    <row r="492" spans="1:10" x14ac:dyDescent="0.3">
      <c r="A492" t="s">
        <v>753</v>
      </c>
      <c r="B492" t="s">
        <v>294</v>
      </c>
      <c r="C492" t="s">
        <v>35</v>
      </c>
      <c r="D492" t="s">
        <v>32</v>
      </c>
      <c r="E492" s="1">
        <v>46098</v>
      </c>
      <c r="F492">
        <v>435</v>
      </c>
      <c r="G492">
        <v>422</v>
      </c>
      <c r="H492">
        <v>13</v>
      </c>
      <c r="I492">
        <v>771</v>
      </c>
      <c r="J492" t="s">
        <v>17</v>
      </c>
    </row>
    <row r="493" spans="1:10" x14ac:dyDescent="0.3">
      <c r="A493" t="s">
        <v>754</v>
      </c>
      <c r="B493" t="s">
        <v>158</v>
      </c>
      <c r="C493" t="s">
        <v>31</v>
      </c>
      <c r="D493" t="s">
        <v>21</v>
      </c>
      <c r="E493" s="1">
        <v>46201</v>
      </c>
      <c r="F493">
        <v>458</v>
      </c>
      <c r="G493">
        <v>24</v>
      </c>
      <c r="H493">
        <v>434</v>
      </c>
      <c r="I493">
        <v>2168</v>
      </c>
      <c r="J493" t="s">
        <v>14</v>
      </c>
    </row>
    <row r="494" spans="1:10" x14ac:dyDescent="0.3">
      <c r="A494" t="s">
        <v>755</v>
      </c>
      <c r="B494" t="s">
        <v>499</v>
      </c>
      <c r="C494" t="s">
        <v>28</v>
      </c>
      <c r="D494" t="s">
        <v>36</v>
      </c>
      <c r="F494">
        <v>193</v>
      </c>
      <c r="G494">
        <v>0</v>
      </c>
      <c r="H494">
        <v>193</v>
      </c>
      <c r="I494">
        <v>1417</v>
      </c>
      <c r="J494" t="s">
        <v>14</v>
      </c>
    </row>
    <row r="495" spans="1:10" x14ac:dyDescent="0.3">
      <c r="A495" t="s">
        <v>756</v>
      </c>
      <c r="B495" t="s">
        <v>757</v>
      </c>
      <c r="C495" t="s">
        <v>28</v>
      </c>
      <c r="D495" t="s">
        <v>32</v>
      </c>
      <c r="F495">
        <v>210</v>
      </c>
      <c r="G495">
        <v>0</v>
      </c>
      <c r="H495">
        <v>210</v>
      </c>
      <c r="I495" t="s">
        <v>758</v>
      </c>
      <c r="J495" t="s">
        <v>14</v>
      </c>
    </row>
    <row r="496" spans="1:10" x14ac:dyDescent="0.3">
      <c r="A496" t="s">
        <v>759</v>
      </c>
      <c r="B496" t="s">
        <v>760</v>
      </c>
      <c r="C496" t="s">
        <v>12</v>
      </c>
      <c r="D496" t="s">
        <v>32</v>
      </c>
      <c r="E496" s="1">
        <v>46294</v>
      </c>
      <c r="F496">
        <v>132</v>
      </c>
      <c r="G496">
        <v>108</v>
      </c>
      <c r="H496">
        <v>24</v>
      </c>
      <c r="I496">
        <v>2303</v>
      </c>
      <c r="J496" t="s">
        <v>17</v>
      </c>
    </row>
    <row r="497" spans="1:10" x14ac:dyDescent="0.3">
      <c r="A497" t="s">
        <v>761</v>
      </c>
      <c r="B497" t="s">
        <v>324</v>
      </c>
      <c r="C497" t="s">
        <v>31</v>
      </c>
      <c r="D497" t="s">
        <v>36</v>
      </c>
      <c r="F497">
        <v>389</v>
      </c>
      <c r="G497">
        <v>0</v>
      </c>
      <c r="H497">
        <v>389</v>
      </c>
      <c r="J497" t="s">
        <v>46</v>
      </c>
    </row>
    <row r="498" spans="1:10" x14ac:dyDescent="0.3">
      <c r="A498" t="s">
        <v>762</v>
      </c>
      <c r="B498" t="s">
        <v>551</v>
      </c>
      <c r="C498" t="s">
        <v>12</v>
      </c>
      <c r="D498" t="s">
        <v>36</v>
      </c>
      <c r="E498" s="1">
        <v>46240</v>
      </c>
      <c r="F498">
        <v>488</v>
      </c>
      <c r="G498">
        <v>349</v>
      </c>
      <c r="H498">
        <v>139</v>
      </c>
      <c r="I498">
        <v>61</v>
      </c>
      <c r="J498" t="s">
        <v>127</v>
      </c>
    </row>
    <row r="499" spans="1:10" x14ac:dyDescent="0.3">
      <c r="A499" t="s">
        <v>763</v>
      </c>
      <c r="B499" t="s">
        <v>95</v>
      </c>
      <c r="C499" t="s">
        <v>31</v>
      </c>
      <c r="D499" t="s">
        <v>32</v>
      </c>
      <c r="E499" s="1">
        <v>46114</v>
      </c>
      <c r="F499">
        <v>237</v>
      </c>
      <c r="G499">
        <v>201</v>
      </c>
      <c r="H499">
        <v>36</v>
      </c>
      <c r="I499">
        <v>949</v>
      </c>
      <c r="J499" t="s">
        <v>17</v>
      </c>
    </row>
    <row r="500" spans="1:10" x14ac:dyDescent="0.3">
      <c r="A500" t="s">
        <v>764</v>
      </c>
      <c r="B500" t="s">
        <v>41</v>
      </c>
      <c r="C500" t="s">
        <v>49</v>
      </c>
      <c r="D500" t="s">
        <v>36</v>
      </c>
      <c r="E500" s="1">
        <v>46070</v>
      </c>
      <c r="F500">
        <v>170</v>
      </c>
      <c r="G500">
        <v>-33</v>
      </c>
      <c r="H500">
        <v>142</v>
      </c>
      <c r="I500">
        <v>221</v>
      </c>
      <c r="J500" t="s">
        <v>14</v>
      </c>
    </row>
    <row r="501" spans="1:10" x14ac:dyDescent="0.3">
      <c r="A501" t="s">
        <v>689</v>
      </c>
      <c r="B501" t="s">
        <v>16</v>
      </c>
      <c r="C501" t="s">
        <v>12</v>
      </c>
      <c r="D501" t="s">
        <v>32</v>
      </c>
      <c r="F501">
        <v>373</v>
      </c>
      <c r="G501">
        <v>0</v>
      </c>
      <c r="H501">
        <v>373</v>
      </c>
      <c r="I501">
        <v>1339</v>
      </c>
      <c r="J501" t="s">
        <v>14</v>
      </c>
    </row>
    <row r="502" spans="1:10" x14ac:dyDescent="0.3">
      <c r="A502" t="s">
        <v>765</v>
      </c>
      <c r="B502" t="s">
        <v>93</v>
      </c>
      <c r="C502" t="s">
        <v>12</v>
      </c>
      <c r="D502" t="s">
        <v>32</v>
      </c>
      <c r="E502" s="1">
        <v>46059</v>
      </c>
      <c r="F502">
        <v>209</v>
      </c>
      <c r="G502">
        <v>66</v>
      </c>
      <c r="I502" t="s">
        <v>766</v>
      </c>
      <c r="J502" t="s">
        <v>127</v>
      </c>
    </row>
    <row r="503" spans="1:10" x14ac:dyDescent="0.3">
      <c r="A503" t="s">
        <v>767</v>
      </c>
      <c r="B503" t="s">
        <v>48</v>
      </c>
      <c r="C503" t="s">
        <v>49</v>
      </c>
      <c r="D503" t="s">
        <v>115</v>
      </c>
      <c r="E503" s="1">
        <v>46108</v>
      </c>
      <c r="F503">
        <v>140</v>
      </c>
      <c r="G503">
        <v>139</v>
      </c>
      <c r="H503">
        <v>1</v>
      </c>
      <c r="I503">
        <v>916</v>
      </c>
      <c r="J503" t="s">
        <v>17</v>
      </c>
    </row>
    <row r="504" spans="1:10" x14ac:dyDescent="0.3">
      <c r="A504" t="s">
        <v>768</v>
      </c>
      <c r="B504" t="s">
        <v>62</v>
      </c>
      <c r="C504" t="s">
        <v>49</v>
      </c>
      <c r="D504" t="s">
        <v>13</v>
      </c>
      <c r="E504" s="1">
        <v>46064</v>
      </c>
      <c r="F504">
        <v>410</v>
      </c>
      <c r="G504">
        <v>377</v>
      </c>
      <c r="H504">
        <v>33</v>
      </c>
      <c r="I504">
        <v>1805</v>
      </c>
      <c r="J504" t="s">
        <v>43</v>
      </c>
    </row>
    <row r="505" spans="1:10" x14ac:dyDescent="0.3">
      <c r="A505" t="s">
        <v>769</v>
      </c>
      <c r="B505" t="s">
        <v>321</v>
      </c>
      <c r="C505" t="s">
        <v>49</v>
      </c>
      <c r="D505" t="s">
        <v>32</v>
      </c>
      <c r="F505">
        <v>423</v>
      </c>
      <c r="G505">
        <v>0</v>
      </c>
      <c r="H505">
        <v>423</v>
      </c>
      <c r="I505" t="s">
        <v>770</v>
      </c>
      <c r="J505" t="s">
        <v>14</v>
      </c>
    </row>
    <row r="506" spans="1:10" x14ac:dyDescent="0.3">
      <c r="A506" t="s">
        <v>771</v>
      </c>
      <c r="B506" t="s">
        <v>298</v>
      </c>
      <c r="C506" t="s">
        <v>251</v>
      </c>
      <c r="D506" t="s">
        <v>318</v>
      </c>
      <c r="E506" s="1">
        <v>46108</v>
      </c>
      <c r="F506">
        <v>309</v>
      </c>
      <c r="G506">
        <v>286</v>
      </c>
      <c r="H506">
        <v>23</v>
      </c>
      <c r="I506">
        <v>1156</v>
      </c>
      <c r="J506" t="s">
        <v>17</v>
      </c>
    </row>
    <row r="507" spans="1:10" x14ac:dyDescent="0.3">
      <c r="A507" t="s">
        <v>772</v>
      </c>
      <c r="B507" t="s">
        <v>93</v>
      </c>
      <c r="C507" t="s">
        <v>12</v>
      </c>
      <c r="D507" t="s">
        <v>36</v>
      </c>
      <c r="E507" s="1">
        <v>46127</v>
      </c>
      <c r="F507">
        <v>283</v>
      </c>
      <c r="G507">
        <v>101</v>
      </c>
      <c r="H507">
        <v>182</v>
      </c>
      <c r="I507">
        <v>199</v>
      </c>
      <c r="J507" t="s">
        <v>14</v>
      </c>
    </row>
    <row r="508" spans="1:10" x14ac:dyDescent="0.3">
      <c r="A508" t="s">
        <v>773</v>
      </c>
      <c r="B508" t="s">
        <v>67</v>
      </c>
      <c r="C508" t="s">
        <v>31</v>
      </c>
      <c r="D508" t="s">
        <v>118</v>
      </c>
      <c r="E508" s="1">
        <v>46290</v>
      </c>
      <c r="F508">
        <v>431</v>
      </c>
      <c r="G508">
        <v>46</v>
      </c>
      <c r="H508">
        <v>385</v>
      </c>
      <c r="I508">
        <v>121</v>
      </c>
      <c r="J508" t="s">
        <v>14</v>
      </c>
    </row>
    <row r="509" spans="1:10" x14ac:dyDescent="0.3">
      <c r="A509" t="s">
        <v>774</v>
      </c>
      <c r="B509" t="s">
        <v>234</v>
      </c>
      <c r="C509" t="s">
        <v>28</v>
      </c>
      <c r="D509" t="s">
        <v>32</v>
      </c>
      <c r="E509" s="1">
        <v>46265</v>
      </c>
      <c r="F509">
        <v>273</v>
      </c>
      <c r="G509">
        <v>192</v>
      </c>
      <c r="H509">
        <v>81</v>
      </c>
      <c r="I509">
        <v>617</v>
      </c>
      <c r="J509" t="s">
        <v>85</v>
      </c>
    </row>
    <row r="510" spans="1:10" x14ac:dyDescent="0.3">
      <c r="A510" t="s">
        <v>775</v>
      </c>
      <c r="B510" t="s">
        <v>30</v>
      </c>
      <c r="C510" t="s">
        <v>31</v>
      </c>
      <c r="D510" t="s">
        <v>36</v>
      </c>
      <c r="E510" s="1">
        <v>46042</v>
      </c>
      <c r="F510">
        <v>393</v>
      </c>
      <c r="G510">
        <v>290</v>
      </c>
      <c r="H510" t="s">
        <v>58</v>
      </c>
      <c r="I510">
        <v>435</v>
      </c>
      <c r="J510" t="s">
        <v>14</v>
      </c>
    </row>
    <row r="511" spans="1:10" x14ac:dyDescent="0.3">
      <c r="A511" t="s">
        <v>776</v>
      </c>
      <c r="B511" t="s">
        <v>415</v>
      </c>
      <c r="C511" t="s">
        <v>31</v>
      </c>
      <c r="D511" t="s">
        <v>21</v>
      </c>
      <c r="E511" s="1">
        <v>46027</v>
      </c>
      <c r="F511">
        <v>178</v>
      </c>
      <c r="G511">
        <v>69</v>
      </c>
      <c r="H511">
        <v>109</v>
      </c>
      <c r="J511" t="s">
        <v>14</v>
      </c>
    </row>
    <row r="512" spans="1:10" x14ac:dyDescent="0.3">
      <c r="A512" t="s">
        <v>777</v>
      </c>
      <c r="B512" t="s">
        <v>315</v>
      </c>
      <c r="C512" t="s">
        <v>49</v>
      </c>
      <c r="D512" t="s">
        <v>13</v>
      </c>
      <c r="E512" t="s">
        <v>58</v>
      </c>
      <c r="F512">
        <v>212</v>
      </c>
      <c r="G512">
        <v>0</v>
      </c>
      <c r="H512">
        <v>212</v>
      </c>
      <c r="I512">
        <v>1752</v>
      </c>
      <c r="J512" t="s">
        <v>14</v>
      </c>
    </row>
    <row r="513" spans="1:10" x14ac:dyDescent="0.3">
      <c r="A513" t="s">
        <v>778</v>
      </c>
      <c r="B513" t="s">
        <v>71</v>
      </c>
      <c r="C513" t="s">
        <v>35</v>
      </c>
      <c r="D513" t="s">
        <v>21</v>
      </c>
      <c r="E513" s="1">
        <v>46217</v>
      </c>
      <c r="F513">
        <v>290</v>
      </c>
      <c r="G513">
        <v>24</v>
      </c>
      <c r="H513">
        <v>266</v>
      </c>
      <c r="I513">
        <v>1760</v>
      </c>
      <c r="J513" t="s">
        <v>14</v>
      </c>
    </row>
    <row r="514" spans="1:10" x14ac:dyDescent="0.3">
      <c r="A514" t="s">
        <v>779</v>
      </c>
      <c r="B514" t="s">
        <v>422</v>
      </c>
      <c r="C514" t="s">
        <v>780</v>
      </c>
      <c r="D514" t="s">
        <v>36</v>
      </c>
      <c r="E514" t="s">
        <v>58</v>
      </c>
      <c r="F514">
        <v>251</v>
      </c>
      <c r="G514">
        <v>0</v>
      </c>
      <c r="H514">
        <v>251</v>
      </c>
      <c r="I514">
        <v>586</v>
      </c>
      <c r="J514" t="s">
        <v>14</v>
      </c>
    </row>
    <row r="515" spans="1:10" x14ac:dyDescent="0.3">
      <c r="A515" t="s">
        <v>781</v>
      </c>
      <c r="B515" t="s">
        <v>315</v>
      </c>
      <c r="C515" t="s">
        <v>49</v>
      </c>
      <c r="D515" t="s">
        <v>13</v>
      </c>
      <c r="E515" s="1">
        <v>46079</v>
      </c>
      <c r="F515">
        <v>168</v>
      </c>
      <c r="G515">
        <v>141</v>
      </c>
      <c r="H515">
        <v>27</v>
      </c>
      <c r="I515">
        <v>551</v>
      </c>
      <c r="J515" t="s">
        <v>68</v>
      </c>
    </row>
    <row r="516" spans="1:10" x14ac:dyDescent="0.3">
      <c r="A516" t="s">
        <v>782</v>
      </c>
      <c r="B516" t="s">
        <v>65</v>
      </c>
      <c r="C516" t="s">
        <v>49</v>
      </c>
      <c r="D516" t="s">
        <v>32</v>
      </c>
      <c r="E516" s="1">
        <v>46050</v>
      </c>
      <c r="F516">
        <v>261</v>
      </c>
      <c r="G516">
        <v>255</v>
      </c>
      <c r="H516">
        <v>6</v>
      </c>
      <c r="I516">
        <v>675</v>
      </c>
      <c r="J516" t="s">
        <v>17</v>
      </c>
    </row>
    <row r="517" spans="1:10" x14ac:dyDescent="0.3">
      <c r="A517" t="s">
        <v>783</v>
      </c>
      <c r="B517" t="s">
        <v>479</v>
      </c>
      <c r="C517" t="s">
        <v>139</v>
      </c>
      <c r="D517" t="s">
        <v>13</v>
      </c>
      <c r="E517" s="1">
        <v>46285</v>
      </c>
      <c r="F517">
        <v>241</v>
      </c>
      <c r="G517">
        <v>22</v>
      </c>
      <c r="H517">
        <v>219</v>
      </c>
      <c r="I517">
        <v>545</v>
      </c>
      <c r="J517" t="s">
        <v>14</v>
      </c>
    </row>
    <row r="518" spans="1:10" x14ac:dyDescent="0.3">
      <c r="A518" t="s">
        <v>784</v>
      </c>
      <c r="B518" t="s">
        <v>39</v>
      </c>
      <c r="C518" t="s">
        <v>28</v>
      </c>
      <c r="D518" t="s">
        <v>21</v>
      </c>
      <c r="E518" s="1">
        <v>46079</v>
      </c>
      <c r="F518">
        <v>271</v>
      </c>
      <c r="G518">
        <v>189</v>
      </c>
      <c r="H518">
        <v>82</v>
      </c>
      <c r="I518">
        <v>691</v>
      </c>
      <c r="J518" t="s">
        <v>14</v>
      </c>
    </row>
    <row r="519" spans="1:10" x14ac:dyDescent="0.3">
      <c r="A519" t="s">
        <v>785</v>
      </c>
      <c r="B519" t="s">
        <v>296</v>
      </c>
      <c r="C519" t="s">
        <v>31</v>
      </c>
      <c r="D519" t="s">
        <v>21</v>
      </c>
      <c r="E519" s="1">
        <v>46108</v>
      </c>
      <c r="F519">
        <v>221</v>
      </c>
      <c r="G519">
        <v>54</v>
      </c>
      <c r="H519">
        <v>167</v>
      </c>
      <c r="I519">
        <v>702</v>
      </c>
      <c r="J519" t="s">
        <v>14</v>
      </c>
    </row>
    <row r="520" spans="1:10" x14ac:dyDescent="0.3">
      <c r="A520" t="s">
        <v>786</v>
      </c>
      <c r="B520" t="s">
        <v>62</v>
      </c>
      <c r="C520" t="s">
        <v>74</v>
      </c>
      <c r="D520" t="s">
        <v>13</v>
      </c>
      <c r="E520" s="1">
        <v>46141</v>
      </c>
      <c r="F520">
        <v>216</v>
      </c>
      <c r="G520">
        <v>26</v>
      </c>
      <c r="H520">
        <v>190</v>
      </c>
      <c r="I520">
        <v>1588</v>
      </c>
      <c r="J520" t="s">
        <v>14</v>
      </c>
    </row>
    <row r="521" spans="1:10" x14ac:dyDescent="0.3">
      <c r="A521" t="s">
        <v>787</v>
      </c>
      <c r="B521" t="s">
        <v>224</v>
      </c>
      <c r="C521" t="s">
        <v>49</v>
      </c>
      <c r="D521" t="s">
        <v>21</v>
      </c>
      <c r="E521" t="s">
        <v>58</v>
      </c>
      <c r="F521">
        <v>385</v>
      </c>
      <c r="G521">
        <v>0</v>
      </c>
      <c r="H521">
        <v>385</v>
      </c>
      <c r="I521">
        <v>790</v>
      </c>
      <c r="J521" t="s">
        <v>58</v>
      </c>
    </row>
    <row r="522" spans="1:10" x14ac:dyDescent="0.3">
      <c r="A522" t="s">
        <v>788</v>
      </c>
      <c r="B522" t="s">
        <v>164</v>
      </c>
      <c r="C522" t="s">
        <v>58</v>
      </c>
      <c r="D522" t="s">
        <v>118</v>
      </c>
      <c r="E522" s="1">
        <v>46022</v>
      </c>
      <c r="F522">
        <v>481</v>
      </c>
      <c r="G522">
        <v>122</v>
      </c>
      <c r="H522">
        <v>359</v>
      </c>
      <c r="I522">
        <v>2947</v>
      </c>
      <c r="J522" t="s">
        <v>14</v>
      </c>
    </row>
    <row r="523" spans="1:10" x14ac:dyDescent="0.3">
      <c r="A523" t="s">
        <v>789</v>
      </c>
      <c r="B523" t="s">
        <v>284</v>
      </c>
      <c r="C523" t="s">
        <v>49</v>
      </c>
      <c r="D523" t="s">
        <v>36</v>
      </c>
      <c r="E523" s="1">
        <v>46000</v>
      </c>
      <c r="F523" t="s">
        <v>58</v>
      </c>
      <c r="G523">
        <v>17</v>
      </c>
      <c r="H523">
        <v>51</v>
      </c>
      <c r="I523" t="s">
        <v>260</v>
      </c>
      <c r="J523" t="s">
        <v>68</v>
      </c>
    </row>
    <row r="524" spans="1:10" x14ac:dyDescent="0.3">
      <c r="A524" t="s">
        <v>790</v>
      </c>
      <c r="B524" t="s">
        <v>551</v>
      </c>
      <c r="C524" t="s">
        <v>12</v>
      </c>
      <c r="D524" t="s">
        <v>32</v>
      </c>
      <c r="F524">
        <v>235</v>
      </c>
      <c r="G524">
        <v>0</v>
      </c>
      <c r="H524">
        <v>235</v>
      </c>
      <c r="I524">
        <v>334</v>
      </c>
      <c r="J524" t="s">
        <v>85</v>
      </c>
    </row>
    <row r="525" spans="1:10" x14ac:dyDescent="0.3">
      <c r="A525" t="s">
        <v>791</v>
      </c>
      <c r="B525" t="s">
        <v>19</v>
      </c>
      <c r="C525" t="s">
        <v>28</v>
      </c>
      <c r="D525" t="s">
        <v>21</v>
      </c>
      <c r="E525" s="1">
        <v>46205</v>
      </c>
      <c r="F525">
        <v>163</v>
      </c>
      <c r="G525">
        <v>135</v>
      </c>
      <c r="H525">
        <v>28</v>
      </c>
      <c r="J525" t="s">
        <v>17</v>
      </c>
    </row>
    <row r="526" spans="1:10" x14ac:dyDescent="0.3">
      <c r="A526" t="s">
        <v>792</v>
      </c>
      <c r="B526" t="s">
        <v>324</v>
      </c>
      <c r="C526" t="s">
        <v>31</v>
      </c>
      <c r="D526" t="s">
        <v>13</v>
      </c>
      <c r="E526" s="1">
        <v>46173</v>
      </c>
      <c r="F526">
        <v>468</v>
      </c>
      <c r="G526">
        <v>81</v>
      </c>
      <c r="H526">
        <v>387</v>
      </c>
      <c r="I526">
        <v>2706</v>
      </c>
      <c r="J526" t="s">
        <v>14</v>
      </c>
    </row>
    <row r="527" spans="1:10" x14ac:dyDescent="0.3">
      <c r="A527" t="s">
        <v>793</v>
      </c>
      <c r="B527" t="s">
        <v>89</v>
      </c>
      <c r="C527" t="s">
        <v>42</v>
      </c>
      <c r="D527" t="s">
        <v>13</v>
      </c>
      <c r="F527">
        <v>215</v>
      </c>
      <c r="G527">
        <v>0</v>
      </c>
      <c r="H527">
        <v>215</v>
      </c>
      <c r="I527" t="s">
        <v>794</v>
      </c>
      <c r="J527" t="s">
        <v>14</v>
      </c>
    </row>
    <row r="528" spans="1:10" x14ac:dyDescent="0.3">
      <c r="A528" t="s">
        <v>795</v>
      </c>
      <c r="B528" t="s">
        <v>161</v>
      </c>
      <c r="C528" t="s">
        <v>12</v>
      </c>
      <c r="D528" t="s">
        <v>36</v>
      </c>
      <c r="E528" t="s">
        <v>58</v>
      </c>
      <c r="F528">
        <v>494</v>
      </c>
      <c r="G528">
        <v>0</v>
      </c>
      <c r="H528">
        <v>494</v>
      </c>
      <c r="I528">
        <v>2520</v>
      </c>
      <c r="J528" t="s">
        <v>85</v>
      </c>
    </row>
    <row r="529" spans="1:10" x14ac:dyDescent="0.3">
      <c r="A529" t="s">
        <v>796</v>
      </c>
      <c r="B529" t="s">
        <v>117</v>
      </c>
      <c r="C529" t="s">
        <v>28</v>
      </c>
      <c r="D529" t="s">
        <v>21</v>
      </c>
      <c r="E529" s="1">
        <v>46186</v>
      </c>
      <c r="F529">
        <v>358</v>
      </c>
      <c r="G529">
        <v>25</v>
      </c>
      <c r="H529">
        <v>333</v>
      </c>
      <c r="I529">
        <v>1997</v>
      </c>
      <c r="J529" t="s">
        <v>46</v>
      </c>
    </row>
    <row r="530" spans="1:10" x14ac:dyDescent="0.3">
      <c r="A530" t="s">
        <v>797</v>
      </c>
      <c r="B530" t="s">
        <v>184</v>
      </c>
      <c r="C530" t="s">
        <v>31</v>
      </c>
      <c r="D530" t="s">
        <v>21</v>
      </c>
      <c r="F530">
        <v>378</v>
      </c>
      <c r="G530">
        <v>0</v>
      </c>
      <c r="H530">
        <v>378</v>
      </c>
      <c r="I530">
        <v>846</v>
      </c>
      <c r="J530" t="s">
        <v>14</v>
      </c>
    </row>
    <row r="531" spans="1:10" x14ac:dyDescent="0.3">
      <c r="A531" t="s">
        <v>798</v>
      </c>
      <c r="B531" t="s">
        <v>177</v>
      </c>
      <c r="C531" t="s">
        <v>31</v>
      </c>
      <c r="D531" t="s">
        <v>32</v>
      </c>
      <c r="E531" s="1">
        <v>46254</v>
      </c>
      <c r="F531">
        <v>328</v>
      </c>
      <c r="G531">
        <v>130</v>
      </c>
      <c r="H531">
        <v>198</v>
      </c>
      <c r="J531" t="s">
        <v>14</v>
      </c>
    </row>
    <row r="532" spans="1:10" x14ac:dyDescent="0.3">
      <c r="A532" t="s">
        <v>799</v>
      </c>
      <c r="B532" t="s">
        <v>89</v>
      </c>
      <c r="C532" t="s">
        <v>49</v>
      </c>
      <c r="D532" t="s">
        <v>32</v>
      </c>
      <c r="E532" s="1">
        <v>46113</v>
      </c>
      <c r="F532">
        <v>58</v>
      </c>
      <c r="G532">
        <v>52</v>
      </c>
      <c r="H532">
        <v>6</v>
      </c>
      <c r="I532">
        <v>2889</v>
      </c>
      <c r="J532" t="s">
        <v>17</v>
      </c>
    </row>
    <row r="533" spans="1:10" x14ac:dyDescent="0.3">
      <c r="A533" t="s">
        <v>800</v>
      </c>
      <c r="B533" t="s">
        <v>78</v>
      </c>
      <c r="C533" t="s">
        <v>35</v>
      </c>
      <c r="D533" t="s">
        <v>13</v>
      </c>
      <c r="E533" s="1">
        <v>46133</v>
      </c>
      <c r="F533">
        <v>80</v>
      </c>
      <c r="G533">
        <v>18</v>
      </c>
      <c r="H533">
        <v>62</v>
      </c>
      <c r="I533">
        <v>2855</v>
      </c>
      <c r="J533" t="s">
        <v>14</v>
      </c>
    </row>
    <row r="534" spans="1:10" x14ac:dyDescent="0.3">
      <c r="A534" t="s">
        <v>801</v>
      </c>
      <c r="B534" t="s">
        <v>23</v>
      </c>
      <c r="C534" t="s">
        <v>35</v>
      </c>
      <c r="D534" t="s">
        <v>32</v>
      </c>
      <c r="E534" s="1">
        <v>46284</v>
      </c>
      <c r="F534">
        <v>453</v>
      </c>
      <c r="G534">
        <v>159</v>
      </c>
      <c r="H534">
        <v>294</v>
      </c>
      <c r="I534">
        <v>894</v>
      </c>
      <c r="J534" t="s">
        <v>58</v>
      </c>
    </row>
    <row r="535" spans="1:10" x14ac:dyDescent="0.3">
      <c r="A535" t="s">
        <v>802</v>
      </c>
      <c r="B535" t="s">
        <v>224</v>
      </c>
      <c r="C535" t="s">
        <v>49</v>
      </c>
      <c r="D535" t="s">
        <v>13</v>
      </c>
      <c r="E535" s="1">
        <v>46025</v>
      </c>
      <c r="F535">
        <v>331</v>
      </c>
      <c r="G535">
        <v>34</v>
      </c>
      <c r="H535">
        <v>297</v>
      </c>
      <c r="I535" t="s">
        <v>803</v>
      </c>
      <c r="J535" t="s">
        <v>14</v>
      </c>
    </row>
    <row r="536" spans="1:10" x14ac:dyDescent="0.3">
      <c r="A536" t="s">
        <v>804</v>
      </c>
      <c r="B536" t="s">
        <v>234</v>
      </c>
      <c r="C536" t="s">
        <v>28</v>
      </c>
      <c r="D536" t="s">
        <v>32</v>
      </c>
      <c r="E536" s="1">
        <v>46223</v>
      </c>
      <c r="F536">
        <v>136</v>
      </c>
      <c r="G536">
        <v>117</v>
      </c>
      <c r="H536">
        <v>19</v>
      </c>
      <c r="I536">
        <v>284</v>
      </c>
      <c r="J536" t="s">
        <v>17</v>
      </c>
    </row>
    <row r="537" spans="1:10" x14ac:dyDescent="0.3">
      <c r="A537" t="s">
        <v>805</v>
      </c>
      <c r="B537" t="s">
        <v>294</v>
      </c>
      <c r="C537" t="s">
        <v>24</v>
      </c>
      <c r="D537" t="s">
        <v>13</v>
      </c>
      <c r="F537">
        <v>138</v>
      </c>
      <c r="G537">
        <v>0</v>
      </c>
      <c r="H537">
        <v>138</v>
      </c>
      <c r="I537">
        <v>2448</v>
      </c>
      <c r="J537" t="s">
        <v>14</v>
      </c>
    </row>
    <row r="538" spans="1:10" x14ac:dyDescent="0.3">
      <c r="A538" t="s">
        <v>806</v>
      </c>
      <c r="B538" t="s">
        <v>136</v>
      </c>
      <c r="C538" t="s">
        <v>35</v>
      </c>
      <c r="D538" t="s">
        <v>36</v>
      </c>
      <c r="E538" t="s">
        <v>58</v>
      </c>
      <c r="F538">
        <v>449</v>
      </c>
      <c r="G538">
        <v>0</v>
      </c>
      <c r="H538">
        <v>449</v>
      </c>
      <c r="I538">
        <v>2664</v>
      </c>
      <c r="J538" t="s">
        <v>46</v>
      </c>
    </row>
    <row r="539" spans="1:10" x14ac:dyDescent="0.3">
      <c r="A539" t="s">
        <v>807</v>
      </c>
      <c r="B539" t="s">
        <v>367</v>
      </c>
      <c r="C539" t="s">
        <v>35</v>
      </c>
      <c r="D539" t="s">
        <v>25</v>
      </c>
      <c r="E539" s="1">
        <v>46170</v>
      </c>
      <c r="F539">
        <v>175</v>
      </c>
      <c r="G539">
        <v>61</v>
      </c>
      <c r="H539">
        <v>114</v>
      </c>
      <c r="I539">
        <v>1371</v>
      </c>
      <c r="J539" t="s">
        <v>14</v>
      </c>
    </row>
    <row r="540" spans="1:10" x14ac:dyDescent="0.3">
      <c r="A540" t="s">
        <v>808</v>
      </c>
      <c r="B540" t="s">
        <v>189</v>
      </c>
      <c r="C540" t="s">
        <v>49</v>
      </c>
      <c r="D540" t="s">
        <v>63</v>
      </c>
      <c r="E540" t="s">
        <v>58</v>
      </c>
      <c r="F540">
        <v>76</v>
      </c>
      <c r="G540">
        <v>0</v>
      </c>
      <c r="H540">
        <v>76</v>
      </c>
      <c r="J540" t="s">
        <v>14</v>
      </c>
    </row>
    <row r="541" spans="1:10" x14ac:dyDescent="0.3">
      <c r="A541" t="s">
        <v>809</v>
      </c>
      <c r="B541" t="s">
        <v>158</v>
      </c>
      <c r="C541" t="s">
        <v>31</v>
      </c>
      <c r="D541" t="s">
        <v>21</v>
      </c>
      <c r="F541">
        <v>497</v>
      </c>
      <c r="G541">
        <v>0</v>
      </c>
      <c r="H541">
        <v>497</v>
      </c>
      <c r="I541">
        <v>2944</v>
      </c>
      <c r="J541" t="s">
        <v>85</v>
      </c>
    </row>
    <row r="542" spans="1:10" x14ac:dyDescent="0.3">
      <c r="A542" t="s">
        <v>810</v>
      </c>
      <c r="B542" t="s">
        <v>73</v>
      </c>
      <c r="C542" t="s">
        <v>49</v>
      </c>
      <c r="D542" t="s">
        <v>21</v>
      </c>
      <c r="E542" t="s">
        <v>58</v>
      </c>
      <c r="F542">
        <v>253</v>
      </c>
      <c r="G542">
        <v>0</v>
      </c>
      <c r="H542">
        <v>253</v>
      </c>
      <c r="I542">
        <v>335</v>
      </c>
      <c r="J542" t="s">
        <v>14</v>
      </c>
    </row>
    <row r="543" spans="1:10" x14ac:dyDescent="0.3">
      <c r="A543" t="s">
        <v>811</v>
      </c>
      <c r="B543" t="s">
        <v>367</v>
      </c>
      <c r="C543" t="s">
        <v>35</v>
      </c>
      <c r="D543" t="s">
        <v>36</v>
      </c>
      <c r="E543" s="1">
        <v>46197</v>
      </c>
      <c r="F543">
        <v>163</v>
      </c>
      <c r="G543">
        <v>114</v>
      </c>
      <c r="I543">
        <v>2944</v>
      </c>
      <c r="J543" t="s">
        <v>17</v>
      </c>
    </row>
    <row r="544" spans="1:10" x14ac:dyDescent="0.3">
      <c r="A544" t="s">
        <v>812</v>
      </c>
      <c r="B544" t="s">
        <v>415</v>
      </c>
      <c r="C544" t="s">
        <v>31</v>
      </c>
      <c r="D544" t="s">
        <v>36</v>
      </c>
      <c r="F544">
        <v>404</v>
      </c>
      <c r="G544">
        <v>0</v>
      </c>
      <c r="H544">
        <v>404</v>
      </c>
      <c r="I544" t="s">
        <v>813</v>
      </c>
      <c r="J544" t="s">
        <v>14</v>
      </c>
    </row>
    <row r="545" spans="1:10" x14ac:dyDescent="0.3">
      <c r="A545" t="s">
        <v>814</v>
      </c>
      <c r="B545" t="s">
        <v>39</v>
      </c>
      <c r="C545" t="s">
        <v>28</v>
      </c>
      <c r="D545" t="s">
        <v>13</v>
      </c>
      <c r="E545" s="1">
        <v>46257</v>
      </c>
      <c r="F545">
        <v>317</v>
      </c>
      <c r="G545">
        <v>49</v>
      </c>
      <c r="H545">
        <v>268</v>
      </c>
      <c r="I545" t="s">
        <v>815</v>
      </c>
      <c r="J545" t="s">
        <v>14</v>
      </c>
    </row>
    <row r="546" spans="1:10" x14ac:dyDescent="0.3">
      <c r="A546" t="s">
        <v>816</v>
      </c>
      <c r="B546" t="s">
        <v>71</v>
      </c>
      <c r="C546" t="s">
        <v>35</v>
      </c>
      <c r="D546" t="s">
        <v>36</v>
      </c>
      <c r="E546" s="1">
        <v>46117</v>
      </c>
      <c r="F546">
        <v>151</v>
      </c>
      <c r="G546">
        <v>50</v>
      </c>
      <c r="H546">
        <v>101</v>
      </c>
      <c r="I546">
        <v>527</v>
      </c>
      <c r="J546" t="s">
        <v>14</v>
      </c>
    </row>
    <row r="547" spans="1:10" x14ac:dyDescent="0.3">
      <c r="A547" t="s">
        <v>817</v>
      </c>
      <c r="B547" t="s">
        <v>818</v>
      </c>
      <c r="C547" t="s">
        <v>49</v>
      </c>
      <c r="D547" t="s">
        <v>21</v>
      </c>
      <c r="E547" s="1">
        <v>46068</v>
      </c>
      <c r="F547" t="s">
        <v>58</v>
      </c>
      <c r="G547">
        <v>275</v>
      </c>
      <c r="H547">
        <v>65</v>
      </c>
      <c r="I547">
        <v>1889</v>
      </c>
      <c r="J547" t="s">
        <v>46</v>
      </c>
    </row>
    <row r="548" spans="1:10" x14ac:dyDescent="0.3">
      <c r="A548" t="s">
        <v>819</v>
      </c>
      <c r="B548" t="s">
        <v>499</v>
      </c>
      <c r="C548" t="s">
        <v>28</v>
      </c>
      <c r="D548" t="s">
        <v>214</v>
      </c>
      <c r="E548" t="s">
        <v>58</v>
      </c>
      <c r="F548">
        <v>92</v>
      </c>
      <c r="G548">
        <v>0</v>
      </c>
      <c r="H548">
        <v>92</v>
      </c>
      <c r="I548">
        <v>2641</v>
      </c>
      <c r="J548" t="s">
        <v>14</v>
      </c>
    </row>
    <row r="549" spans="1:10" x14ac:dyDescent="0.3">
      <c r="A549" t="s">
        <v>820</v>
      </c>
      <c r="B549" t="s">
        <v>198</v>
      </c>
      <c r="C549" t="s">
        <v>31</v>
      </c>
      <c r="D549" t="s">
        <v>13</v>
      </c>
      <c r="E549" t="s">
        <v>58</v>
      </c>
      <c r="F549">
        <v>392</v>
      </c>
      <c r="G549">
        <v>0</v>
      </c>
      <c r="H549">
        <v>392</v>
      </c>
      <c r="I549">
        <v>2963</v>
      </c>
      <c r="J549" t="s">
        <v>14</v>
      </c>
    </row>
    <row r="550" spans="1:10" x14ac:dyDescent="0.3">
      <c r="A550" t="s">
        <v>821</v>
      </c>
      <c r="B550" t="s">
        <v>434</v>
      </c>
      <c r="C550" t="s">
        <v>31</v>
      </c>
      <c r="D550" t="s">
        <v>300</v>
      </c>
      <c r="E550" s="1">
        <v>46242</v>
      </c>
      <c r="F550">
        <v>130</v>
      </c>
      <c r="H550">
        <v>104</v>
      </c>
      <c r="I550">
        <v>2784</v>
      </c>
      <c r="J550" t="s">
        <v>14</v>
      </c>
    </row>
    <row r="551" spans="1:10" x14ac:dyDescent="0.3">
      <c r="A551" t="s">
        <v>822</v>
      </c>
      <c r="B551" t="s">
        <v>27</v>
      </c>
      <c r="C551" t="s">
        <v>28</v>
      </c>
      <c r="D551" t="s">
        <v>36</v>
      </c>
      <c r="E551" t="s">
        <v>58</v>
      </c>
      <c r="F551">
        <v>353</v>
      </c>
      <c r="G551">
        <v>0</v>
      </c>
      <c r="H551">
        <v>353</v>
      </c>
      <c r="I551">
        <v>165</v>
      </c>
      <c r="J551" t="s">
        <v>14</v>
      </c>
    </row>
    <row r="552" spans="1:10" x14ac:dyDescent="0.3">
      <c r="A552" t="s">
        <v>823</v>
      </c>
      <c r="B552" t="s">
        <v>112</v>
      </c>
      <c r="C552" t="s">
        <v>35</v>
      </c>
      <c r="D552" t="s">
        <v>36</v>
      </c>
      <c r="E552" t="s">
        <v>58</v>
      </c>
      <c r="F552">
        <v>250</v>
      </c>
      <c r="G552">
        <v>0</v>
      </c>
      <c r="H552">
        <v>250</v>
      </c>
      <c r="I552">
        <v>516</v>
      </c>
      <c r="J552" t="s">
        <v>85</v>
      </c>
    </row>
    <row r="553" spans="1:10" x14ac:dyDescent="0.3">
      <c r="A553" t="s">
        <v>824</v>
      </c>
      <c r="B553" t="s">
        <v>825</v>
      </c>
      <c r="C553" t="s">
        <v>139</v>
      </c>
      <c r="D553" t="s">
        <v>13</v>
      </c>
      <c r="E553" s="1">
        <v>46068</v>
      </c>
      <c r="F553">
        <v>371</v>
      </c>
      <c r="G553">
        <v>72</v>
      </c>
      <c r="H553">
        <v>299</v>
      </c>
      <c r="I553">
        <v>1128</v>
      </c>
      <c r="J553" t="s">
        <v>14</v>
      </c>
    </row>
    <row r="554" spans="1:10" x14ac:dyDescent="0.3">
      <c r="A554" t="s">
        <v>826</v>
      </c>
      <c r="B554" t="s">
        <v>41</v>
      </c>
      <c r="C554" t="s">
        <v>49</v>
      </c>
      <c r="D554" t="s">
        <v>32</v>
      </c>
      <c r="E554" s="1">
        <v>46183</v>
      </c>
      <c r="F554">
        <v>115</v>
      </c>
      <c r="G554">
        <v>108</v>
      </c>
      <c r="H554">
        <v>7</v>
      </c>
      <c r="I554" t="s">
        <v>827</v>
      </c>
      <c r="J554" t="s">
        <v>17</v>
      </c>
    </row>
    <row r="555" spans="1:10" x14ac:dyDescent="0.3">
      <c r="A555" t="s">
        <v>828</v>
      </c>
      <c r="B555" t="s">
        <v>308</v>
      </c>
      <c r="C555" t="s">
        <v>12</v>
      </c>
      <c r="D555" t="s">
        <v>36</v>
      </c>
      <c r="E555" t="s">
        <v>58</v>
      </c>
      <c r="F555">
        <v>364</v>
      </c>
      <c r="G555">
        <v>0</v>
      </c>
      <c r="H555">
        <v>364</v>
      </c>
      <c r="I555" t="s">
        <v>829</v>
      </c>
      <c r="J555" t="s">
        <v>14</v>
      </c>
    </row>
    <row r="556" spans="1:10" x14ac:dyDescent="0.3">
      <c r="A556" t="s">
        <v>830</v>
      </c>
      <c r="B556" t="s">
        <v>39</v>
      </c>
      <c r="C556" t="s">
        <v>28</v>
      </c>
      <c r="D556" t="s">
        <v>695</v>
      </c>
      <c r="F556">
        <v>366</v>
      </c>
      <c r="G556">
        <v>0</v>
      </c>
      <c r="H556">
        <v>366</v>
      </c>
      <c r="I556">
        <v>77</v>
      </c>
      <c r="J556" t="s">
        <v>14</v>
      </c>
    </row>
    <row r="557" spans="1:10" x14ac:dyDescent="0.3">
      <c r="A557" t="s">
        <v>831</v>
      </c>
      <c r="B557" t="s">
        <v>294</v>
      </c>
      <c r="C557" t="s">
        <v>35</v>
      </c>
      <c r="D557" t="s">
        <v>21</v>
      </c>
      <c r="E557" t="s">
        <v>58</v>
      </c>
      <c r="F557">
        <v>250</v>
      </c>
      <c r="G557">
        <v>0</v>
      </c>
      <c r="H557">
        <v>250</v>
      </c>
      <c r="I557">
        <v>537</v>
      </c>
      <c r="J557" t="s">
        <v>14</v>
      </c>
    </row>
    <row r="558" spans="1:10" x14ac:dyDescent="0.3">
      <c r="A558" t="s">
        <v>295</v>
      </c>
      <c r="B558" t="s">
        <v>296</v>
      </c>
      <c r="C558" t="s">
        <v>31</v>
      </c>
      <c r="D558" t="s">
        <v>32</v>
      </c>
      <c r="E558" s="1">
        <v>46136</v>
      </c>
      <c r="F558">
        <v>339</v>
      </c>
      <c r="G558">
        <v>320</v>
      </c>
      <c r="H558">
        <v>19</v>
      </c>
      <c r="I558">
        <v>226</v>
      </c>
      <c r="J558" t="s">
        <v>17</v>
      </c>
    </row>
    <row r="559" spans="1:10" x14ac:dyDescent="0.3">
      <c r="A559" t="s">
        <v>832</v>
      </c>
      <c r="B559" t="s">
        <v>136</v>
      </c>
      <c r="C559" t="s">
        <v>35</v>
      </c>
      <c r="D559" t="s">
        <v>13</v>
      </c>
      <c r="E559" s="1">
        <v>46024</v>
      </c>
      <c r="F559">
        <v>160</v>
      </c>
      <c r="G559">
        <v>40</v>
      </c>
      <c r="H559">
        <v>120</v>
      </c>
      <c r="I559">
        <v>2637</v>
      </c>
      <c r="J559" t="s">
        <v>14</v>
      </c>
    </row>
    <row r="560" spans="1:10" x14ac:dyDescent="0.3">
      <c r="A560" t="s">
        <v>378</v>
      </c>
      <c r="B560" t="s">
        <v>19</v>
      </c>
      <c r="C560" t="s">
        <v>28</v>
      </c>
      <c r="D560" t="s">
        <v>36</v>
      </c>
      <c r="E560" s="1">
        <v>46274</v>
      </c>
      <c r="F560">
        <v>67</v>
      </c>
      <c r="G560">
        <v>18</v>
      </c>
      <c r="H560">
        <v>49</v>
      </c>
      <c r="I560">
        <v>1674</v>
      </c>
      <c r="J560" t="s">
        <v>17</v>
      </c>
    </row>
    <row r="561" spans="1:10" x14ac:dyDescent="0.3">
      <c r="A561" t="s">
        <v>833</v>
      </c>
      <c r="B561" t="s">
        <v>422</v>
      </c>
      <c r="C561" t="s">
        <v>58</v>
      </c>
      <c r="D561" t="s">
        <v>21</v>
      </c>
      <c r="E561" s="1">
        <v>46014</v>
      </c>
      <c r="F561">
        <v>175</v>
      </c>
      <c r="G561">
        <v>14</v>
      </c>
      <c r="H561">
        <v>161</v>
      </c>
      <c r="I561">
        <v>890</v>
      </c>
      <c r="J561" t="s">
        <v>85</v>
      </c>
    </row>
    <row r="562" spans="1:10" x14ac:dyDescent="0.3">
      <c r="A562" t="s">
        <v>834</v>
      </c>
      <c r="B562" t="s">
        <v>65</v>
      </c>
      <c r="C562" t="s">
        <v>49</v>
      </c>
      <c r="D562" t="s">
        <v>13</v>
      </c>
      <c r="E562" s="1">
        <v>46157</v>
      </c>
      <c r="F562">
        <v>264</v>
      </c>
      <c r="G562">
        <v>254</v>
      </c>
      <c r="H562">
        <v>10</v>
      </c>
      <c r="I562">
        <v>2638</v>
      </c>
      <c r="J562" t="s">
        <v>17</v>
      </c>
    </row>
    <row r="563" spans="1:10" x14ac:dyDescent="0.3">
      <c r="A563" t="s">
        <v>542</v>
      </c>
      <c r="B563" t="s">
        <v>434</v>
      </c>
      <c r="C563" t="s">
        <v>31</v>
      </c>
      <c r="D563" t="s">
        <v>214</v>
      </c>
      <c r="E563" s="1">
        <v>46215</v>
      </c>
      <c r="F563">
        <v>202</v>
      </c>
      <c r="G563">
        <v>157</v>
      </c>
      <c r="H563">
        <v>45</v>
      </c>
      <c r="I563">
        <v>1274</v>
      </c>
      <c r="J563" t="s">
        <v>68</v>
      </c>
    </row>
    <row r="564" spans="1:10" x14ac:dyDescent="0.3">
      <c r="A564" t="s">
        <v>835</v>
      </c>
      <c r="B564" t="s">
        <v>562</v>
      </c>
      <c r="C564" t="s">
        <v>35</v>
      </c>
      <c r="D564" t="s">
        <v>21</v>
      </c>
      <c r="E564" s="1">
        <v>46241</v>
      </c>
      <c r="F564">
        <v>359</v>
      </c>
      <c r="G564">
        <v>-359</v>
      </c>
      <c r="H564">
        <v>5</v>
      </c>
      <c r="I564">
        <v>1521</v>
      </c>
      <c r="J564" t="s">
        <v>17</v>
      </c>
    </row>
    <row r="565" spans="1:10" x14ac:dyDescent="0.3">
      <c r="A565" t="s">
        <v>836</v>
      </c>
      <c r="B565" t="s">
        <v>236</v>
      </c>
      <c r="C565" t="s">
        <v>12</v>
      </c>
      <c r="D565" t="s">
        <v>32</v>
      </c>
      <c r="E565" t="s">
        <v>58</v>
      </c>
      <c r="F565">
        <v>317</v>
      </c>
      <c r="G565">
        <v>0</v>
      </c>
      <c r="H565">
        <v>317</v>
      </c>
      <c r="I565">
        <v>772</v>
      </c>
      <c r="J565" t="s">
        <v>14</v>
      </c>
    </row>
    <row r="566" spans="1:10" x14ac:dyDescent="0.3">
      <c r="A566" t="s">
        <v>837</v>
      </c>
      <c r="B566" t="s">
        <v>562</v>
      </c>
      <c r="C566" t="s">
        <v>35</v>
      </c>
      <c r="D566" t="s">
        <v>13</v>
      </c>
      <c r="E566" s="1">
        <v>46113</v>
      </c>
      <c r="F566">
        <v>203</v>
      </c>
      <c r="G566">
        <v>67</v>
      </c>
      <c r="H566">
        <v>136</v>
      </c>
      <c r="I566">
        <v>324</v>
      </c>
      <c r="J566" t="s">
        <v>46</v>
      </c>
    </row>
    <row r="567" spans="1:10" x14ac:dyDescent="0.3">
      <c r="A567" t="s">
        <v>838</v>
      </c>
      <c r="B567" t="s">
        <v>101</v>
      </c>
      <c r="C567" t="s">
        <v>404</v>
      </c>
      <c r="D567" t="s">
        <v>13</v>
      </c>
      <c r="E567" s="1">
        <v>46243</v>
      </c>
      <c r="F567">
        <v>292</v>
      </c>
      <c r="G567">
        <v>241</v>
      </c>
      <c r="H567">
        <v>51</v>
      </c>
      <c r="I567">
        <v>1997</v>
      </c>
      <c r="J567" t="s">
        <v>43</v>
      </c>
    </row>
    <row r="568" spans="1:10" x14ac:dyDescent="0.3">
      <c r="A568" t="s">
        <v>839</v>
      </c>
      <c r="B568" t="s">
        <v>236</v>
      </c>
      <c r="C568" t="s">
        <v>404</v>
      </c>
      <c r="D568" t="s">
        <v>21</v>
      </c>
      <c r="E568" s="1">
        <v>46047</v>
      </c>
      <c r="F568">
        <v>442</v>
      </c>
      <c r="G568">
        <v>-318</v>
      </c>
      <c r="H568">
        <v>129</v>
      </c>
      <c r="I568">
        <v>2283</v>
      </c>
      <c r="J568" t="s">
        <v>14</v>
      </c>
    </row>
    <row r="569" spans="1:10" x14ac:dyDescent="0.3">
      <c r="A569" t="s">
        <v>623</v>
      </c>
      <c r="B569" t="s">
        <v>455</v>
      </c>
      <c r="C569" t="s">
        <v>35</v>
      </c>
      <c r="D569" t="s">
        <v>32</v>
      </c>
      <c r="E569" s="1">
        <v>46205</v>
      </c>
      <c r="F569">
        <v>283</v>
      </c>
      <c r="G569">
        <v>65</v>
      </c>
      <c r="H569">
        <v>218</v>
      </c>
      <c r="I569">
        <v>2012</v>
      </c>
      <c r="J569" t="s">
        <v>14</v>
      </c>
    </row>
    <row r="570" spans="1:10" x14ac:dyDescent="0.3">
      <c r="A570" t="s">
        <v>840</v>
      </c>
      <c r="B570" t="s">
        <v>610</v>
      </c>
      <c r="C570" t="s">
        <v>12</v>
      </c>
      <c r="D570" t="s">
        <v>36</v>
      </c>
      <c r="E570" s="1">
        <v>46062</v>
      </c>
      <c r="F570">
        <v>89</v>
      </c>
      <c r="G570">
        <v>24</v>
      </c>
      <c r="H570">
        <v>65</v>
      </c>
      <c r="I570">
        <v>633</v>
      </c>
      <c r="J570" t="s">
        <v>14</v>
      </c>
    </row>
    <row r="571" spans="1:10" x14ac:dyDescent="0.3">
      <c r="A571" t="s">
        <v>841</v>
      </c>
      <c r="B571" t="s">
        <v>479</v>
      </c>
      <c r="C571" t="s">
        <v>31</v>
      </c>
      <c r="D571" t="s">
        <v>36</v>
      </c>
      <c r="E571" s="1">
        <v>46293</v>
      </c>
      <c r="F571">
        <v>55</v>
      </c>
      <c r="G571">
        <v>9</v>
      </c>
      <c r="H571">
        <v>46</v>
      </c>
      <c r="I571">
        <v>1719</v>
      </c>
      <c r="J571" t="s">
        <v>17</v>
      </c>
    </row>
    <row r="572" spans="1:10" x14ac:dyDescent="0.3">
      <c r="A572" t="s">
        <v>842</v>
      </c>
      <c r="B572" t="s">
        <v>112</v>
      </c>
      <c r="C572" t="s">
        <v>35</v>
      </c>
      <c r="D572" t="s">
        <v>843</v>
      </c>
      <c r="E572" s="1">
        <v>46193</v>
      </c>
      <c r="F572">
        <v>193</v>
      </c>
      <c r="G572">
        <v>176</v>
      </c>
      <c r="H572">
        <v>17</v>
      </c>
      <c r="I572">
        <v>2959</v>
      </c>
      <c r="J572" t="s">
        <v>17</v>
      </c>
    </row>
    <row r="573" spans="1:10" x14ac:dyDescent="0.3">
      <c r="A573" t="s">
        <v>844</v>
      </c>
      <c r="B573" t="s">
        <v>845</v>
      </c>
      <c r="C573" t="s">
        <v>52</v>
      </c>
      <c r="D573" t="s">
        <v>36</v>
      </c>
      <c r="E573" s="1">
        <v>46209</v>
      </c>
      <c r="F573">
        <v>478</v>
      </c>
      <c r="G573">
        <v>92</v>
      </c>
      <c r="H573">
        <v>386</v>
      </c>
      <c r="I573">
        <v>1859</v>
      </c>
      <c r="J573" t="s">
        <v>14</v>
      </c>
    </row>
    <row r="574" spans="1:10" x14ac:dyDescent="0.3">
      <c r="A574" t="s">
        <v>846</v>
      </c>
      <c r="B574" t="s">
        <v>847</v>
      </c>
      <c r="C574" t="s">
        <v>28</v>
      </c>
      <c r="D574" t="s">
        <v>646</v>
      </c>
      <c r="E574" s="1">
        <v>46142</v>
      </c>
      <c r="F574">
        <v>392</v>
      </c>
      <c r="G574">
        <v>43</v>
      </c>
      <c r="H574">
        <v>349</v>
      </c>
      <c r="I574">
        <v>2947</v>
      </c>
      <c r="J574" t="s">
        <v>14</v>
      </c>
    </row>
    <row r="575" spans="1:10" x14ac:dyDescent="0.3">
      <c r="A575" t="s">
        <v>848</v>
      </c>
      <c r="B575" t="s">
        <v>363</v>
      </c>
      <c r="C575" t="s">
        <v>12</v>
      </c>
      <c r="D575" t="s">
        <v>21</v>
      </c>
      <c r="E575" s="1">
        <v>46092</v>
      </c>
      <c r="F575">
        <v>258</v>
      </c>
      <c r="G575">
        <v>211</v>
      </c>
      <c r="H575">
        <v>47</v>
      </c>
      <c r="I575">
        <v>2247</v>
      </c>
      <c r="J575" t="s">
        <v>58</v>
      </c>
    </row>
    <row r="576" spans="1:10" x14ac:dyDescent="0.3">
      <c r="A576" t="s">
        <v>849</v>
      </c>
      <c r="B576" t="s">
        <v>850</v>
      </c>
      <c r="C576" t="s">
        <v>31</v>
      </c>
      <c r="D576" t="s">
        <v>13</v>
      </c>
      <c r="E576" s="1">
        <v>46271</v>
      </c>
      <c r="F576" t="s">
        <v>58</v>
      </c>
      <c r="G576">
        <v>50</v>
      </c>
      <c r="H576">
        <v>297</v>
      </c>
      <c r="I576">
        <v>2424</v>
      </c>
      <c r="J576" t="s">
        <v>85</v>
      </c>
    </row>
    <row r="577" spans="1:10" x14ac:dyDescent="0.3">
      <c r="A577" t="s">
        <v>851</v>
      </c>
      <c r="B577" t="s">
        <v>551</v>
      </c>
      <c r="C577" t="s">
        <v>12</v>
      </c>
      <c r="D577" t="s">
        <v>25</v>
      </c>
      <c r="E577" s="1">
        <v>46098</v>
      </c>
      <c r="F577">
        <v>390</v>
      </c>
      <c r="G577">
        <v>347</v>
      </c>
      <c r="H577">
        <v>43</v>
      </c>
      <c r="I577">
        <v>150</v>
      </c>
      <c r="J577" t="s">
        <v>17</v>
      </c>
    </row>
    <row r="578" spans="1:10" x14ac:dyDescent="0.3">
      <c r="A578" t="s">
        <v>381</v>
      </c>
      <c r="B578" t="s">
        <v>382</v>
      </c>
      <c r="C578" t="s">
        <v>12</v>
      </c>
      <c r="D578" t="s">
        <v>13</v>
      </c>
      <c r="F578">
        <v>311</v>
      </c>
      <c r="G578">
        <v>0</v>
      </c>
      <c r="H578">
        <v>311</v>
      </c>
      <c r="I578" t="s">
        <v>383</v>
      </c>
      <c r="J578" t="s">
        <v>14</v>
      </c>
    </row>
    <row r="579" spans="1:10" x14ac:dyDescent="0.3">
      <c r="A579" t="s">
        <v>852</v>
      </c>
      <c r="B579" t="s">
        <v>853</v>
      </c>
      <c r="C579" t="s">
        <v>28</v>
      </c>
      <c r="D579" t="s">
        <v>13</v>
      </c>
      <c r="E579" s="1">
        <v>46056</v>
      </c>
      <c r="F579">
        <v>229</v>
      </c>
      <c r="G579">
        <v>79</v>
      </c>
      <c r="H579">
        <v>150</v>
      </c>
      <c r="I579">
        <v>2785</v>
      </c>
      <c r="J579" t="s">
        <v>46</v>
      </c>
    </row>
    <row r="580" spans="1:10" x14ac:dyDescent="0.3">
      <c r="A580" t="s">
        <v>854</v>
      </c>
      <c r="B580" t="s">
        <v>93</v>
      </c>
      <c r="C580" t="s">
        <v>12</v>
      </c>
      <c r="D580" t="s">
        <v>21</v>
      </c>
      <c r="E580" s="1">
        <v>46177</v>
      </c>
      <c r="F580">
        <v>289</v>
      </c>
      <c r="G580">
        <v>221</v>
      </c>
      <c r="H580">
        <v>68</v>
      </c>
      <c r="J580" t="s">
        <v>14</v>
      </c>
    </row>
    <row r="581" spans="1:10" x14ac:dyDescent="0.3">
      <c r="A581" t="s">
        <v>855</v>
      </c>
      <c r="B581" t="s">
        <v>308</v>
      </c>
      <c r="C581" t="s">
        <v>12</v>
      </c>
      <c r="D581" t="s">
        <v>318</v>
      </c>
      <c r="E581" s="1">
        <v>46021</v>
      </c>
      <c r="F581">
        <v>374</v>
      </c>
      <c r="G581">
        <v>323</v>
      </c>
      <c r="H581">
        <v>51</v>
      </c>
      <c r="I581">
        <v>520</v>
      </c>
      <c r="J581" t="s">
        <v>17</v>
      </c>
    </row>
    <row r="582" spans="1:10" x14ac:dyDescent="0.3">
      <c r="A582" t="s">
        <v>856</v>
      </c>
      <c r="B582" t="s">
        <v>89</v>
      </c>
      <c r="C582" t="s">
        <v>74</v>
      </c>
      <c r="D582" t="s">
        <v>13</v>
      </c>
      <c r="E582" s="1">
        <v>46101</v>
      </c>
      <c r="F582">
        <v>194</v>
      </c>
      <c r="G582">
        <v>45</v>
      </c>
      <c r="H582">
        <v>149</v>
      </c>
      <c r="I582">
        <v>2098</v>
      </c>
      <c r="J582" t="s">
        <v>46</v>
      </c>
    </row>
    <row r="583" spans="1:10" x14ac:dyDescent="0.3">
      <c r="A583" t="s">
        <v>857</v>
      </c>
      <c r="B583" t="s">
        <v>142</v>
      </c>
      <c r="C583" t="s">
        <v>49</v>
      </c>
      <c r="D583" t="s">
        <v>13</v>
      </c>
      <c r="E583" s="1">
        <v>46042</v>
      </c>
      <c r="F583">
        <v>51</v>
      </c>
      <c r="G583">
        <v>48</v>
      </c>
      <c r="H583">
        <v>3</v>
      </c>
      <c r="I583">
        <v>1892</v>
      </c>
      <c r="J583" t="s">
        <v>58</v>
      </c>
    </row>
    <row r="584" spans="1:10" x14ac:dyDescent="0.3">
      <c r="A584" t="s">
        <v>858</v>
      </c>
      <c r="B584" t="s">
        <v>117</v>
      </c>
      <c r="C584" t="s">
        <v>28</v>
      </c>
      <c r="D584" t="s">
        <v>475</v>
      </c>
      <c r="E584" s="1">
        <v>46273</v>
      </c>
      <c r="F584">
        <v>253</v>
      </c>
      <c r="G584">
        <v>250</v>
      </c>
      <c r="H584">
        <v>3</v>
      </c>
      <c r="I584">
        <v>74</v>
      </c>
      <c r="J584" t="s">
        <v>17</v>
      </c>
    </row>
    <row r="585" spans="1:10" x14ac:dyDescent="0.3">
      <c r="A585" t="s">
        <v>859</v>
      </c>
      <c r="B585" t="s">
        <v>87</v>
      </c>
      <c r="C585" t="s">
        <v>28</v>
      </c>
      <c r="D585" t="s">
        <v>32</v>
      </c>
      <c r="E585" s="1">
        <v>46246</v>
      </c>
      <c r="F585">
        <v>302</v>
      </c>
      <c r="G585">
        <v>21</v>
      </c>
      <c r="H585">
        <v>281</v>
      </c>
      <c r="I585">
        <v>2375</v>
      </c>
      <c r="J585" t="s">
        <v>14</v>
      </c>
    </row>
    <row r="586" spans="1:10" x14ac:dyDescent="0.3">
      <c r="A586" t="s">
        <v>860</v>
      </c>
      <c r="B586" t="s">
        <v>78</v>
      </c>
      <c r="C586" t="s">
        <v>35</v>
      </c>
      <c r="D586" t="s">
        <v>32</v>
      </c>
      <c r="E586" s="1">
        <v>46096</v>
      </c>
      <c r="F586">
        <v>369</v>
      </c>
      <c r="G586">
        <v>-56</v>
      </c>
      <c r="H586">
        <v>318</v>
      </c>
      <c r="I586">
        <v>2384</v>
      </c>
      <c r="J586" t="s">
        <v>14</v>
      </c>
    </row>
    <row r="587" spans="1:10" x14ac:dyDescent="0.3">
      <c r="A587" t="s">
        <v>861</v>
      </c>
      <c r="B587" t="s">
        <v>93</v>
      </c>
      <c r="C587" t="s">
        <v>12</v>
      </c>
      <c r="D587" t="s">
        <v>32</v>
      </c>
      <c r="E587" s="1">
        <v>46011</v>
      </c>
      <c r="F587">
        <v>80</v>
      </c>
      <c r="G587">
        <v>71</v>
      </c>
      <c r="H587">
        <v>9</v>
      </c>
      <c r="I587">
        <v>1789</v>
      </c>
      <c r="J587" t="s">
        <v>17</v>
      </c>
    </row>
    <row r="588" spans="1:10" x14ac:dyDescent="0.3">
      <c r="A588" t="s">
        <v>862</v>
      </c>
      <c r="B588" t="s">
        <v>93</v>
      </c>
      <c r="C588" t="s">
        <v>488</v>
      </c>
      <c r="D588" t="s">
        <v>13</v>
      </c>
      <c r="E588" s="1">
        <v>46032</v>
      </c>
      <c r="F588">
        <v>65</v>
      </c>
      <c r="G588">
        <v>55</v>
      </c>
      <c r="H588">
        <v>10</v>
      </c>
      <c r="I588">
        <v>2561</v>
      </c>
      <c r="J588" t="s">
        <v>58</v>
      </c>
    </row>
    <row r="589" spans="1:10" x14ac:dyDescent="0.3">
      <c r="A589" t="s">
        <v>863</v>
      </c>
      <c r="B589" t="s">
        <v>146</v>
      </c>
      <c r="C589" t="s">
        <v>35</v>
      </c>
      <c r="D589" t="s">
        <v>13</v>
      </c>
      <c r="F589">
        <v>297</v>
      </c>
      <c r="G589">
        <v>0</v>
      </c>
      <c r="H589">
        <v>297</v>
      </c>
      <c r="I589">
        <v>419</v>
      </c>
      <c r="J589" t="s">
        <v>14</v>
      </c>
    </row>
    <row r="590" spans="1:10" x14ac:dyDescent="0.3">
      <c r="A590" t="s">
        <v>864</v>
      </c>
      <c r="B590" t="s">
        <v>84</v>
      </c>
      <c r="C590" t="s">
        <v>418</v>
      </c>
      <c r="D590" t="s">
        <v>351</v>
      </c>
      <c r="E590" s="1">
        <v>46030</v>
      </c>
      <c r="F590">
        <v>226</v>
      </c>
      <c r="G590">
        <v>82</v>
      </c>
      <c r="H590">
        <v>144</v>
      </c>
      <c r="I590">
        <v>2383</v>
      </c>
      <c r="J590" t="s">
        <v>14</v>
      </c>
    </row>
    <row r="591" spans="1:10" x14ac:dyDescent="0.3">
      <c r="A591" t="s">
        <v>865</v>
      </c>
      <c r="B591" t="s">
        <v>19</v>
      </c>
      <c r="C591" t="s">
        <v>28</v>
      </c>
      <c r="D591" t="s">
        <v>120</v>
      </c>
      <c r="E591" s="1">
        <v>46164</v>
      </c>
      <c r="F591">
        <v>356</v>
      </c>
      <c r="G591">
        <v>124</v>
      </c>
      <c r="H591">
        <v>232</v>
      </c>
      <c r="I591">
        <v>1170</v>
      </c>
      <c r="J591" t="s">
        <v>14</v>
      </c>
    </row>
    <row r="592" spans="1:10" x14ac:dyDescent="0.3">
      <c r="A592" t="s">
        <v>866</v>
      </c>
      <c r="B592" t="s">
        <v>479</v>
      </c>
      <c r="C592" t="s">
        <v>31</v>
      </c>
      <c r="D592" t="s">
        <v>475</v>
      </c>
      <c r="E592" s="1">
        <v>46048</v>
      </c>
      <c r="F592">
        <v>132</v>
      </c>
      <c r="G592">
        <v>25</v>
      </c>
      <c r="H592">
        <v>107</v>
      </c>
      <c r="I592">
        <v>1281</v>
      </c>
      <c r="J592" t="s">
        <v>14</v>
      </c>
    </row>
    <row r="593" spans="1:10" x14ac:dyDescent="0.3">
      <c r="A593" t="s">
        <v>867</v>
      </c>
      <c r="B593" t="s">
        <v>324</v>
      </c>
      <c r="C593" t="s">
        <v>213</v>
      </c>
      <c r="D593" t="s">
        <v>13</v>
      </c>
      <c r="E593" s="1">
        <v>46243</v>
      </c>
      <c r="F593">
        <v>186</v>
      </c>
      <c r="G593">
        <v>143</v>
      </c>
      <c r="H593">
        <v>43</v>
      </c>
      <c r="I593">
        <v>2084</v>
      </c>
      <c r="J593" t="s">
        <v>17</v>
      </c>
    </row>
    <row r="594" spans="1:10" x14ac:dyDescent="0.3">
      <c r="A594" t="s">
        <v>868</v>
      </c>
      <c r="B594" t="s">
        <v>224</v>
      </c>
      <c r="C594" t="s">
        <v>49</v>
      </c>
      <c r="D594" t="s">
        <v>21</v>
      </c>
      <c r="E594" s="1">
        <v>46169</v>
      </c>
      <c r="F594">
        <v>409</v>
      </c>
      <c r="G594">
        <v>347</v>
      </c>
      <c r="H594">
        <v>62</v>
      </c>
      <c r="I594" t="s">
        <v>869</v>
      </c>
      <c r="J594" t="s">
        <v>14</v>
      </c>
    </row>
    <row r="595" spans="1:10" x14ac:dyDescent="0.3">
      <c r="A595" t="s">
        <v>870</v>
      </c>
      <c r="B595" t="s">
        <v>367</v>
      </c>
      <c r="C595" t="s">
        <v>35</v>
      </c>
      <c r="D595" t="s">
        <v>32</v>
      </c>
      <c r="E595" t="s">
        <v>58</v>
      </c>
      <c r="F595">
        <v>473</v>
      </c>
      <c r="G595">
        <v>0</v>
      </c>
      <c r="H595">
        <v>473</v>
      </c>
      <c r="I595">
        <v>2034</v>
      </c>
      <c r="J595" t="s">
        <v>14</v>
      </c>
    </row>
    <row r="596" spans="1:10" x14ac:dyDescent="0.3">
      <c r="A596" t="s">
        <v>871</v>
      </c>
      <c r="B596" t="s">
        <v>387</v>
      </c>
      <c r="C596" t="s">
        <v>12</v>
      </c>
      <c r="D596" t="s">
        <v>843</v>
      </c>
      <c r="E596" t="s">
        <v>58</v>
      </c>
      <c r="F596">
        <v>100</v>
      </c>
      <c r="G596">
        <v>0</v>
      </c>
      <c r="H596">
        <v>100</v>
      </c>
      <c r="I596">
        <v>2894</v>
      </c>
      <c r="J596" t="s">
        <v>85</v>
      </c>
    </row>
    <row r="597" spans="1:10" x14ac:dyDescent="0.3">
      <c r="A597" t="s">
        <v>872</v>
      </c>
      <c r="B597" t="s">
        <v>158</v>
      </c>
      <c r="C597" t="s">
        <v>31</v>
      </c>
      <c r="D597" t="s">
        <v>32</v>
      </c>
      <c r="E597" s="1">
        <v>46020</v>
      </c>
      <c r="F597">
        <v>413</v>
      </c>
      <c r="G597">
        <v>94</v>
      </c>
      <c r="H597">
        <v>319</v>
      </c>
      <c r="I597">
        <v>835</v>
      </c>
      <c r="J597" t="s">
        <v>14</v>
      </c>
    </row>
    <row r="598" spans="1:10" x14ac:dyDescent="0.3">
      <c r="A598" t="s">
        <v>873</v>
      </c>
      <c r="B598" t="s">
        <v>315</v>
      </c>
      <c r="C598" t="s">
        <v>49</v>
      </c>
      <c r="D598" t="s">
        <v>695</v>
      </c>
      <c r="E598" s="1">
        <v>46244</v>
      </c>
      <c r="F598">
        <v>117</v>
      </c>
      <c r="G598">
        <v>25</v>
      </c>
      <c r="H598">
        <v>92</v>
      </c>
      <c r="I598">
        <v>1069</v>
      </c>
      <c r="J598" t="s">
        <v>14</v>
      </c>
    </row>
    <row r="599" spans="1:10" x14ac:dyDescent="0.3">
      <c r="A599" t="s">
        <v>874</v>
      </c>
      <c r="B599" t="s">
        <v>138</v>
      </c>
      <c r="C599" t="s">
        <v>31</v>
      </c>
      <c r="D599" t="s">
        <v>13</v>
      </c>
      <c r="E599" s="1">
        <v>46147</v>
      </c>
      <c r="F599">
        <v>189</v>
      </c>
      <c r="G599">
        <v>14</v>
      </c>
      <c r="H599">
        <v>175</v>
      </c>
      <c r="I599">
        <v>709</v>
      </c>
      <c r="J599" t="s">
        <v>14</v>
      </c>
    </row>
    <row r="600" spans="1:10" x14ac:dyDescent="0.3">
      <c r="A600" t="s">
        <v>875</v>
      </c>
      <c r="B600" t="s">
        <v>177</v>
      </c>
      <c r="C600" t="s">
        <v>31</v>
      </c>
      <c r="D600" t="s">
        <v>36</v>
      </c>
      <c r="E600" s="1">
        <v>46152</v>
      </c>
      <c r="F600">
        <v>250</v>
      </c>
      <c r="G600">
        <v>49</v>
      </c>
      <c r="H600">
        <v>201</v>
      </c>
      <c r="I600" t="s">
        <v>876</v>
      </c>
      <c r="J600" t="s">
        <v>14</v>
      </c>
    </row>
    <row r="601" spans="1:10" x14ac:dyDescent="0.3">
      <c r="A601" t="s">
        <v>594</v>
      </c>
      <c r="B601" t="s">
        <v>71</v>
      </c>
      <c r="C601" t="s">
        <v>35</v>
      </c>
      <c r="D601" t="s">
        <v>21</v>
      </c>
      <c r="E601" t="s">
        <v>58</v>
      </c>
      <c r="F601">
        <v>212</v>
      </c>
      <c r="G601">
        <v>0</v>
      </c>
      <c r="H601">
        <v>212</v>
      </c>
      <c r="I601">
        <v>2217</v>
      </c>
      <c r="J601" t="s">
        <v>58</v>
      </c>
    </row>
    <row r="602" spans="1:10" x14ac:dyDescent="0.3">
      <c r="A602" t="s">
        <v>877</v>
      </c>
      <c r="B602" t="s">
        <v>39</v>
      </c>
      <c r="C602" t="s">
        <v>28</v>
      </c>
      <c r="D602" t="s">
        <v>209</v>
      </c>
      <c r="E602" s="1">
        <v>46124</v>
      </c>
      <c r="F602">
        <v>400</v>
      </c>
      <c r="G602">
        <v>356</v>
      </c>
      <c r="H602">
        <v>44</v>
      </c>
      <c r="I602">
        <v>2170</v>
      </c>
      <c r="J602" t="s">
        <v>17</v>
      </c>
    </row>
    <row r="603" spans="1:10" x14ac:dyDescent="0.3">
      <c r="A603" t="s">
        <v>878</v>
      </c>
      <c r="B603" t="s">
        <v>236</v>
      </c>
      <c r="C603" t="s">
        <v>12</v>
      </c>
      <c r="D603" t="s">
        <v>36</v>
      </c>
      <c r="F603">
        <v>254</v>
      </c>
      <c r="G603">
        <v>0</v>
      </c>
      <c r="H603">
        <v>254</v>
      </c>
      <c r="I603">
        <v>219</v>
      </c>
      <c r="J603" t="s">
        <v>14</v>
      </c>
    </row>
    <row r="604" spans="1:10" x14ac:dyDescent="0.3">
      <c r="A604" t="s">
        <v>879</v>
      </c>
      <c r="B604" t="s">
        <v>191</v>
      </c>
      <c r="C604" t="s">
        <v>28</v>
      </c>
      <c r="D604" t="s">
        <v>36</v>
      </c>
      <c r="E604" s="1">
        <v>46233</v>
      </c>
      <c r="F604">
        <v>290</v>
      </c>
      <c r="G604">
        <v>46</v>
      </c>
      <c r="H604">
        <v>244</v>
      </c>
      <c r="I604">
        <v>874</v>
      </c>
      <c r="J604" t="s">
        <v>14</v>
      </c>
    </row>
    <row r="605" spans="1:10" x14ac:dyDescent="0.3">
      <c r="A605" t="s">
        <v>880</v>
      </c>
      <c r="B605" t="s">
        <v>98</v>
      </c>
      <c r="C605" t="s">
        <v>404</v>
      </c>
      <c r="D605" t="s">
        <v>32</v>
      </c>
      <c r="E605" s="1">
        <v>46287</v>
      </c>
      <c r="F605">
        <v>75</v>
      </c>
      <c r="G605">
        <v>59</v>
      </c>
      <c r="H605">
        <v>16</v>
      </c>
      <c r="I605">
        <v>2548</v>
      </c>
      <c r="J605" t="s">
        <v>17</v>
      </c>
    </row>
    <row r="606" spans="1:10" x14ac:dyDescent="0.3">
      <c r="A606" t="s">
        <v>881</v>
      </c>
      <c r="B606" t="s">
        <v>87</v>
      </c>
      <c r="C606" t="s">
        <v>279</v>
      </c>
      <c r="D606" t="s">
        <v>13</v>
      </c>
      <c r="E606" s="1">
        <v>46222</v>
      </c>
      <c r="F606">
        <v>377</v>
      </c>
      <c r="G606">
        <v>110</v>
      </c>
      <c r="H606" t="s">
        <v>58</v>
      </c>
      <c r="I606">
        <v>2798</v>
      </c>
      <c r="J606" t="s">
        <v>85</v>
      </c>
    </row>
    <row r="607" spans="1:10" x14ac:dyDescent="0.3">
      <c r="A607" t="s">
        <v>882</v>
      </c>
      <c r="B607" t="s">
        <v>479</v>
      </c>
      <c r="C607" t="s">
        <v>31</v>
      </c>
      <c r="D607" t="s">
        <v>13</v>
      </c>
      <c r="F607">
        <v>64</v>
      </c>
      <c r="G607">
        <v>0</v>
      </c>
      <c r="H607">
        <v>64</v>
      </c>
      <c r="I607">
        <v>169</v>
      </c>
      <c r="J607" t="s">
        <v>58</v>
      </c>
    </row>
    <row r="608" spans="1:10" x14ac:dyDescent="0.3">
      <c r="A608" t="s">
        <v>883</v>
      </c>
      <c r="B608" t="s">
        <v>27</v>
      </c>
      <c r="C608" t="s">
        <v>28</v>
      </c>
      <c r="D608" t="s">
        <v>21</v>
      </c>
      <c r="E608" t="s">
        <v>58</v>
      </c>
      <c r="F608">
        <v>128</v>
      </c>
      <c r="G608">
        <v>0</v>
      </c>
      <c r="H608">
        <v>128</v>
      </c>
      <c r="I608">
        <v>590</v>
      </c>
      <c r="J608" t="s">
        <v>58</v>
      </c>
    </row>
    <row r="609" spans="1:10" x14ac:dyDescent="0.3">
      <c r="A609" t="s">
        <v>884</v>
      </c>
      <c r="B609" t="s">
        <v>124</v>
      </c>
      <c r="C609" t="s">
        <v>28</v>
      </c>
      <c r="D609" t="s">
        <v>36</v>
      </c>
      <c r="E609" s="1">
        <v>46271</v>
      </c>
      <c r="F609">
        <v>152</v>
      </c>
      <c r="G609">
        <v>50</v>
      </c>
      <c r="H609">
        <v>102</v>
      </c>
      <c r="I609">
        <v>342</v>
      </c>
      <c r="J609" t="s">
        <v>85</v>
      </c>
    </row>
    <row r="610" spans="1:10" x14ac:dyDescent="0.3">
      <c r="A610" t="s">
        <v>885</v>
      </c>
      <c r="B610" t="s">
        <v>294</v>
      </c>
      <c r="C610" t="s">
        <v>35</v>
      </c>
      <c r="D610" t="s">
        <v>32</v>
      </c>
      <c r="E610" s="1">
        <v>46028</v>
      </c>
      <c r="F610">
        <v>259</v>
      </c>
      <c r="G610">
        <v>183</v>
      </c>
      <c r="H610">
        <v>76</v>
      </c>
      <c r="I610">
        <v>1500</v>
      </c>
      <c r="J610" t="s">
        <v>14</v>
      </c>
    </row>
    <row r="611" spans="1:10" x14ac:dyDescent="0.3">
      <c r="A611" t="s">
        <v>886</v>
      </c>
      <c r="B611" t="s">
        <v>434</v>
      </c>
      <c r="C611" t="s">
        <v>31</v>
      </c>
      <c r="D611" t="s">
        <v>21</v>
      </c>
      <c r="E611" s="1">
        <v>46272</v>
      </c>
      <c r="F611">
        <v>286</v>
      </c>
      <c r="G611">
        <v>276</v>
      </c>
      <c r="H611">
        <v>10</v>
      </c>
      <c r="I611">
        <v>2479</v>
      </c>
      <c r="J611" t="s">
        <v>17</v>
      </c>
    </row>
    <row r="612" spans="1:10" x14ac:dyDescent="0.3">
      <c r="A612" t="s">
        <v>887</v>
      </c>
      <c r="B612" t="s">
        <v>30</v>
      </c>
      <c r="C612" t="s">
        <v>213</v>
      </c>
      <c r="D612" t="s">
        <v>32</v>
      </c>
      <c r="E612" t="s">
        <v>58</v>
      </c>
      <c r="F612">
        <v>319</v>
      </c>
      <c r="G612">
        <v>0</v>
      </c>
      <c r="H612">
        <v>319</v>
      </c>
      <c r="J612" t="s">
        <v>14</v>
      </c>
    </row>
    <row r="613" spans="1:10" x14ac:dyDescent="0.3">
      <c r="A613" t="s">
        <v>888</v>
      </c>
      <c r="B613" t="s">
        <v>177</v>
      </c>
      <c r="C613" t="s">
        <v>31</v>
      </c>
      <c r="D613" t="s">
        <v>21</v>
      </c>
      <c r="E613" s="1">
        <v>46119</v>
      </c>
      <c r="F613">
        <v>257</v>
      </c>
      <c r="G613">
        <v>216</v>
      </c>
      <c r="H613">
        <v>41</v>
      </c>
      <c r="I613" t="s">
        <v>889</v>
      </c>
      <c r="J613" t="s">
        <v>43</v>
      </c>
    </row>
    <row r="614" spans="1:10" x14ac:dyDescent="0.3">
      <c r="A614" t="s">
        <v>890</v>
      </c>
      <c r="B614" t="s">
        <v>57</v>
      </c>
      <c r="C614" t="s">
        <v>28</v>
      </c>
      <c r="D614" t="s">
        <v>25</v>
      </c>
      <c r="F614">
        <v>344</v>
      </c>
      <c r="G614">
        <v>0</v>
      </c>
      <c r="H614">
        <v>344</v>
      </c>
      <c r="I614">
        <v>967</v>
      </c>
      <c r="J614" t="s">
        <v>14</v>
      </c>
    </row>
    <row r="615" spans="1:10" x14ac:dyDescent="0.3">
      <c r="A615" t="s">
        <v>891</v>
      </c>
      <c r="B615" t="s">
        <v>262</v>
      </c>
      <c r="C615" t="s">
        <v>12</v>
      </c>
      <c r="D615" t="s">
        <v>36</v>
      </c>
      <c r="E615" s="1">
        <v>46225</v>
      </c>
      <c r="F615">
        <v>100</v>
      </c>
      <c r="G615">
        <v>28</v>
      </c>
      <c r="H615">
        <v>72</v>
      </c>
      <c r="I615">
        <v>712</v>
      </c>
      <c r="J615" t="s">
        <v>14</v>
      </c>
    </row>
    <row r="616" spans="1:10" x14ac:dyDescent="0.3">
      <c r="A616" t="s">
        <v>892</v>
      </c>
      <c r="B616" t="s">
        <v>60</v>
      </c>
      <c r="C616" t="s">
        <v>28</v>
      </c>
      <c r="D616" t="s">
        <v>695</v>
      </c>
      <c r="E616" s="1">
        <v>46033</v>
      </c>
      <c r="F616">
        <v>425</v>
      </c>
      <c r="G616">
        <v>129</v>
      </c>
      <c r="H616">
        <v>296</v>
      </c>
      <c r="I616">
        <v>1749</v>
      </c>
      <c r="J616" t="s">
        <v>14</v>
      </c>
    </row>
    <row r="617" spans="1:10" x14ac:dyDescent="0.3">
      <c r="A617" t="s">
        <v>893</v>
      </c>
      <c r="B617" t="s">
        <v>117</v>
      </c>
      <c r="C617" t="s">
        <v>28</v>
      </c>
      <c r="D617" t="s">
        <v>32</v>
      </c>
      <c r="F617">
        <v>230</v>
      </c>
      <c r="G617">
        <v>0</v>
      </c>
      <c r="H617">
        <v>230</v>
      </c>
      <c r="I617" t="s">
        <v>894</v>
      </c>
      <c r="J617" t="s">
        <v>14</v>
      </c>
    </row>
    <row r="618" spans="1:10" x14ac:dyDescent="0.3">
      <c r="A618" t="s">
        <v>895</v>
      </c>
      <c r="B618" t="s">
        <v>296</v>
      </c>
      <c r="C618" t="s">
        <v>31</v>
      </c>
      <c r="D618" t="s">
        <v>32</v>
      </c>
      <c r="E618" t="s">
        <v>58</v>
      </c>
      <c r="F618">
        <v>492</v>
      </c>
      <c r="G618">
        <v>0</v>
      </c>
      <c r="H618">
        <v>492</v>
      </c>
      <c r="I618">
        <v>1821</v>
      </c>
      <c r="J618" t="s">
        <v>46</v>
      </c>
    </row>
    <row r="619" spans="1:10" x14ac:dyDescent="0.3">
      <c r="A619" t="s">
        <v>896</v>
      </c>
      <c r="B619" t="s">
        <v>897</v>
      </c>
      <c r="C619" t="s">
        <v>58</v>
      </c>
      <c r="D619" t="s">
        <v>153</v>
      </c>
      <c r="E619" s="1">
        <v>46098</v>
      </c>
      <c r="F619">
        <v>437</v>
      </c>
      <c r="G619">
        <v>28</v>
      </c>
      <c r="H619" t="s">
        <v>58</v>
      </c>
      <c r="I619">
        <v>1658</v>
      </c>
      <c r="J619" t="s">
        <v>14</v>
      </c>
    </row>
    <row r="620" spans="1:10" x14ac:dyDescent="0.3">
      <c r="A620" t="s">
        <v>898</v>
      </c>
      <c r="B620" t="s">
        <v>105</v>
      </c>
      <c r="C620" t="s">
        <v>28</v>
      </c>
      <c r="D620" t="s">
        <v>351</v>
      </c>
      <c r="F620">
        <v>336</v>
      </c>
      <c r="G620">
        <v>0</v>
      </c>
      <c r="H620">
        <v>336</v>
      </c>
      <c r="I620">
        <v>553</v>
      </c>
      <c r="J620" t="s">
        <v>14</v>
      </c>
    </row>
    <row r="621" spans="1:10" x14ac:dyDescent="0.3">
      <c r="A621" t="s">
        <v>899</v>
      </c>
      <c r="B621" t="s">
        <v>23</v>
      </c>
      <c r="C621" t="s">
        <v>35</v>
      </c>
      <c r="D621" t="s">
        <v>13</v>
      </c>
      <c r="F621">
        <v>78</v>
      </c>
      <c r="G621">
        <v>0</v>
      </c>
      <c r="H621">
        <v>78</v>
      </c>
      <c r="I621" t="s">
        <v>192</v>
      </c>
      <c r="J621" t="s">
        <v>14</v>
      </c>
    </row>
    <row r="622" spans="1:10" x14ac:dyDescent="0.3">
      <c r="A622" t="s">
        <v>900</v>
      </c>
      <c r="B622" t="s">
        <v>660</v>
      </c>
      <c r="C622" t="s">
        <v>31</v>
      </c>
      <c r="D622" t="s">
        <v>36</v>
      </c>
      <c r="E622" s="1">
        <v>46083</v>
      </c>
      <c r="F622">
        <v>152</v>
      </c>
      <c r="G622">
        <v>150</v>
      </c>
      <c r="H622">
        <v>2</v>
      </c>
      <c r="I622">
        <v>965</v>
      </c>
      <c r="J622" t="s">
        <v>43</v>
      </c>
    </row>
    <row r="623" spans="1:10" x14ac:dyDescent="0.3">
      <c r="A623" t="s">
        <v>901</v>
      </c>
      <c r="B623" t="s">
        <v>902</v>
      </c>
      <c r="C623" t="s">
        <v>28</v>
      </c>
      <c r="D623" t="s">
        <v>351</v>
      </c>
      <c r="E623" s="1">
        <v>46090</v>
      </c>
      <c r="F623">
        <v>81</v>
      </c>
      <c r="G623">
        <v>63</v>
      </c>
      <c r="H623">
        <v>18</v>
      </c>
      <c r="J623" t="s">
        <v>17</v>
      </c>
    </row>
    <row r="624" spans="1:10" x14ac:dyDescent="0.3">
      <c r="A624" t="s">
        <v>903</v>
      </c>
      <c r="B624" t="s">
        <v>27</v>
      </c>
      <c r="C624" t="s">
        <v>28</v>
      </c>
      <c r="D624" t="s">
        <v>32</v>
      </c>
      <c r="E624" s="1">
        <v>46165</v>
      </c>
      <c r="F624">
        <v>412</v>
      </c>
      <c r="G624">
        <v>408</v>
      </c>
      <c r="H624">
        <v>4</v>
      </c>
      <c r="I624" t="s">
        <v>904</v>
      </c>
      <c r="J624" t="s">
        <v>58</v>
      </c>
    </row>
    <row r="625" spans="1:10" x14ac:dyDescent="0.3">
      <c r="A625" t="s">
        <v>905</v>
      </c>
      <c r="B625" t="s">
        <v>906</v>
      </c>
      <c r="C625" t="s">
        <v>35</v>
      </c>
      <c r="D625" t="s">
        <v>36</v>
      </c>
      <c r="E625" t="s">
        <v>58</v>
      </c>
      <c r="F625">
        <v>475</v>
      </c>
      <c r="G625">
        <v>0</v>
      </c>
      <c r="H625">
        <v>475</v>
      </c>
      <c r="I625">
        <v>1894</v>
      </c>
      <c r="J625" t="s">
        <v>14</v>
      </c>
    </row>
    <row r="626" spans="1:10" x14ac:dyDescent="0.3">
      <c r="A626" t="s">
        <v>907</v>
      </c>
      <c r="B626" t="s">
        <v>131</v>
      </c>
      <c r="C626" t="s">
        <v>49</v>
      </c>
      <c r="D626" t="s">
        <v>32</v>
      </c>
      <c r="E626" s="1">
        <v>46057</v>
      </c>
      <c r="F626">
        <v>158</v>
      </c>
      <c r="G626">
        <v>35</v>
      </c>
      <c r="H626">
        <v>123</v>
      </c>
      <c r="I626">
        <v>2039</v>
      </c>
      <c r="J626" t="s">
        <v>127</v>
      </c>
    </row>
    <row r="627" spans="1:10" x14ac:dyDescent="0.3">
      <c r="A627" t="s">
        <v>908</v>
      </c>
      <c r="B627" t="s">
        <v>909</v>
      </c>
      <c r="C627" t="s">
        <v>31</v>
      </c>
      <c r="D627" t="s">
        <v>36</v>
      </c>
      <c r="E627" s="1">
        <v>46282</v>
      </c>
      <c r="F627">
        <v>283</v>
      </c>
      <c r="G627">
        <v>231</v>
      </c>
      <c r="H627">
        <v>52</v>
      </c>
      <c r="I627" t="s">
        <v>910</v>
      </c>
      <c r="J627" t="s">
        <v>58</v>
      </c>
    </row>
    <row r="628" spans="1:10" x14ac:dyDescent="0.3">
      <c r="A628" t="s">
        <v>911</v>
      </c>
      <c r="B628" t="s">
        <v>324</v>
      </c>
      <c r="C628" t="s">
        <v>213</v>
      </c>
      <c r="D628" t="s">
        <v>32</v>
      </c>
      <c r="E628" s="1">
        <v>46033</v>
      </c>
      <c r="F628">
        <v>60</v>
      </c>
      <c r="G628">
        <v>52</v>
      </c>
      <c r="H628">
        <v>8</v>
      </c>
      <c r="I628">
        <v>2124</v>
      </c>
      <c r="J628" t="s">
        <v>17</v>
      </c>
    </row>
    <row r="629" spans="1:10" x14ac:dyDescent="0.3">
      <c r="A629" t="s">
        <v>912</v>
      </c>
      <c r="B629" t="s">
        <v>913</v>
      </c>
      <c r="C629" t="s">
        <v>31</v>
      </c>
      <c r="D629" t="s">
        <v>32</v>
      </c>
      <c r="E629" s="1">
        <v>46177</v>
      </c>
      <c r="F629">
        <v>259</v>
      </c>
      <c r="G629">
        <v>92</v>
      </c>
      <c r="H629">
        <v>167</v>
      </c>
      <c r="I629">
        <v>1847</v>
      </c>
      <c r="J629" t="s">
        <v>14</v>
      </c>
    </row>
    <row r="630" spans="1:10" x14ac:dyDescent="0.3">
      <c r="A630" t="s">
        <v>914</v>
      </c>
      <c r="B630" t="s">
        <v>367</v>
      </c>
      <c r="C630" t="s">
        <v>35</v>
      </c>
      <c r="D630" t="s">
        <v>843</v>
      </c>
      <c r="E630" s="1">
        <v>46225</v>
      </c>
      <c r="F630">
        <v>270</v>
      </c>
      <c r="G630">
        <v>224</v>
      </c>
      <c r="H630">
        <v>46</v>
      </c>
      <c r="I630">
        <v>1937</v>
      </c>
      <c r="J630" t="s">
        <v>17</v>
      </c>
    </row>
    <row r="631" spans="1:10" x14ac:dyDescent="0.3">
      <c r="A631" t="s">
        <v>915</v>
      </c>
      <c r="B631" t="s">
        <v>27</v>
      </c>
      <c r="C631" t="s">
        <v>20</v>
      </c>
      <c r="D631" t="s">
        <v>32</v>
      </c>
      <c r="E631" s="1">
        <v>46024</v>
      </c>
      <c r="F631">
        <v>433</v>
      </c>
      <c r="G631">
        <v>69</v>
      </c>
      <c r="H631">
        <v>364</v>
      </c>
      <c r="I631">
        <v>1203</v>
      </c>
      <c r="J631" t="s">
        <v>14</v>
      </c>
    </row>
    <row r="632" spans="1:10" x14ac:dyDescent="0.3">
      <c r="A632" t="s">
        <v>210</v>
      </c>
      <c r="B632" t="s">
        <v>211</v>
      </c>
      <c r="C632" t="s">
        <v>35</v>
      </c>
      <c r="D632" t="s">
        <v>13</v>
      </c>
      <c r="E632" t="s">
        <v>58</v>
      </c>
      <c r="F632">
        <v>461</v>
      </c>
      <c r="G632">
        <v>0</v>
      </c>
      <c r="H632">
        <v>461</v>
      </c>
      <c r="I632">
        <v>1157</v>
      </c>
      <c r="J632" t="s">
        <v>14</v>
      </c>
    </row>
    <row r="633" spans="1:10" x14ac:dyDescent="0.3">
      <c r="A633" t="s">
        <v>916</v>
      </c>
      <c r="B633" t="s">
        <v>101</v>
      </c>
      <c r="C633" t="s">
        <v>12</v>
      </c>
      <c r="D633" t="s">
        <v>21</v>
      </c>
      <c r="E633" s="1">
        <v>46173</v>
      </c>
      <c r="F633">
        <v>409</v>
      </c>
      <c r="G633">
        <v>123</v>
      </c>
      <c r="H633">
        <v>286</v>
      </c>
      <c r="I633">
        <v>2990</v>
      </c>
      <c r="J633" t="s">
        <v>58</v>
      </c>
    </row>
    <row r="634" spans="1:10" x14ac:dyDescent="0.3">
      <c r="A634" t="s">
        <v>917</v>
      </c>
      <c r="B634" t="s">
        <v>182</v>
      </c>
      <c r="C634" t="s">
        <v>12</v>
      </c>
      <c r="D634" t="s">
        <v>13</v>
      </c>
      <c r="E634" s="1">
        <v>46155</v>
      </c>
      <c r="F634">
        <v>389</v>
      </c>
      <c r="G634">
        <v>105</v>
      </c>
      <c r="H634">
        <v>284</v>
      </c>
      <c r="I634">
        <v>316</v>
      </c>
      <c r="J634" t="s">
        <v>58</v>
      </c>
    </row>
    <row r="635" spans="1:10" x14ac:dyDescent="0.3">
      <c r="A635" t="s">
        <v>918</v>
      </c>
      <c r="B635" t="s">
        <v>198</v>
      </c>
      <c r="C635" t="s">
        <v>31</v>
      </c>
      <c r="D635" t="s">
        <v>13</v>
      </c>
      <c r="E635" s="1">
        <v>46079</v>
      </c>
      <c r="F635">
        <v>282</v>
      </c>
      <c r="G635">
        <v>55</v>
      </c>
      <c r="H635">
        <v>227</v>
      </c>
      <c r="I635">
        <v>2660</v>
      </c>
      <c r="J635" t="s">
        <v>85</v>
      </c>
    </row>
    <row r="636" spans="1:10" x14ac:dyDescent="0.3">
      <c r="A636" t="s">
        <v>919</v>
      </c>
      <c r="B636" t="s">
        <v>131</v>
      </c>
      <c r="C636" t="s">
        <v>49</v>
      </c>
      <c r="D636" t="s">
        <v>21</v>
      </c>
      <c r="F636">
        <v>478</v>
      </c>
      <c r="G636">
        <v>0</v>
      </c>
      <c r="H636">
        <v>478</v>
      </c>
      <c r="I636">
        <v>1563</v>
      </c>
      <c r="J636" t="s">
        <v>14</v>
      </c>
    </row>
    <row r="637" spans="1:10" x14ac:dyDescent="0.3">
      <c r="A637" t="s">
        <v>920</v>
      </c>
      <c r="B637" t="s">
        <v>142</v>
      </c>
      <c r="C637" t="s">
        <v>49</v>
      </c>
      <c r="D637" t="s">
        <v>13</v>
      </c>
      <c r="F637">
        <v>473</v>
      </c>
      <c r="G637">
        <v>0</v>
      </c>
      <c r="H637">
        <v>473</v>
      </c>
      <c r="I637">
        <v>683</v>
      </c>
      <c r="J637" t="s">
        <v>14</v>
      </c>
    </row>
    <row r="638" spans="1:10" x14ac:dyDescent="0.3">
      <c r="A638" t="s">
        <v>921</v>
      </c>
      <c r="B638" t="s">
        <v>441</v>
      </c>
      <c r="C638" t="s">
        <v>28</v>
      </c>
      <c r="D638" t="s">
        <v>36</v>
      </c>
      <c r="E638" t="s">
        <v>58</v>
      </c>
      <c r="F638">
        <v>493</v>
      </c>
      <c r="G638">
        <v>0</v>
      </c>
      <c r="H638">
        <v>493</v>
      </c>
      <c r="I638">
        <v>1531</v>
      </c>
      <c r="J638" t="s">
        <v>14</v>
      </c>
    </row>
    <row r="639" spans="1:10" x14ac:dyDescent="0.3">
      <c r="A639" t="s">
        <v>922</v>
      </c>
      <c r="B639" t="s">
        <v>923</v>
      </c>
      <c r="C639" t="s">
        <v>49</v>
      </c>
      <c r="D639" t="s">
        <v>475</v>
      </c>
      <c r="E639" s="1">
        <v>46053</v>
      </c>
      <c r="F639">
        <v>167</v>
      </c>
      <c r="G639">
        <v>39</v>
      </c>
      <c r="H639">
        <v>128</v>
      </c>
      <c r="I639">
        <v>2650</v>
      </c>
      <c r="J639" t="s">
        <v>14</v>
      </c>
    </row>
    <row r="640" spans="1:10" x14ac:dyDescent="0.3">
      <c r="A640" t="s">
        <v>924</v>
      </c>
      <c r="B640" t="s">
        <v>925</v>
      </c>
      <c r="C640" t="s">
        <v>35</v>
      </c>
      <c r="D640" t="s">
        <v>21</v>
      </c>
      <c r="E640" s="1">
        <v>46086</v>
      </c>
      <c r="F640">
        <v>249</v>
      </c>
      <c r="G640">
        <v>227</v>
      </c>
      <c r="H640">
        <v>22</v>
      </c>
      <c r="I640" t="s">
        <v>926</v>
      </c>
      <c r="J640" t="s">
        <v>68</v>
      </c>
    </row>
    <row r="641" spans="1:10" x14ac:dyDescent="0.3">
      <c r="A641" t="s">
        <v>927</v>
      </c>
      <c r="B641" t="s">
        <v>928</v>
      </c>
      <c r="C641" t="s">
        <v>49</v>
      </c>
      <c r="D641" t="s">
        <v>32</v>
      </c>
      <c r="F641">
        <v>220</v>
      </c>
      <c r="H641">
        <v>220</v>
      </c>
      <c r="I641">
        <v>545</v>
      </c>
      <c r="J641" t="s">
        <v>46</v>
      </c>
    </row>
    <row r="642" spans="1:10" x14ac:dyDescent="0.3">
      <c r="A642" t="s">
        <v>929</v>
      </c>
      <c r="B642" t="s">
        <v>315</v>
      </c>
      <c r="C642" t="s">
        <v>58</v>
      </c>
      <c r="D642" t="s">
        <v>32</v>
      </c>
      <c r="E642" t="s">
        <v>58</v>
      </c>
      <c r="F642">
        <v>56</v>
      </c>
      <c r="G642">
        <v>0</v>
      </c>
      <c r="H642">
        <v>56</v>
      </c>
      <c r="I642">
        <v>953</v>
      </c>
      <c r="J642" t="s">
        <v>17</v>
      </c>
    </row>
    <row r="643" spans="1:10" x14ac:dyDescent="0.3">
      <c r="A643" t="s">
        <v>930</v>
      </c>
      <c r="B643" t="s">
        <v>897</v>
      </c>
      <c r="C643" t="s">
        <v>12</v>
      </c>
      <c r="D643" t="s">
        <v>36</v>
      </c>
      <c r="F643">
        <v>167</v>
      </c>
      <c r="G643">
        <v>0</v>
      </c>
      <c r="H643">
        <v>167</v>
      </c>
      <c r="I643">
        <v>1767</v>
      </c>
      <c r="J643" t="s">
        <v>14</v>
      </c>
    </row>
    <row r="644" spans="1:10" x14ac:dyDescent="0.3">
      <c r="A644" t="s">
        <v>931</v>
      </c>
      <c r="B644" t="s">
        <v>117</v>
      </c>
      <c r="C644" t="s">
        <v>28</v>
      </c>
      <c r="D644" t="s">
        <v>214</v>
      </c>
      <c r="E644" s="1">
        <v>46248</v>
      </c>
      <c r="F644">
        <v>445</v>
      </c>
      <c r="G644">
        <v>61</v>
      </c>
      <c r="H644">
        <v>384</v>
      </c>
      <c r="I644">
        <v>1717</v>
      </c>
      <c r="J644" t="s">
        <v>14</v>
      </c>
    </row>
    <row r="645" spans="1:10" x14ac:dyDescent="0.3">
      <c r="A645" t="s">
        <v>932</v>
      </c>
      <c r="B645" t="s">
        <v>315</v>
      </c>
      <c r="C645" t="s">
        <v>49</v>
      </c>
      <c r="D645" t="s">
        <v>32</v>
      </c>
      <c r="E645" s="1">
        <v>46123</v>
      </c>
      <c r="F645">
        <v>163</v>
      </c>
      <c r="G645">
        <v>23</v>
      </c>
      <c r="H645">
        <v>140</v>
      </c>
      <c r="I645">
        <v>1021</v>
      </c>
      <c r="J645" t="s">
        <v>46</v>
      </c>
    </row>
    <row r="646" spans="1:10" x14ac:dyDescent="0.3">
      <c r="A646" t="s">
        <v>933</v>
      </c>
      <c r="B646" t="s">
        <v>363</v>
      </c>
      <c r="C646" t="s">
        <v>780</v>
      </c>
      <c r="D646" t="s">
        <v>21</v>
      </c>
      <c r="E646" s="1">
        <v>46046</v>
      </c>
      <c r="F646">
        <v>358</v>
      </c>
      <c r="G646">
        <v>31</v>
      </c>
      <c r="H646">
        <v>327</v>
      </c>
      <c r="I646">
        <v>2462</v>
      </c>
      <c r="J646" t="s">
        <v>127</v>
      </c>
    </row>
    <row r="647" spans="1:10" x14ac:dyDescent="0.3">
      <c r="A647" t="s">
        <v>934</v>
      </c>
      <c r="B647" t="s">
        <v>455</v>
      </c>
      <c r="C647" t="s">
        <v>35</v>
      </c>
      <c r="D647" t="s">
        <v>120</v>
      </c>
      <c r="E647" s="1">
        <v>46237</v>
      </c>
      <c r="F647">
        <v>267</v>
      </c>
      <c r="G647">
        <v>89</v>
      </c>
      <c r="H647">
        <v>178</v>
      </c>
      <c r="I647">
        <v>898</v>
      </c>
      <c r="J647" t="s">
        <v>14</v>
      </c>
    </row>
    <row r="648" spans="1:10" x14ac:dyDescent="0.3">
      <c r="A648" t="s">
        <v>935</v>
      </c>
      <c r="B648" t="s">
        <v>198</v>
      </c>
      <c r="C648" t="s">
        <v>31</v>
      </c>
      <c r="D648" t="s">
        <v>13</v>
      </c>
      <c r="E648" s="1">
        <v>46240</v>
      </c>
      <c r="F648">
        <v>328</v>
      </c>
      <c r="G648">
        <v>272</v>
      </c>
      <c r="H648">
        <v>56</v>
      </c>
      <c r="I648">
        <v>2657</v>
      </c>
      <c r="J648" t="s">
        <v>17</v>
      </c>
    </row>
    <row r="649" spans="1:10" x14ac:dyDescent="0.3">
      <c r="A649" t="s">
        <v>936</v>
      </c>
      <c r="B649" t="s">
        <v>224</v>
      </c>
      <c r="C649" t="s">
        <v>49</v>
      </c>
      <c r="D649" t="s">
        <v>695</v>
      </c>
      <c r="E649" s="1">
        <v>46000</v>
      </c>
      <c r="F649">
        <v>419</v>
      </c>
      <c r="G649">
        <v>134</v>
      </c>
      <c r="H649">
        <v>285</v>
      </c>
      <c r="I649">
        <v>1214</v>
      </c>
      <c r="J649" t="s">
        <v>14</v>
      </c>
    </row>
    <row r="650" spans="1:10" x14ac:dyDescent="0.3">
      <c r="A650" t="s">
        <v>937</v>
      </c>
      <c r="B650" t="s">
        <v>367</v>
      </c>
      <c r="C650" t="s">
        <v>58</v>
      </c>
      <c r="D650" t="s">
        <v>32</v>
      </c>
      <c r="E650" t="s">
        <v>58</v>
      </c>
      <c r="F650">
        <v>443</v>
      </c>
      <c r="G650">
        <v>0</v>
      </c>
      <c r="H650">
        <v>443</v>
      </c>
      <c r="I650">
        <v>1872</v>
      </c>
      <c r="J650" t="s">
        <v>14</v>
      </c>
    </row>
    <row r="651" spans="1:10" x14ac:dyDescent="0.3">
      <c r="A651" t="s">
        <v>938</v>
      </c>
      <c r="B651" t="s">
        <v>387</v>
      </c>
      <c r="C651" t="s">
        <v>12</v>
      </c>
      <c r="D651" t="s">
        <v>21</v>
      </c>
      <c r="E651" s="1">
        <v>46082</v>
      </c>
      <c r="F651" t="s">
        <v>58</v>
      </c>
      <c r="G651">
        <v>164</v>
      </c>
      <c r="H651">
        <v>58</v>
      </c>
      <c r="I651">
        <v>183</v>
      </c>
      <c r="J651" t="s">
        <v>17</v>
      </c>
    </row>
    <row r="652" spans="1:10" x14ac:dyDescent="0.3">
      <c r="A652" t="s">
        <v>939</v>
      </c>
      <c r="B652" t="s">
        <v>211</v>
      </c>
      <c r="C652" t="s">
        <v>35</v>
      </c>
      <c r="D652" t="s">
        <v>32</v>
      </c>
      <c r="E652" s="1">
        <v>46146</v>
      </c>
      <c r="F652">
        <v>169</v>
      </c>
      <c r="G652">
        <v>64</v>
      </c>
      <c r="H652">
        <v>105</v>
      </c>
      <c r="I652">
        <v>2839</v>
      </c>
      <c r="J652" t="s">
        <v>14</v>
      </c>
    </row>
    <row r="653" spans="1:10" x14ac:dyDescent="0.3">
      <c r="A653" t="s">
        <v>940</v>
      </c>
      <c r="B653" t="s">
        <v>161</v>
      </c>
      <c r="C653" t="s">
        <v>12</v>
      </c>
      <c r="D653" t="s">
        <v>36</v>
      </c>
      <c r="E653" s="1">
        <v>46149</v>
      </c>
      <c r="F653">
        <v>416</v>
      </c>
      <c r="G653">
        <v>369</v>
      </c>
      <c r="H653">
        <v>47</v>
      </c>
      <c r="J653" t="s">
        <v>17</v>
      </c>
    </row>
    <row r="654" spans="1:10" x14ac:dyDescent="0.3">
      <c r="A654" t="s">
        <v>941</v>
      </c>
      <c r="B654" t="s">
        <v>65</v>
      </c>
      <c r="C654" t="s">
        <v>49</v>
      </c>
      <c r="D654" t="s">
        <v>21</v>
      </c>
      <c r="E654" t="s">
        <v>58</v>
      </c>
      <c r="F654">
        <v>180</v>
      </c>
      <c r="G654">
        <v>0</v>
      </c>
      <c r="H654">
        <v>180</v>
      </c>
      <c r="I654">
        <v>1218</v>
      </c>
      <c r="J654" t="s">
        <v>14</v>
      </c>
    </row>
    <row r="655" spans="1:10" x14ac:dyDescent="0.3">
      <c r="A655" t="s">
        <v>942</v>
      </c>
      <c r="B655" t="s">
        <v>324</v>
      </c>
      <c r="C655" t="s">
        <v>31</v>
      </c>
      <c r="D655" t="s">
        <v>21</v>
      </c>
      <c r="E655" s="1">
        <v>46042</v>
      </c>
      <c r="F655">
        <v>345</v>
      </c>
      <c r="G655">
        <v>280</v>
      </c>
      <c r="H655">
        <v>65</v>
      </c>
      <c r="I655" t="s">
        <v>943</v>
      </c>
      <c r="J655" t="s">
        <v>14</v>
      </c>
    </row>
    <row r="656" spans="1:10" x14ac:dyDescent="0.3">
      <c r="A656" t="s">
        <v>944</v>
      </c>
      <c r="B656" t="s">
        <v>387</v>
      </c>
      <c r="C656" t="s">
        <v>12</v>
      </c>
      <c r="D656" t="s">
        <v>36</v>
      </c>
      <c r="E656" t="s">
        <v>58</v>
      </c>
      <c r="F656">
        <v>413</v>
      </c>
      <c r="G656">
        <v>0</v>
      </c>
      <c r="H656">
        <v>413</v>
      </c>
      <c r="I656">
        <v>2013</v>
      </c>
      <c r="J656" t="s">
        <v>46</v>
      </c>
    </row>
    <row r="657" spans="1:10" x14ac:dyDescent="0.3">
      <c r="A657" t="s">
        <v>945</v>
      </c>
      <c r="B657" t="s">
        <v>117</v>
      </c>
      <c r="C657" t="s">
        <v>28</v>
      </c>
      <c r="D657" t="s">
        <v>13</v>
      </c>
      <c r="F657">
        <v>271</v>
      </c>
      <c r="G657">
        <v>0</v>
      </c>
      <c r="H657">
        <v>271</v>
      </c>
      <c r="I657">
        <v>1435</v>
      </c>
      <c r="J657" t="s">
        <v>46</v>
      </c>
    </row>
    <row r="658" spans="1:10" x14ac:dyDescent="0.3">
      <c r="A658" t="s">
        <v>946</v>
      </c>
      <c r="B658" t="s">
        <v>947</v>
      </c>
      <c r="C658" t="s">
        <v>31</v>
      </c>
      <c r="D658" t="s">
        <v>21</v>
      </c>
      <c r="F658">
        <v>235</v>
      </c>
      <c r="G658">
        <v>0</v>
      </c>
      <c r="H658">
        <v>235</v>
      </c>
      <c r="I658">
        <v>703</v>
      </c>
      <c r="J658" t="s">
        <v>85</v>
      </c>
    </row>
    <row r="659" spans="1:10" x14ac:dyDescent="0.3">
      <c r="A659" t="s">
        <v>948</v>
      </c>
      <c r="B659" t="s">
        <v>101</v>
      </c>
      <c r="C659" t="s">
        <v>12</v>
      </c>
      <c r="D659" t="s">
        <v>36</v>
      </c>
      <c r="E659" s="1">
        <v>46242</v>
      </c>
      <c r="F659">
        <v>412</v>
      </c>
      <c r="G659">
        <v>40</v>
      </c>
      <c r="H659">
        <v>372</v>
      </c>
      <c r="I659">
        <v>1648</v>
      </c>
      <c r="J659" t="s">
        <v>58</v>
      </c>
    </row>
    <row r="660" spans="1:10" x14ac:dyDescent="0.3">
      <c r="A660" t="s">
        <v>949</v>
      </c>
      <c r="B660" t="s">
        <v>950</v>
      </c>
      <c r="C660" t="s">
        <v>28</v>
      </c>
      <c r="D660" t="s">
        <v>36</v>
      </c>
      <c r="E660" s="1">
        <v>46106</v>
      </c>
      <c r="F660">
        <v>448</v>
      </c>
      <c r="G660">
        <v>442</v>
      </c>
      <c r="H660">
        <v>6</v>
      </c>
      <c r="I660">
        <v>1070</v>
      </c>
      <c r="J660" t="s">
        <v>17</v>
      </c>
    </row>
    <row r="661" spans="1:10" x14ac:dyDescent="0.3">
      <c r="A661" t="s">
        <v>951</v>
      </c>
      <c r="B661" t="s">
        <v>387</v>
      </c>
      <c r="C661" t="s">
        <v>58</v>
      </c>
      <c r="D661" t="s">
        <v>32</v>
      </c>
      <c r="F661">
        <v>467</v>
      </c>
      <c r="G661">
        <v>0</v>
      </c>
      <c r="H661">
        <v>467</v>
      </c>
      <c r="I661" t="s">
        <v>952</v>
      </c>
      <c r="J661" t="s">
        <v>85</v>
      </c>
    </row>
    <row r="662" spans="1:10" x14ac:dyDescent="0.3">
      <c r="A662" t="s">
        <v>953</v>
      </c>
      <c r="B662" t="s">
        <v>146</v>
      </c>
      <c r="C662" t="s">
        <v>35</v>
      </c>
      <c r="D662" t="s">
        <v>351</v>
      </c>
      <c r="E662" s="1">
        <v>46104</v>
      </c>
      <c r="F662">
        <v>148</v>
      </c>
      <c r="G662">
        <v>30</v>
      </c>
      <c r="H662">
        <v>118</v>
      </c>
      <c r="I662" t="s">
        <v>954</v>
      </c>
      <c r="J662" t="s">
        <v>14</v>
      </c>
    </row>
    <row r="663" spans="1:10" x14ac:dyDescent="0.3">
      <c r="A663" t="s">
        <v>955</v>
      </c>
      <c r="B663" t="s">
        <v>112</v>
      </c>
      <c r="C663" t="s">
        <v>35</v>
      </c>
      <c r="D663" t="s">
        <v>13</v>
      </c>
      <c r="E663" s="1">
        <v>46160</v>
      </c>
      <c r="F663" t="s">
        <v>58</v>
      </c>
      <c r="G663">
        <v>200</v>
      </c>
      <c r="H663">
        <v>38</v>
      </c>
      <c r="I663">
        <v>75</v>
      </c>
      <c r="J663" t="s">
        <v>180</v>
      </c>
    </row>
    <row r="664" spans="1:10" x14ac:dyDescent="0.3">
      <c r="A664" t="s">
        <v>956</v>
      </c>
      <c r="B664" t="s">
        <v>39</v>
      </c>
      <c r="C664" t="s">
        <v>28</v>
      </c>
      <c r="D664" t="s">
        <v>21</v>
      </c>
      <c r="F664">
        <v>475</v>
      </c>
      <c r="G664">
        <v>0</v>
      </c>
      <c r="H664">
        <v>475</v>
      </c>
      <c r="I664" t="s">
        <v>957</v>
      </c>
      <c r="J664" t="s">
        <v>14</v>
      </c>
    </row>
    <row r="665" spans="1:10" x14ac:dyDescent="0.3">
      <c r="A665" t="s">
        <v>958</v>
      </c>
      <c r="B665" t="s">
        <v>73</v>
      </c>
      <c r="C665" t="s">
        <v>42</v>
      </c>
      <c r="D665" t="s">
        <v>646</v>
      </c>
      <c r="E665" s="1">
        <v>46189</v>
      </c>
      <c r="F665">
        <v>279</v>
      </c>
      <c r="G665">
        <v>50</v>
      </c>
      <c r="H665">
        <v>229</v>
      </c>
      <c r="I665">
        <v>777</v>
      </c>
      <c r="J665" t="s">
        <v>14</v>
      </c>
    </row>
    <row r="666" spans="1:10" x14ac:dyDescent="0.3">
      <c r="A666" t="s">
        <v>959</v>
      </c>
      <c r="B666" t="s">
        <v>294</v>
      </c>
      <c r="C666" t="s">
        <v>24</v>
      </c>
      <c r="D666" t="s">
        <v>21</v>
      </c>
      <c r="F666">
        <v>358</v>
      </c>
      <c r="G666">
        <v>0</v>
      </c>
      <c r="H666">
        <v>358</v>
      </c>
      <c r="I666">
        <v>1215</v>
      </c>
      <c r="J666" t="s">
        <v>14</v>
      </c>
    </row>
    <row r="667" spans="1:10" x14ac:dyDescent="0.3">
      <c r="A667" t="s">
        <v>960</v>
      </c>
      <c r="B667" t="s">
        <v>131</v>
      </c>
      <c r="C667" t="s">
        <v>49</v>
      </c>
      <c r="D667" t="s">
        <v>13</v>
      </c>
      <c r="E667" s="1">
        <v>46121</v>
      </c>
      <c r="F667">
        <v>356</v>
      </c>
      <c r="G667">
        <v>108</v>
      </c>
      <c r="H667">
        <v>248</v>
      </c>
      <c r="I667">
        <v>587</v>
      </c>
      <c r="J667" t="s">
        <v>58</v>
      </c>
    </row>
    <row r="668" spans="1:10" x14ac:dyDescent="0.3">
      <c r="A668" t="s">
        <v>961</v>
      </c>
      <c r="B668" t="s">
        <v>67</v>
      </c>
      <c r="C668" t="s">
        <v>251</v>
      </c>
      <c r="D668" t="s">
        <v>21</v>
      </c>
      <c r="E668" s="1">
        <v>46137</v>
      </c>
      <c r="F668">
        <v>167</v>
      </c>
      <c r="G668">
        <v>142</v>
      </c>
      <c r="H668">
        <v>25</v>
      </c>
      <c r="I668">
        <v>2129</v>
      </c>
      <c r="J668" t="s">
        <v>17</v>
      </c>
    </row>
    <row r="669" spans="1:10" x14ac:dyDescent="0.3">
      <c r="A669" t="s">
        <v>128</v>
      </c>
      <c r="B669" t="s">
        <v>129</v>
      </c>
      <c r="C669" t="s">
        <v>35</v>
      </c>
      <c r="D669" t="s">
        <v>13</v>
      </c>
      <c r="E669" t="s">
        <v>58</v>
      </c>
      <c r="F669">
        <v>428</v>
      </c>
      <c r="G669">
        <v>0</v>
      </c>
      <c r="H669">
        <v>428</v>
      </c>
      <c r="I669">
        <v>383</v>
      </c>
      <c r="J669" t="s">
        <v>46</v>
      </c>
    </row>
    <row r="670" spans="1:10" x14ac:dyDescent="0.3">
      <c r="A670" t="s">
        <v>962</v>
      </c>
      <c r="B670" t="s">
        <v>963</v>
      </c>
      <c r="C670" t="s">
        <v>58</v>
      </c>
      <c r="D670" t="s">
        <v>32</v>
      </c>
      <c r="E670" s="1">
        <v>46274</v>
      </c>
      <c r="F670">
        <v>441</v>
      </c>
      <c r="G670">
        <v>92</v>
      </c>
      <c r="H670">
        <v>349</v>
      </c>
      <c r="I670">
        <v>2520</v>
      </c>
      <c r="J670" t="s">
        <v>14</v>
      </c>
    </row>
    <row r="671" spans="1:10" x14ac:dyDescent="0.3">
      <c r="A671" t="s">
        <v>964</v>
      </c>
      <c r="B671" t="s">
        <v>62</v>
      </c>
      <c r="C671" t="s">
        <v>42</v>
      </c>
      <c r="D671" t="s">
        <v>318</v>
      </c>
      <c r="E671" s="1">
        <v>46259</v>
      </c>
      <c r="F671">
        <v>169</v>
      </c>
      <c r="G671">
        <v>157</v>
      </c>
      <c r="H671">
        <v>12</v>
      </c>
      <c r="I671">
        <v>386</v>
      </c>
      <c r="J671" t="s">
        <v>43</v>
      </c>
    </row>
    <row r="672" spans="1:10" x14ac:dyDescent="0.3">
      <c r="A672" t="s">
        <v>965</v>
      </c>
      <c r="B672" t="s">
        <v>57</v>
      </c>
      <c r="C672" t="s">
        <v>28</v>
      </c>
      <c r="D672" t="s">
        <v>214</v>
      </c>
      <c r="E672" s="1">
        <v>46204</v>
      </c>
      <c r="F672">
        <v>256</v>
      </c>
      <c r="G672">
        <v>61</v>
      </c>
      <c r="H672">
        <v>195</v>
      </c>
      <c r="I672">
        <v>643</v>
      </c>
      <c r="J672" t="s">
        <v>14</v>
      </c>
    </row>
    <row r="673" spans="1:10" x14ac:dyDescent="0.3">
      <c r="A673" t="s">
        <v>966</v>
      </c>
      <c r="B673" t="s">
        <v>387</v>
      </c>
      <c r="C673" t="s">
        <v>404</v>
      </c>
      <c r="D673" t="s">
        <v>36</v>
      </c>
      <c r="E673" s="1">
        <v>46182</v>
      </c>
      <c r="F673">
        <v>286</v>
      </c>
      <c r="G673">
        <v>68</v>
      </c>
      <c r="H673">
        <v>218</v>
      </c>
      <c r="I673">
        <v>923</v>
      </c>
      <c r="J673" t="s">
        <v>14</v>
      </c>
    </row>
    <row r="674" spans="1:10" x14ac:dyDescent="0.3">
      <c r="A674" t="s">
        <v>967</v>
      </c>
      <c r="B674" t="s">
        <v>124</v>
      </c>
      <c r="C674" t="s">
        <v>28</v>
      </c>
      <c r="D674" t="s">
        <v>32</v>
      </c>
      <c r="E674" s="1">
        <v>46199</v>
      </c>
      <c r="F674">
        <v>234</v>
      </c>
      <c r="G674">
        <v>56</v>
      </c>
      <c r="H674">
        <v>178</v>
      </c>
      <c r="I674">
        <v>2682</v>
      </c>
      <c r="J674" t="s">
        <v>14</v>
      </c>
    </row>
    <row r="675" spans="1:10" x14ac:dyDescent="0.3">
      <c r="A675" t="s">
        <v>968</v>
      </c>
      <c r="B675" t="s">
        <v>189</v>
      </c>
      <c r="C675" t="s">
        <v>49</v>
      </c>
      <c r="D675" t="s">
        <v>36</v>
      </c>
      <c r="F675">
        <v>135</v>
      </c>
      <c r="G675">
        <v>0</v>
      </c>
      <c r="H675">
        <v>135</v>
      </c>
      <c r="I675">
        <v>1159</v>
      </c>
      <c r="J675" t="s">
        <v>14</v>
      </c>
    </row>
    <row r="676" spans="1:10" x14ac:dyDescent="0.3">
      <c r="A676" t="s">
        <v>969</v>
      </c>
      <c r="B676" t="s">
        <v>262</v>
      </c>
      <c r="C676" t="s">
        <v>12</v>
      </c>
      <c r="D676" t="s">
        <v>13</v>
      </c>
      <c r="E676" s="1">
        <v>46155</v>
      </c>
      <c r="F676">
        <v>408</v>
      </c>
      <c r="G676">
        <v>376</v>
      </c>
      <c r="H676">
        <v>32</v>
      </c>
      <c r="I676">
        <v>2677</v>
      </c>
      <c r="J676" t="s">
        <v>17</v>
      </c>
    </row>
    <row r="677" spans="1:10" x14ac:dyDescent="0.3">
      <c r="A677" t="s">
        <v>804</v>
      </c>
      <c r="B677" t="s">
        <v>234</v>
      </c>
      <c r="C677" t="s">
        <v>28</v>
      </c>
      <c r="D677" t="s">
        <v>32</v>
      </c>
      <c r="E677" s="1">
        <v>46223</v>
      </c>
      <c r="F677">
        <v>136</v>
      </c>
      <c r="G677">
        <v>117</v>
      </c>
      <c r="H677">
        <v>19</v>
      </c>
      <c r="I677">
        <v>284</v>
      </c>
      <c r="J677" t="s">
        <v>17</v>
      </c>
    </row>
    <row r="678" spans="1:10" x14ac:dyDescent="0.3">
      <c r="A678" t="s">
        <v>970</v>
      </c>
      <c r="B678" t="s">
        <v>479</v>
      </c>
      <c r="C678" t="s">
        <v>213</v>
      </c>
      <c r="D678" t="s">
        <v>13</v>
      </c>
      <c r="E678" s="1">
        <v>46196</v>
      </c>
      <c r="F678">
        <v>438</v>
      </c>
      <c r="G678">
        <v>311</v>
      </c>
      <c r="H678">
        <v>127</v>
      </c>
      <c r="I678">
        <v>1371</v>
      </c>
      <c r="J678" t="s">
        <v>14</v>
      </c>
    </row>
    <row r="679" spans="1:10" x14ac:dyDescent="0.3">
      <c r="A679" t="s">
        <v>971</v>
      </c>
      <c r="B679" t="s">
        <v>234</v>
      </c>
      <c r="C679" t="s">
        <v>28</v>
      </c>
      <c r="D679" t="s">
        <v>21</v>
      </c>
      <c r="E679" s="1">
        <v>46172</v>
      </c>
      <c r="F679">
        <v>474</v>
      </c>
      <c r="G679">
        <v>172</v>
      </c>
      <c r="H679">
        <v>302</v>
      </c>
      <c r="J679" t="s">
        <v>14</v>
      </c>
    </row>
    <row r="680" spans="1:10" x14ac:dyDescent="0.3">
      <c r="A680" t="s">
        <v>972</v>
      </c>
      <c r="B680" t="s">
        <v>274</v>
      </c>
      <c r="C680" t="s">
        <v>28</v>
      </c>
      <c r="D680" t="s">
        <v>21</v>
      </c>
      <c r="E680" s="1">
        <v>46159</v>
      </c>
      <c r="G680">
        <v>7</v>
      </c>
      <c r="H680">
        <v>86</v>
      </c>
      <c r="I680">
        <v>2352</v>
      </c>
      <c r="J680" t="s">
        <v>14</v>
      </c>
    </row>
    <row r="681" spans="1:10" x14ac:dyDescent="0.3">
      <c r="A681" t="s">
        <v>973</v>
      </c>
      <c r="B681" t="s">
        <v>95</v>
      </c>
      <c r="C681" t="s">
        <v>31</v>
      </c>
      <c r="D681" t="s">
        <v>32</v>
      </c>
      <c r="E681" s="1">
        <v>46107</v>
      </c>
      <c r="F681">
        <v>442</v>
      </c>
      <c r="G681">
        <v>43</v>
      </c>
      <c r="H681">
        <v>399</v>
      </c>
      <c r="I681">
        <v>2099</v>
      </c>
      <c r="J681" t="s">
        <v>14</v>
      </c>
    </row>
    <row r="682" spans="1:10" x14ac:dyDescent="0.3">
      <c r="A682" t="s">
        <v>974</v>
      </c>
      <c r="B682" t="s">
        <v>243</v>
      </c>
      <c r="C682" t="s">
        <v>28</v>
      </c>
      <c r="D682" t="s">
        <v>32</v>
      </c>
      <c r="E682" t="s">
        <v>58</v>
      </c>
      <c r="F682">
        <v>317</v>
      </c>
      <c r="G682">
        <v>0</v>
      </c>
      <c r="H682">
        <v>317</v>
      </c>
      <c r="I682">
        <v>290</v>
      </c>
      <c r="J682" t="s">
        <v>14</v>
      </c>
    </row>
    <row r="683" spans="1:10" x14ac:dyDescent="0.3">
      <c r="A683" t="s">
        <v>975</v>
      </c>
      <c r="B683" t="s">
        <v>224</v>
      </c>
      <c r="C683" t="s">
        <v>52</v>
      </c>
      <c r="D683" t="s">
        <v>13</v>
      </c>
      <c r="E683" s="1">
        <v>46093</v>
      </c>
      <c r="F683">
        <v>432</v>
      </c>
      <c r="G683">
        <v>31</v>
      </c>
      <c r="H683">
        <v>401</v>
      </c>
      <c r="I683">
        <v>731</v>
      </c>
      <c r="J683" t="s">
        <v>14</v>
      </c>
    </row>
    <row r="684" spans="1:10" x14ac:dyDescent="0.3">
      <c r="A684" t="s">
        <v>976</v>
      </c>
      <c r="B684" t="s">
        <v>101</v>
      </c>
      <c r="C684" t="s">
        <v>12</v>
      </c>
      <c r="D684" t="s">
        <v>36</v>
      </c>
      <c r="F684">
        <v>65</v>
      </c>
      <c r="G684">
        <v>0</v>
      </c>
      <c r="H684">
        <v>65</v>
      </c>
      <c r="I684">
        <v>990</v>
      </c>
      <c r="J684" t="s">
        <v>46</v>
      </c>
    </row>
    <row r="685" spans="1:10" x14ac:dyDescent="0.3">
      <c r="A685" t="s">
        <v>977</v>
      </c>
      <c r="B685" t="s">
        <v>34</v>
      </c>
      <c r="C685" t="s">
        <v>35</v>
      </c>
      <c r="D685" t="s">
        <v>21</v>
      </c>
      <c r="E685" s="1">
        <v>46118</v>
      </c>
      <c r="F685">
        <v>226</v>
      </c>
      <c r="G685">
        <v>61</v>
      </c>
      <c r="H685">
        <v>165</v>
      </c>
      <c r="I685" t="s">
        <v>978</v>
      </c>
      <c r="J685" t="s">
        <v>14</v>
      </c>
    </row>
    <row r="686" spans="1:10" x14ac:dyDescent="0.3">
      <c r="A686" t="s">
        <v>979</v>
      </c>
      <c r="B686" t="s">
        <v>980</v>
      </c>
      <c r="C686" t="s">
        <v>12</v>
      </c>
      <c r="D686" t="s">
        <v>13</v>
      </c>
      <c r="E686" s="1">
        <v>46205</v>
      </c>
      <c r="F686">
        <v>153</v>
      </c>
      <c r="G686">
        <v>45</v>
      </c>
      <c r="H686">
        <v>108</v>
      </c>
      <c r="I686">
        <v>1189</v>
      </c>
      <c r="J686" t="s">
        <v>14</v>
      </c>
    </row>
    <row r="687" spans="1:10" x14ac:dyDescent="0.3">
      <c r="A687" t="s">
        <v>981</v>
      </c>
      <c r="B687" t="s">
        <v>48</v>
      </c>
      <c r="C687" t="s">
        <v>49</v>
      </c>
      <c r="D687" t="s">
        <v>21</v>
      </c>
      <c r="E687" s="1">
        <v>46008</v>
      </c>
      <c r="F687">
        <v>61</v>
      </c>
      <c r="G687">
        <v>45</v>
      </c>
      <c r="H687">
        <v>16</v>
      </c>
      <c r="I687">
        <v>1449</v>
      </c>
      <c r="J687" t="s">
        <v>17</v>
      </c>
    </row>
    <row r="688" spans="1:10" x14ac:dyDescent="0.3">
      <c r="A688" t="s">
        <v>982</v>
      </c>
      <c r="B688" t="s">
        <v>238</v>
      </c>
      <c r="C688" t="s">
        <v>58</v>
      </c>
      <c r="D688" t="s">
        <v>646</v>
      </c>
      <c r="E688" s="1">
        <v>46208</v>
      </c>
      <c r="F688">
        <v>392</v>
      </c>
      <c r="G688">
        <v>305</v>
      </c>
      <c r="H688">
        <v>87</v>
      </c>
      <c r="I688">
        <v>2447</v>
      </c>
      <c r="J688" t="s">
        <v>14</v>
      </c>
    </row>
    <row r="689" spans="1:10" x14ac:dyDescent="0.3">
      <c r="A689" t="s">
        <v>983</v>
      </c>
      <c r="B689" t="s">
        <v>51</v>
      </c>
      <c r="C689" t="s">
        <v>52</v>
      </c>
      <c r="D689" t="s">
        <v>36</v>
      </c>
      <c r="E689" s="1">
        <v>46144</v>
      </c>
      <c r="F689">
        <v>65</v>
      </c>
      <c r="G689">
        <v>22</v>
      </c>
      <c r="H689">
        <v>43</v>
      </c>
      <c r="I689">
        <v>298</v>
      </c>
      <c r="J689" t="s">
        <v>17</v>
      </c>
    </row>
    <row r="690" spans="1:10" x14ac:dyDescent="0.3">
      <c r="A690" t="s">
        <v>984</v>
      </c>
      <c r="B690" t="s">
        <v>131</v>
      </c>
      <c r="C690" t="s">
        <v>49</v>
      </c>
      <c r="D690" t="s">
        <v>36</v>
      </c>
      <c r="E690" s="1">
        <v>46252</v>
      </c>
      <c r="F690">
        <v>378</v>
      </c>
      <c r="G690">
        <v>294</v>
      </c>
      <c r="H690" t="s">
        <v>58</v>
      </c>
      <c r="I690">
        <v>2245</v>
      </c>
      <c r="J690" t="s">
        <v>14</v>
      </c>
    </row>
    <row r="691" spans="1:10" x14ac:dyDescent="0.3">
      <c r="A691" t="s">
        <v>985</v>
      </c>
      <c r="B691" t="s">
        <v>73</v>
      </c>
      <c r="C691" t="s">
        <v>74</v>
      </c>
      <c r="D691" t="s">
        <v>13</v>
      </c>
      <c r="E691" s="1">
        <v>46255</v>
      </c>
      <c r="F691">
        <v>489</v>
      </c>
      <c r="G691">
        <v>418</v>
      </c>
      <c r="H691">
        <v>71</v>
      </c>
      <c r="I691">
        <v>681</v>
      </c>
      <c r="J691" t="s">
        <v>14</v>
      </c>
    </row>
    <row r="692" spans="1:10" x14ac:dyDescent="0.3">
      <c r="A692" t="s">
        <v>986</v>
      </c>
      <c r="B692" t="s">
        <v>142</v>
      </c>
      <c r="C692" t="s">
        <v>49</v>
      </c>
      <c r="D692" t="s">
        <v>32</v>
      </c>
      <c r="E692" s="1">
        <v>46268</v>
      </c>
      <c r="F692">
        <v>52</v>
      </c>
      <c r="G692">
        <v>50</v>
      </c>
      <c r="I692">
        <v>2571</v>
      </c>
      <c r="J692" t="s">
        <v>43</v>
      </c>
    </row>
    <row r="693" spans="1:10" x14ac:dyDescent="0.3">
      <c r="A693" t="s">
        <v>987</v>
      </c>
      <c r="B693" t="s">
        <v>455</v>
      </c>
      <c r="C693" t="s">
        <v>35</v>
      </c>
      <c r="D693" t="s">
        <v>32</v>
      </c>
      <c r="E693" s="1">
        <v>46111</v>
      </c>
      <c r="F693">
        <v>310</v>
      </c>
      <c r="G693">
        <v>50</v>
      </c>
      <c r="H693">
        <v>260</v>
      </c>
      <c r="I693">
        <v>1734</v>
      </c>
      <c r="J693" t="s">
        <v>14</v>
      </c>
    </row>
    <row r="694" spans="1:10" x14ac:dyDescent="0.3">
      <c r="A694" t="s">
        <v>988</v>
      </c>
      <c r="B694" t="s">
        <v>95</v>
      </c>
      <c r="C694" t="s">
        <v>31</v>
      </c>
      <c r="D694" t="s">
        <v>13</v>
      </c>
      <c r="F694">
        <v>259</v>
      </c>
      <c r="G694">
        <v>0</v>
      </c>
      <c r="H694">
        <v>259</v>
      </c>
      <c r="I694">
        <v>1961</v>
      </c>
      <c r="J694" t="s">
        <v>14</v>
      </c>
    </row>
    <row r="695" spans="1:10" x14ac:dyDescent="0.3">
      <c r="A695" t="s">
        <v>989</v>
      </c>
      <c r="B695" t="s">
        <v>95</v>
      </c>
      <c r="C695" t="s">
        <v>31</v>
      </c>
      <c r="D695" t="s">
        <v>21</v>
      </c>
      <c r="E695" t="s">
        <v>58</v>
      </c>
      <c r="G695">
        <v>0</v>
      </c>
      <c r="H695">
        <v>388</v>
      </c>
      <c r="I695">
        <v>458</v>
      </c>
      <c r="J695" t="s">
        <v>14</v>
      </c>
    </row>
    <row r="696" spans="1:10" x14ac:dyDescent="0.3">
      <c r="A696" t="s">
        <v>990</v>
      </c>
      <c r="B696" t="s">
        <v>387</v>
      </c>
      <c r="C696" t="s">
        <v>58</v>
      </c>
      <c r="D696" t="s">
        <v>13</v>
      </c>
      <c r="E696" t="s">
        <v>58</v>
      </c>
      <c r="F696">
        <v>261</v>
      </c>
      <c r="G696">
        <v>0</v>
      </c>
      <c r="H696" t="s">
        <v>58</v>
      </c>
      <c r="I696">
        <v>1226</v>
      </c>
      <c r="J696" t="s">
        <v>127</v>
      </c>
    </row>
    <row r="697" spans="1:10" x14ac:dyDescent="0.3">
      <c r="A697" t="s">
        <v>555</v>
      </c>
      <c r="B697" t="s">
        <v>556</v>
      </c>
      <c r="C697" t="s">
        <v>28</v>
      </c>
      <c r="D697" t="s">
        <v>36</v>
      </c>
      <c r="F697">
        <v>234</v>
      </c>
      <c r="G697">
        <v>0</v>
      </c>
      <c r="H697">
        <v>234</v>
      </c>
      <c r="I697">
        <v>2125</v>
      </c>
      <c r="J697" t="s">
        <v>85</v>
      </c>
    </row>
    <row r="698" spans="1:10" x14ac:dyDescent="0.3">
      <c r="A698" t="s">
        <v>991</v>
      </c>
      <c r="B698" t="s">
        <v>158</v>
      </c>
      <c r="C698" t="s">
        <v>31</v>
      </c>
      <c r="D698" t="s">
        <v>36</v>
      </c>
      <c r="F698">
        <v>232</v>
      </c>
      <c r="H698">
        <v>232</v>
      </c>
      <c r="I698">
        <v>2974</v>
      </c>
      <c r="J698" t="s">
        <v>14</v>
      </c>
    </row>
    <row r="699" spans="1:10" x14ac:dyDescent="0.3">
      <c r="A699" t="s">
        <v>992</v>
      </c>
      <c r="B699" t="s">
        <v>73</v>
      </c>
      <c r="C699" t="s">
        <v>49</v>
      </c>
      <c r="D699" t="s">
        <v>21</v>
      </c>
      <c r="E699" s="1">
        <v>46164</v>
      </c>
      <c r="F699">
        <v>362</v>
      </c>
      <c r="G699">
        <v>302</v>
      </c>
      <c r="H699">
        <v>60</v>
      </c>
      <c r="I699">
        <v>926</v>
      </c>
      <c r="J699" t="s">
        <v>14</v>
      </c>
    </row>
    <row r="700" spans="1:10" x14ac:dyDescent="0.3">
      <c r="A700" t="s">
        <v>993</v>
      </c>
      <c r="B700" t="s">
        <v>994</v>
      </c>
      <c r="C700" t="s">
        <v>49</v>
      </c>
      <c r="D700" t="s">
        <v>32</v>
      </c>
      <c r="E700" s="1">
        <v>46043</v>
      </c>
      <c r="F700">
        <v>445</v>
      </c>
      <c r="G700">
        <v>101</v>
      </c>
      <c r="H700">
        <v>344</v>
      </c>
      <c r="I700" t="s">
        <v>995</v>
      </c>
      <c r="J700" t="s">
        <v>127</v>
      </c>
    </row>
    <row r="701" spans="1:10" x14ac:dyDescent="0.3">
      <c r="A701" t="s">
        <v>996</v>
      </c>
      <c r="B701" t="s">
        <v>742</v>
      </c>
      <c r="C701" t="s">
        <v>58</v>
      </c>
      <c r="D701" t="s">
        <v>21</v>
      </c>
      <c r="E701" s="1">
        <v>46018</v>
      </c>
      <c r="F701">
        <v>353</v>
      </c>
      <c r="G701">
        <v>273</v>
      </c>
      <c r="H701">
        <v>80</v>
      </c>
      <c r="I701">
        <v>2178</v>
      </c>
      <c r="J701" t="s">
        <v>14</v>
      </c>
    </row>
    <row r="702" spans="1:10" x14ac:dyDescent="0.3">
      <c r="A702" t="s">
        <v>997</v>
      </c>
      <c r="B702" t="s">
        <v>87</v>
      </c>
      <c r="C702" t="s">
        <v>58</v>
      </c>
      <c r="D702" t="s">
        <v>843</v>
      </c>
      <c r="E702" s="1">
        <v>46224</v>
      </c>
      <c r="F702">
        <v>245</v>
      </c>
      <c r="G702">
        <v>71</v>
      </c>
      <c r="H702">
        <v>174</v>
      </c>
      <c r="I702">
        <v>2513</v>
      </c>
      <c r="J702" t="s">
        <v>14</v>
      </c>
    </row>
    <row r="703" spans="1:10" x14ac:dyDescent="0.3">
      <c r="A703" t="s">
        <v>998</v>
      </c>
      <c r="B703" t="s">
        <v>136</v>
      </c>
      <c r="C703" t="s">
        <v>35</v>
      </c>
      <c r="D703" t="s">
        <v>13</v>
      </c>
      <c r="E703" s="1">
        <v>46070</v>
      </c>
      <c r="G703">
        <v>231</v>
      </c>
      <c r="H703">
        <v>75</v>
      </c>
      <c r="I703">
        <v>2787</v>
      </c>
      <c r="J703" t="s">
        <v>14</v>
      </c>
    </row>
    <row r="704" spans="1:10" x14ac:dyDescent="0.3">
      <c r="A704" t="s">
        <v>781</v>
      </c>
      <c r="B704" t="s">
        <v>315</v>
      </c>
      <c r="C704" t="s">
        <v>49</v>
      </c>
      <c r="D704" t="s">
        <v>13</v>
      </c>
      <c r="E704" s="1">
        <v>46079</v>
      </c>
      <c r="F704">
        <v>168</v>
      </c>
      <c r="G704">
        <v>141</v>
      </c>
      <c r="H704">
        <v>27</v>
      </c>
      <c r="I704">
        <v>551</v>
      </c>
      <c r="J704" t="s">
        <v>68</v>
      </c>
    </row>
    <row r="705" spans="1:10" x14ac:dyDescent="0.3">
      <c r="A705" t="s">
        <v>999</v>
      </c>
      <c r="B705" t="s">
        <v>191</v>
      </c>
      <c r="C705" t="s">
        <v>28</v>
      </c>
      <c r="D705" t="s">
        <v>32</v>
      </c>
      <c r="E705" s="1">
        <v>46007</v>
      </c>
      <c r="F705">
        <v>308</v>
      </c>
      <c r="G705">
        <v>283</v>
      </c>
      <c r="H705">
        <v>25</v>
      </c>
      <c r="I705">
        <v>2650</v>
      </c>
      <c r="J705" t="s">
        <v>17</v>
      </c>
    </row>
    <row r="706" spans="1:10" x14ac:dyDescent="0.3">
      <c r="A706" t="s">
        <v>1000</v>
      </c>
      <c r="B706" t="s">
        <v>499</v>
      </c>
      <c r="C706" t="s">
        <v>28</v>
      </c>
      <c r="D706" t="s">
        <v>32</v>
      </c>
      <c r="E706" s="1">
        <v>46291</v>
      </c>
      <c r="F706">
        <v>352</v>
      </c>
      <c r="G706">
        <v>260</v>
      </c>
      <c r="H706">
        <v>92</v>
      </c>
      <c r="I706">
        <v>2972</v>
      </c>
      <c r="J706" t="s">
        <v>14</v>
      </c>
    </row>
    <row r="707" spans="1:10" x14ac:dyDescent="0.3">
      <c r="A707" t="s">
        <v>178</v>
      </c>
      <c r="B707" t="s">
        <v>179</v>
      </c>
      <c r="C707" t="s">
        <v>12</v>
      </c>
      <c r="D707" t="s">
        <v>21</v>
      </c>
      <c r="E707" s="1">
        <v>46281</v>
      </c>
      <c r="F707">
        <v>183</v>
      </c>
      <c r="G707">
        <v>129</v>
      </c>
      <c r="H707">
        <v>54</v>
      </c>
      <c r="I707">
        <v>813</v>
      </c>
      <c r="J707" t="s">
        <v>180</v>
      </c>
    </row>
    <row r="708" spans="1:10" x14ac:dyDescent="0.3">
      <c r="A708" t="s">
        <v>1001</v>
      </c>
      <c r="B708" t="s">
        <v>48</v>
      </c>
      <c r="C708" t="s">
        <v>49</v>
      </c>
      <c r="D708" t="s">
        <v>21</v>
      </c>
      <c r="E708" s="1">
        <v>46175</v>
      </c>
      <c r="F708">
        <v>276</v>
      </c>
      <c r="G708">
        <v>196</v>
      </c>
      <c r="H708">
        <v>80</v>
      </c>
      <c r="I708" t="s">
        <v>1002</v>
      </c>
      <c r="J708" t="s">
        <v>14</v>
      </c>
    </row>
    <row r="709" spans="1:10" x14ac:dyDescent="0.3">
      <c r="A709" t="s">
        <v>1003</v>
      </c>
      <c r="B709" t="s">
        <v>240</v>
      </c>
      <c r="C709" t="s">
        <v>49</v>
      </c>
      <c r="D709" t="s">
        <v>13</v>
      </c>
      <c r="E709" s="1">
        <v>46068</v>
      </c>
      <c r="F709">
        <v>310</v>
      </c>
      <c r="G709">
        <v>87</v>
      </c>
      <c r="H709">
        <v>223</v>
      </c>
      <c r="I709">
        <v>2049</v>
      </c>
      <c r="J709" t="s">
        <v>14</v>
      </c>
    </row>
    <row r="710" spans="1:10" x14ac:dyDescent="0.3">
      <c r="A710" t="s">
        <v>1004</v>
      </c>
      <c r="B710" t="s">
        <v>1005</v>
      </c>
      <c r="C710" t="s">
        <v>20</v>
      </c>
      <c r="D710" t="s">
        <v>13</v>
      </c>
      <c r="E710" s="1">
        <v>46248</v>
      </c>
      <c r="F710">
        <v>378</v>
      </c>
      <c r="G710">
        <v>54</v>
      </c>
      <c r="H710">
        <v>324</v>
      </c>
      <c r="I710">
        <v>1149</v>
      </c>
      <c r="J710" t="s">
        <v>14</v>
      </c>
    </row>
    <row r="711" spans="1:10" x14ac:dyDescent="0.3">
      <c r="A711" t="s">
        <v>1006</v>
      </c>
      <c r="B711" t="s">
        <v>455</v>
      </c>
      <c r="C711" t="s">
        <v>35</v>
      </c>
      <c r="D711" t="s">
        <v>21</v>
      </c>
      <c r="E711" s="1">
        <v>46175</v>
      </c>
      <c r="F711">
        <v>356</v>
      </c>
      <c r="G711">
        <v>140</v>
      </c>
      <c r="H711">
        <v>216</v>
      </c>
      <c r="I711">
        <v>692</v>
      </c>
      <c r="J711" t="s">
        <v>14</v>
      </c>
    </row>
    <row r="712" spans="1:10" x14ac:dyDescent="0.3">
      <c r="A712" t="s">
        <v>1007</v>
      </c>
      <c r="B712" t="s">
        <v>151</v>
      </c>
      <c r="C712" t="s">
        <v>35</v>
      </c>
      <c r="D712" t="s">
        <v>36</v>
      </c>
      <c r="E712" s="1">
        <v>46180</v>
      </c>
      <c r="F712">
        <v>224</v>
      </c>
      <c r="G712">
        <v>22</v>
      </c>
      <c r="H712">
        <v>202</v>
      </c>
      <c r="I712">
        <v>2458</v>
      </c>
      <c r="J712" t="s">
        <v>14</v>
      </c>
    </row>
    <row r="713" spans="1:10" x14ac:dyDescent="0.3">
      <c r="A713" t="s">
        <v>1008</v>
      </c>
      <c r="B713" t="s">
        <v>164</v>
      </c>
      <c r="C713" t="s">
        <v>49</v>
      </c>
      <c r="D713" t="s">
        <v>25</v>
      </c>
      <c r="E713" s="1">
        <v>46155</v>
      </c>
      <c r="F713">
        <v>308</v>
      </c>
      <c r="G713">
        <v>289</v>
      </c>
      <c r="H713">
        <v>19</v>
      </c>
      <c r="I713">
        <v>2882</v>
      </c>
      <c r="J713" t="s">
        <v>17</v>
      </c>
    </row>
    <row r="714" spans="1:10" x14ac:dyDescent="0.3">
      <c r="A714" t="s">
        <v>1009</v>
      </c>
      <c r="B714" t="s">
        <v>164</v>
      </c>
      <c r="C714" t="s">
        <v>49</v>
      </c>
      <c r="D714" t="s">
        <v>13</v>
      </c>
      <c r="F714">
        <v>90</v>
      </c>
      <c r="G714">
        <v>0</v>
      </c>
      <c r="H714">
        <v>90</v>
      </c>
      <c r="I714">
        <v>424</v>
      </c>
      <c r="J714" t="s">
        <v>14</v>
      </c>
    </row>
    <row r="715" spans="1:10" x14ac:dyDescent="0.3">
      <c r="A715" t="s">
        <v>1010</v>
      </c>
      <c r="B715" t="s">
        <v>236</v>
      </c>
      <c r="C715" t="s">
        <v>12</v>
      </c>
      <c r="D715" t="s">
        <v>13</v>
      </c>
      <c r="E715" s="1">
        <v>46124</v>
      </c>
      <c r="F715">
        <v>321</v>
      </c>
      <c r="G715">
        <v>253</v>
      </c>
      <c r="H715">
        <v>68</v>
      </c>
      <c r="I715">
        <v>2724</v>
      </c>
      <c r="J715" t="s">
        <v>14</v>
      </c>
    </row>
    <row r="716" spans="1:10" x14ac:dyDescent="0.3">
      <c r="A716" t="s">
        <v>1011</v>
      </c>
      <c r="B716" t="s">
        <v>234</v>
      </c>
      <c r="C716" t="s">
        <v>28</v>
      </c>
      <c r="D716" t="s">
        <v>32</v>
      </c>
      <c r="E716" s="1">
        <v>46161</v>
      </c>
      <c r="F716">
        <v>64</v>
      </c>
      <c r="G716">
        <v>10</v>
      </c>
      <c r="H716">
        <v>54</v>
      </c>
      <c r="I716">
        <v>2173</v>
      </c>
      <c r="J716" t="s">
        <v>17</v>
      </c>
    </row>
    <row r="717" spans="1:10" x14ac:dyDescent="0.3">
      <c r="A717" t="s">
        <v>1012</v>
      </c>
      <c r="B717" t="s">
        <v>240</v>
      </c>
      <c r="C717" t="s">
        <v>49</v>
      </c>
      <c r="D717" t="s">
        <v>21</v>
      </c>
      <c r="E717" t="s">
        <v>58</v>
      </c>
      <c r="F717">
        <v>395</v>
      </c>
      <c r="G717">
        <v>0</v>
      </c>
      <c r="H717">
        <v>395</v>
      </c>
      <c r="I717">
        <v>2216</v>
      </c>
      <c r="J717" t="s">
        <v>127</v>
      </c>
    </row>
    <row r="718" spans="1:10" x14ac:dyDescent="0.3">
      <c r="A718" t="s">
        <v>1013</v>
      </c>
      <c r="B718" t="s">
        <v>296</v>
      </c>
      <c r="C718" t="s">
        <v>31</v>
      </c>
      <c r="D718" t="s">
        <v>36</v>
      </c>
      <c r="E718" t="s">
        <v>58</v>
      </c>
      <c r="F718">
        <v>51</v>
      </c>
      <c r="G718">
        <v>0</v>
      </c>
      <c r="H718">
        <v>51</v>
      </c>
      <c r="I718">
        <v>160</v>
      </c>
      <c r="J718" t="s">
        <v>17</v>
      </c>
    </row>
    <row r="719" spans="1:10" x14ac:dyDescent="0.3">
      <c r="A719" t="s">
        <v>1014</v>
      </c>
      <c r="B719" t="s">
        <v>16</v>
      </c>
      <c r="C719" t="s">
        <v>780</v>
      </c>
      <c r="D719" t="s">
        <v>13</v>
      </c>
      <c r="E719" s="1">
        <v>45998</v>
      </c>
      <c r="F719">
        <v>184</v>
      </c>
      <c r="G719">
        <v>64</v>
      </c>
      <c r="H719">
        <v>120</v>
      </c>
      <c r="I719">
        <v>2405</v>
      </c>
      <c r="J719" t="s">
        <v>14</v>
      </c>
    </row>
    <row r="720" spans="1:10" x14ac:dyDescent="0.3">
      <c r="A720" t="s">
        <v>1015</v>
      </c>
      <c r="B720" t="s">
        <v>73</v>
      </c>
      <c r="C720" t="s">
        <v>49</v>
      </c>
      <c r="D720" t="s">
        <v>32</v>
      </c>
      <c r="F720">
        <v>118</v>
      </c>
      <c r="G720">
        <v>0</v>
      </c>
      <c r="H720">
        <v>118</v>
      </c>
      <c r="I720">
        <v>103</v>
      </c>
      <c r="J720" t="s">
        <v>85</v>
      </c>
    </row>
    <row r="721" spans="1:10" x14ac:dyDescent="0.3">
      <c r="A721" t="s">
        <v>1016</v>
      </c>
      <c r="B721" t="s">
        <v>60</v>
      </c>
      <c r="C721" t="s">
        <v>28</v>
      </c>
      <c r="D721" t="s">
        <v>36</v>
      </c>
      <c r="E721" s="1">
        <v>46042</v>
      </c>
      <c r="F721">
        <v>204</v>
      </c>
      <c r="G721">
        <v>37</v>
      </c>
      <c r="H721">
        <v>167</v>
      </c>
      <c r="I721">
        <v>2910</v>
      </c>
      <c r="J721" t="s">
        <v>14</v>
      </c>
    </row>
    <row r="722" spans="1:10" x14ac:dyDescent="0.3">
      <c r="A722" t="s">
        <v>463</v>
      </c>
      <c r="B722" t="s">
        <v>67</v>
      </c>
      <c r="C722" t="s">
        <v>31</v>
      </c>
      <c r="D722" t="s">
        <v>32</v>
      </c>
      <c r="E722" s="1">
        <v>46030</v>
      </c>
      <c r="F722">
        <v>105</v>
      </c>
      <c r="G722">
        <v>7</v>
      </c>
      <c r="H722">
        <v>98</v>
      </c>
      <c r="I722" t="s">
        <v>464</v>
      </c>
      <c r="J722" t="s">
        <v>85</v>
      </c>
    </row>
    <row r="723" spans="1:10" x14ac:dyDescent="0.3">
      <c r="A723" t="s">
        <v>1017</v>
      </c>
      <c r="B723" t="s">
        <v>184</v>
      </c>
      <c r="C723" t="s">
        <v>31</v>
      </c>
      <c r="D723" t="s">
        <v>32</v>
      </c>
      <c r="E723" s="1">
        <v>46031</v>
      </c>
      <c r="F723">
        <v>226</v>
      </c>
      <c r="H723">
        <v>7</v>
      </c>
      <c r="I723">
        <v>2959</v>
      </c>
      <c r="J723" t="s">
        <v>17</v>
      </c>
    </row>
    <row r="724" spans="1:10" x14ac:dyDescent="0.3">
      <c r="A724" t="s">
        <v>1018</v>
      </c>
      <c r="B724" t="s">
        <v>211</v>
      </c>
      <c r="C724" t="s">
        <v>58</v>
      </c>
      <c r="D724" t="s">
        <v>36</v>
      </c>
      <c r="F724">
        <v>358</v>
      </c>
      <c r="G724">
        <v>0</v>
      </c>
      <c r="H724">
        <v>358</v>
      </c>
      <c r="I724">
        <v>807</v>
      </c>
      <c r="J724" t="s">
        <v>14</v>
      </c>
    </row>
    <row r="725" spans="1:10" x14ac:dyDescent="0.3">
      <c r="A725" t="s">
        <v>1019</v>
      </c>
      <c r="B725" t="s">
        <v>262</v>
      </c>
      <c r="C725" t="s">
        <v>780</v>
      </c>
      <c r="D725" t="s">
        <v>13</v>
      </c>
      <c r="E725" s="1">
        <v>46078</v>
      </c>
      <c r="F725">
        <v>477</v>
      </c>
      <c r="G725">
        <v>442</v>
      </c>
      <c r="I725">
        <v>2603</v>
      </c>
      <c r="J725" t="s">
        <v>17</v>
      </c>
    </row>
    <row r="726" spans="1:10" x14ac:dyDescent="0.3">
      <c r="A726" t="s">
        <v>1020</v>
      </c>
      <c r="B726" t="s">
        <v>1021</v>
      </c>
      <c r="C726" t="s">
        <v>49</v>
      </c>
      <c r="D726" t="s">
        <v>13</v>
      </c>
      <c r="E726" s="1">
        <v>46162</v>
      </c>
      <c r="F726">
        <v>125</v>
      </c>
      <c r="G726">
        <v>12</v>
      </c>
      <c r="H726">
        <v>113</v>
      </c>
      <c r="I726" t="s">
        <v>1022</v>
      </c>
      <c r="J726" t="s">
        <v>14</v>
      </c>
    </row>
    <row r="727" spans="1:10" x14ac:dyDescent="0.3">
      <c r="A727" t="s">
        <v>1023</v>
      </c>
      <c r="B727" t="s">
        <v>243</v>
      </c>
      <c r="C727" t="s">
        <v>28</v>
      </c>
      <c r="D727" t="s">
        <v>32</v>
      </c>
      <c r="F727">
        <v>332</v>
      </c>
      <c r="G727">
        <v>0</v>
      </c>
      <c r="H727">
        <v>332</v>
      </c>
      <c r="I727" t="s">
        <v>1024</v>
      </c>
      <c r="J727" t="s">
        <v>14</v>
      </c>
    </row>
    <row r="728" spans="1:10" x14ac:dyDescent="0.3">
      <c r="A728" t="s">
        <v>1025</v>
      </c>
      <c r="B728" t="s">
        <v>434</v>
      </c>
      <c r="C728" t="s">
        <v>31</v>
      </c>
      <c r="D728" t="s">
        <v>13</v>
      </c>
      <c r="E728" s="1">
        <v>45998</v>
      </c>
      <c r="F728">
        <v>193</v>
      </c>
      <c r="G728">
        <v>147</v>
      </c>
      <c r="H728">
        <v>46</v>
      </c>
      <c r="I728">
        <v>125</v>
      </c>
      <c r="J728" t="s">
        <v>17</v>
      </c>
    </row>
    <row r="729" spans="1:10" x14ac:dyDescent="0.3">
      <c r="A729" t="s">
        <v>1026</v>
      </c>
      <c r="B729" t="s">
        <v>566</v>
      </c>
      <c r="C729" t="s">
        <v>12</v>
      </c>
      <c r="D729" t="s">
        <v>32</v>
      </c>
      <c r="F729">
        <v>303</v>
      </c>
      <c r="G729">
        <v>0</v>
      </c>
      <c r="H729">
        <v>303</v>
      </c>
      <c r="I729" t="s">
        <v>1027</v>
      </c>
      <c r="J729" t="s">
        <v>14</v>
      </c>
    </row>
    <row r="730" spans="1:10" x14ac:dyDescent="0.3">
      <c r="A730" t="s">
        <v>1028</v>
      </c>
      <c r="B730" t="s">
        <v>479</v>
      </c>
      <c r="C730" t="s">
        <v>31</v>
      </c>
      <c r="D730" t="s">
        <v>32</v>
      </c>
      <c r="E730" s="1">
        <v>46188</v>
      </c>
      <c r="F730">
        <v>151</v>
      </c>
      <c r="G730">
        <v>22</v>
      </c>
      <c r="H730">
        <v>129</v>
      </c>
      <c r="I730">
        <v>1175</v>
      </c>
      <c r="J730" t="s">
        <v>14</v>
      </c>
    </row>
    <row r="731" spans="1:10" x14ac:dyDescent="0.3">
      <c r="A731" t="s">
        <v>1029</v>
      </c>
      <c r="B731" t="s">
        <v>1021</v>
      </c>
      <c r="C731" t="s">
        <v>49</v>
      </c>
      <c r="D731" t="s">
        <v>21</v>
      </c>
      <c r="E731" t="s">
        <v>58</v>
      </c>
      <c r="F731">
        <v>413</v>
      </c>
      <c r="G731">
        <v>0</v>
      </c>
      <c r="H731">
        <v>413</v>
      </c>
      <c r="I731">
        <v>64</v>
      </c>
      <c r="J731" t="s">
        <v>14</v>
      </c>
    </row>
    <row r="732" spans="1:10" x14ac:dyDescent="0.3">
      <c r="A732" t="s">
        <v>1030</v>
      </c>
      <c r="B732" t="s">
        <v>479</v>
      </c>
      <c r="C732" t="s">
        <v>31</v>
      </c>
      <c r="D732" t="s">
        <v>32</v>
      </c>
      <c r="F732">
        <v>317</v>
      </c>
      <c r="G732">
        <v>0</v>
      </c>
      <c r="H732">
        <v>317</v>
      </c>
      <c r="J732" t="s">
        <v>14</v>
      </c>
    </row>
    <row r="733" spans="1:10" x14ac:dyDescent="0.3">
      <c r="A733" t="s">
        <v>1031</v>
      </c>
      <c r="B733" t="s">
        <v>177</v>
      </c>
      <c r="C733" t="s">
        <v>31</v>
      </c>
      <c r="D733" t="s">
        <v>13</v>
      </c>
      <c r="E733" t="s">
        <v>58</v>
      </c>
      <c r="F733">
        <v>183</v>
      </c>
      <c r="G733">
        <v>0</v>
      </c>
      <c r="H733">
        <v>183</v>
      </c>
      <c r="I733">
        <v>2252</v>
      </c>
      <c r="J733" t="s">
        <v>14</v>
      </c>
    </row>
    <row r="734" spans="1:10" x14ac:dyDescent="0.3">
      <c r="A734" t="s">
        <v>1032</v>
      </c>
      <c r="B734" t="s">
        <v>34</v>
      </c>
      <c r="C734" t="s">
        <v>24</v>
      </c>
      <c r="D734" t="s">
        <v>32</v>
      </c>
      <c r="F734">
        <v>496</v>
      </c>
      <c r="G734">
        <v>0</v>
      </c>
      <c r="H734">
        <v>496</v>
      </c>
      <c r="I734">
        <v>110</v>
      </c>
      <c r="J734" t="s">
        <v>46</v>
      </c>
    </row>
    <row r="735" spans="1:10" x14ac:dyDescent="0.3">
      <c r="A735" t="s">
        <v>1033</v>
      </c>
      <c r="B735" t="s">
        <v>243</v>
      </c>
      <c r="C735" t="s">
        <v>28</v>
      </c>
      <c r="D735" t="s">
        <v>13</v>
      </c>
      <c r="E735" s="1">
        <v>46063</v>
      </c>
      <c r="F735">
        <v>310</v>
      </c>
      <c r="G735">
        <v>244</v>
      </c>
      <c r="H735">
        <v>66</v>
      </c>
      <c r="I735">
        <v>890</v>
      </c>
      <c r="J735" t="s">
        <v>14</v>
      </c>
    </row>
    <row r="736" spans="1:10" x14ac:dyDescent="0.3">
      <c r="A736" t="s">
        <v>1034</v>
      </c>
      <c r="B736" t="s">
        <v>1035</v>
      </c>
      <c r="C736" t="s">
        <v>31</v>
      </c>
      <c r="D736" t="s">
        <v>36</v>
      </c>
      <c r="E736" s="1">
        <v>46237</v>
      </c>
      <c r="F736">
        <v>282</v>
      </c>
      <c r="G736">
        <v>38</v>
      </c>
      <c r="H736" t="s">
        <v>58</v>
      </c>
      <c r="I736">
        <v>831</v>
      </c>
      <c r="J736" t="s">
        <v>14</v>
      </c>
    </row>
    <row r="737" spans="1:10" x14ac:dyDescent="0.3">
      <c r="A737" t="s">
        <v>1036</v>
      </c>
      <c r="B737" t="s">
        <v>308</v>
      </c>
      <c r="C737" t="s">
        <v>12</v>
      </c>
      <c r="D737" t="s">
        <v>32</v>
      </c>
      <c r="E737" s="1">
        <v>46021</v>
      </c>
      <c r="F737">
        <v>316</v>
      </c>
      <c r="G737">
        <v>118</v>
      </c>
      <c r="H737">
        <v>198</v>
      </c>
      <c r="I737" t="s">
        <v>1037</v>
      </c>
      <c r="J737" t="s">
        <v>14</v>
      </c>
    </row>
    <row r="738" spans="1:10" x14ac:dyDescent="0.3">
      <c r="A738" t="s">
        <v>1038</v>
      </c>
      <c r="B738" t="s">
        <v>189</v>
      </c>
      <c r="C738" t="s">
        <v>42</v>
      </c>
      <c r="D738" t="s">
        <v>13</v>
      </c>
      <c r="F738">
        <v>248</v>
      </c>
      <c r="G738">
        <v>0</v>
      </c>
      <c r="H738">
        <v>248</v>
      </c>
      <c r="I738">
        <v>494</v>
      </c>
      <c r="J738" t="s">
        <v>14</v>
      </c>
    </row>
    <row r="739" spans="1:10" x14ac:dyDescent="0.3">
      <c r="A739" t="s">
        <v>1039</v>
      </c>
      <c r="B739" t="s">
        <v>187</v>
      </c>
      <c r="C739" t="s">
        <v>12</v>
      </c>
      <c r="D739" t="s">
        <v>21</v>
      </c>
      <c r="E739" s="1">
        <v>46018</v>
      </c>
      <c r="F739">
        <v>87</v>
      </c>
      <c r="G739">
        <v>30</v>
      </c>
      <c r="H739">
        <v>57</v>
      </c>
      <c r="I739">
        <v>2076</v>
      </c>
      <c r="J739" t="s">
        <v>17</v>
      </c>
    </row>
    <row r="740" spans="1:10" x14ac:dyDescent="0.3">
      <c r="A740" t="s">
        <v>1040</v>
      </c>
      <c r="B740" t="s">
        <v>1041</v>
      </c>
      <c r="C740" t="s">
        <v>279</v>
      </c>
      <c r="D740" t="s">
        <v>13</v>
      </c>
      <c r="F740">
        <v>297</v>
      </c>
      <c r="G740">
        <v>0</v>
      </c>
      <c r="H740">
        <v>297</v>
      </c>
      <c r="I740">
        <v>378</v>
      </c>
      <c r="J740" t="s">
        <v>46</v>
      </c>
    </row>
    <row r="741" spans="1:10" x14ac:dyDescent="0.3">
      <c r="A741" t="s">
        <v>1042</v>
      </c>
      <c r="B741" t="s">
        <v>315</v>
      </c>
      <c r="C741" t="s">
        <v>49</v>
      </c>
      <c r="D741" t="s">
        <v>32</v>
      </c>
      <c r="F741">
        <v>462</v>
      </c>
      <c r="G741">
        <v>0</v>
      </c>
      <c r="H741">
        <v>462</v>
      </c>
      <c r="I741" t="s">
        <v>1043</v>
      </c>
      <c r="J741" t="s">
        <v>127</v>
      </c>
    </row>
    <row r="742" spans="1:10" x14ac:dyDescent="0.3">
      <c r="A742" t="s">
        <v>1044</v>
      </c>
      <c r="B742" t="s">
        <v>511</v>
      </c>
      <c r="C742" t="s">
        <v>31</v>
      </c>
      <c r="D742" t="s">
        <v>318</v>
      </c>
      <c r="E742" s="1">
        <v>46201</v>
      </c>
      <c r="F742">
        <v>230</v>
      </c>
      <c r="G742">
        <v>28</v>
      </c>
      <c r="H742">
        <v>202</v>
      </c>
      <c r="I742">
        <v>1169</v>
      </c>
      <c r="J742" t="s">
        <v>14</v>
      </c>
    </row>
    <row r="743" spans="1:10" x14ac:dyDescent="0.3">
      <c r="A743" t="s">
        <v>812</v>
      </c>
      <c r="B743" t="s">
        <v>415</v>
      </c>
      <c r="C743" t="s">
        <v>31</v>
      </c>
      <c r="D743" t="s">
        <v>36</v>
      </c>
      <c r="F743">
        <v>404</v>
      </c>
      <c r="G743">
        <v>0</v>
      </c>
      <c r="H743">
        <v>404</v>
      </c>
      <c r="I743" t="s">
        <v>813</v>
      </c>
      <c r="J743" t="s">
        <v>14</v>
      </c>
    </row>
    <row r="744" spans="1:10" x14ac:dyDescent="0.3">
      <c r="A744" t="s">
        <v>1045</v>
      </c>
      <c r="B744" t="s">
        <v>184</v>
      </c>
      <c r="C744" t="s">
        <v>31</v>
      </c>
      <c r="D744" t="s">
        <v>32</v>
      </c>
      <c r="E744" s="1">
        <v>46255</v>
      </c>
      <c r="F744" t="s">
        <v>58</v>
      </c>
      <c r="G744">
        <v>419</v>
      </c>
      <c r="H744">
        <v>24</v>
      </c>
      <c r="I744">
        <v>2401</v>
      </c>
      <c r="J744" t="s">
        <v>17</v>
      </c>
    </row>
    <row r="745" spans="1:10" x14ac:dyDescent="0.3">
      <c r="A745" t="s">
        <v>1046</v>
      </c>
      <c r="B745" t="s">
        <v>11</v>
      </c>
      <c r="C745" t="s">
        <v>488</v>
      </c>
      <c r="D745" t="s">
        <v>21</v>
      </c>
      <c r="E745" s="1">
        <v>46026</v>
      </c>
      <c r="F745">
        <v>337</v>
      </c>
      <c r="G745">
        <v>254</v>
      </c>
      <c r="H745">
        <v>83</v>
      </c>
      <c r="I745">
        <v>212</v>
      </c>
      <c r="J745" t="s">
        <v>14</v>
      </c>
    </row>
    <row r="746" spans="1:10" x14ac:dyDescent="0.3">
      <c r="A746" t="s">
        <v>1047</v>
      </c>
      <c r="B746" t="s">
        <v>324</v>
      </c>
      <c r="C746" t="s">
        <v>31</v>
      </c>
      <c r="D746" t="s">
        <v>13</v>
      </c>
      <c r="E746" s="1">
        <v>46180</v>
      </c>
      <c r="F746">
        <v>280</v>
      </c>
      <c r="G746">
        <v>83</v>
      </c>
      <c r="H746">
        <v>197</v>
      </c>
      <c r="I746">
        <v>2268</v>
      </c>
      <c r="J746" t="s">
        <v>14</v>
      </c>
    </row>
    <row r="747" spans="1:10" x14ac:dyDescent="0.3">
      <c r="A747" t="s">
        <v>1048</v>
      </c>
      <c r="B747" t="s">
        <v>262</v>
      </c>
      <c r="C747" t="s">
        <v>12</v>
      </c>
      <c r="D747" t="s">
        <v>13</v>
      </c>
      <c r="E747" s="1">
        <v>46092</v>
      </c>
      <c r="F747">
        <v>290</v>
      </c>
      <c r="G747">
        <v>88</v>
      </c>
      <c r="H747">
        <v>202</v>
      </c>
      <c r="I747">
        <v>2565</v>
      </c>
      <c r="J747" t="s">
        <v>14</v>
      </c>
    </row>
    <row r="748" spans="1:10" x14ac:dyDescent="0.3">
      <c r="A748" t="s">
        <v>1049</v>
      </c>
      <c r="B748" t="s">
        <v>138</v>
      </c>
      <c r="C748" t="s">
        <v>31</v>
      </c>
      <c r="D748" t="s">
        <v>32</v>
      </c>
      <c r="E748" s="1">
        <v>46182</v>
      </c>
      <c r="F748">
        <v>450</v>
      </c>
      <c r="G748">
        <v>415</v>
      </c>
      <c r="H748">
        <v>35</v>
      </c>
      <c r="J748" t="s">
        <v>17</v>
      </c>
    </row>
    <row r="749" spans="1:10" x14ac:dyDescent="0.3">
      <c r="A749" t="s">
        <v>1050</v>
      </c>
      <c r="B749" t="s">
        <v>124</v>
      </c>
      <c r="C749" t="s">
        <v>279</v>
      </c>
      <c r="D749" t="s">
        <v>32</v>
      </c>
      <c r="E749" s="1">
        <v>46100</v>
      </c>
      <c r="F749">
        <v>199</v>
      </c>
      <c r="G749">
        <v>45</v>
      </c>
      <c r="H749" t="s">
        <v>58</v>
      </c>
      <c r="I749" t="s">
        <v>1051</v>
      </c>
      <c r="J749" t="s">
        <v>127</v>
      </c>
    </row>
    <row r="750" spans="1:10" x14ac:dyDescent="0.3">
      <c r="A750" t="s">
        <v>1052</v>
      </c>
      <c r="B750" t="s">
        <v>65</v>
      </c>
      <c r="C750" t="s">
        <v>49</v>
      </c>
      <c r="D750" t="s">
        <v>13</v>
      </c>
      <c r="E750" s="1">
        <v>46084</v>
      </c>
      <c r="F750">
        <v>175</v>
      </c>
      <c r="G750">
        <v>28</v>
      </c>
      <c r="H750">
        <v>147</v>
      </c>
      <c r="I750">
        <v>2806</v>
      </c>
      <c r="J750" t="s">
        <v>14</v>
      </c>
    </row>
    <row r="751" spans="1:10" x14ac:dyDescent="0.3">
      <c r="A751" t="s">
        <v>1053</v>
      </c>
      <c r="B751" t="s">
        <v>78</v>
      </c>
      <c r="C751" t="s">
        <v>35</v>
      </c>
      <c r="D751" t="s">
        <v>843</v>
      </c>
      <c r="E751" s="1">
        <v>46113</v>
      </c>
      <c r="G751">
        <v>113</v>
      </c>
      <c r="H751">
        <v>306</v>
      </c>
      <c r="I751">
        <v>1134</v>
      </c>
      <c r="J751" t="s">
        <v>46</v>
      </c>
    </row>
    <row r="752" spans="1:10" x14ac:dyDescent="0.3">
      <c r="A752" t="s">
        <v>1054</v>
      </c>
      <c r="B752" t="s">
        <v>308</v>
      </c>
      <c r="C752" t="s">
        <v>12</v>
      </c>
      <c r="D752" t="s">
        <v>36</v>
      </c>
      <c r="E752" s="1">
        <v>46116</v>
      </c>
      <c r="F752">
        <v>57</v>
      </c>
      <c r="G752">
        <v>17</v>
      </c>
      <c r="H752">
        <v>40</v>
      </c>
      <c r="I752">
        <v>185</v>
      </c>
      <c r="J752" t="s">
        <v>17</v>
      </c>
    </row>
    <row r="753" spans="1:10" x14ac:dyDescent="0.3">
      <c r="A753" t="s">
        <v>1055</v>
      </c>
      <c r="B753" t="s">
        <v>164</v>
      </c>
      <c r="C753" t="s">
        <v>42</v>
      </c>
      <c r="D753" t="s">
        <v>32</v>
      </c>
      <c r="E753" s="1">
        <v>46088</v>
      </c>
      <c r="F753">
        <v>445</v>
      </c>
      <c r="G753">
        <v>411</v>
      </c>
      <c r="H753">
        <v>34</v>
      </c>
      <c r="I753" t="s">
        <v>1056</v>
      </c>
      <c r="J753" t="s">
        <v>17</v>
      </c>
    </row>
    <row r="754" spans="1:10" x14ac:dyDescent="0.3">
      <c r="A754" t="s">
        <v>1057</v>
      </c>
      <c r="B754" t="s">
        <v>87</v>
      </c>
      <c r="C754" t="s">
        <v>28</v>
      </c>
      <c r="D754" t="s">
        <v>13</v>
      </c>
      <c r="E754" s="1">
        <v>46238</v>
      </c>
      <c r="F754">
        <v>336</v>
      </c>
      <c r="G754">
        <v>283</v>
      </c>
      <c r="H754">
        <v>53</v>
      </c>
      <c r="I754">
        <v>1597</v>
      </c>
      <c r="J754" t="s">
        <v>17</v>
      </c>
    </row>
    <row r="755" spans="1:10" x14ac:dyDescent="0.3">
      <c r="A755" t="s">
        <v>1058</v>
      </c>
      <c r="B755" t="s">
        <v>224</v>
      </c>
      <c r="C755" t="s">
        <v>49</v>
      </c>
      <c r="D755" t="s">
        <v>21</v>
      </c>
      <c r="F755">
        <v>63</v>
      </c>
      <c r="G755">
        <v>0</v>
      </c>
      <c r="H755">
        <v>63</v>
      </c>
      <c r="I755">
        <v>2933</v>
      </c>
      <c r="J755" t="s">
        <v>14</v>
      </c>
    </row>
    <row r="756" spans="1:10" x14ac:dyDescent="0.3">
      <c r="A756" t="s">
        <v>1059</v>
      </c>
      <c r="B756" t="s">
        <v>1060</v>
      </c>
      <c r="C756" t="s">
        <v>28</v>
      </c>
      <c r="D756" t="s">
        <v>475</v>
      </c>
      <c r="F756">
        <v>386</v>
      </c>
      <c r="G756">
        <v>0</v>
      </c>
      <c r="H756">
        <v>386</v>
      </c>
      <c r="I756">
        <v>2093</v>
      </c>
      <c r="J756" t="s">
        <v>14</v>
      </c>
    </row>
    <row r="757" spans="1:10" x14ac:dyDescent="0.3">
      <c r="A757" t="s">
        <v>1061</v>
      </c>
      <c r="B757" t="s">
        <v>198</v>
      </c>
      <c r="C757" t="s">
        <v>31</v>
      </c>
      <c r="D757" t="s">
        <v>36</v>
      </c>
      <c r="E757" s="1">
        <v>46134</v>
      </c>
      <c r="F757">
        <v>260</v>
      </c>
      <c r="G757">
        <v>78</v>
      </c>
      <c r="H757">
        <v>182</v>
      </c>
      <c r="I757">
        <v>1593</v>
      </c>
      <c r="J757" t="s">
        <v>14</v>
      </c>
    </row>
    <row r="758" spans="1:10" x14ac:dyDescent="0.3">
      <c r="A758" t="s">
        <v>1062</v>
      </c>
      <c r="B758" t="s">
        <v>84</v>
      </c>
      <c r="C758" t="s">
        <v>279</v>
      </c>
      <c r="D758" t="s">
        <v>21</v>
      </c>
      <c r="F758">
        <v>125</v>
      </c>
      <c r="G758">
        <v>0</v>
      </c>
      <c r="H758">
        <v>125</v>
      </c>
      <c r="I758">
        <v>1537</v>
      </c>
      <c r="J758" t="s">
        <v>14</v>
      </c>
    </row>
    <row r="759" spans="1:10" x14ac:dyDescent="0.3">
      <c r="A759" t="s">
        <v>1063</v>
      </c>
      <c r="B759" t="s">
        <v>78</v>
      </c>
      <c r="C759" t="s">
        <v>35</v>
      </c>
      <c r="D759" t="s">
        <v>32</v>
      </c>
      <c r="E759" t="s">
        <v>58</v>
      </c>
      <c r="F759">
        <v>475</v>
      </c>
      <c r="G759">
        <v>0</v>
      </c>
      <c r="H759">
        <v>475</v>
      </c>
      <c r="I759" t="s">
        <v>1064</v>
      </c>
      <c r="J759" t="s">
        <v>14</v>
      </c>
    </row>
    <row r="760" spans="1:10" x14ac:dyDescent="0.3">
      <c r="A760" t="s">
        <v>709</v>
      </c>
      <c r="B760" t="s">
        <v>51</v>
      </c>
      <c r="C760" t="s">
        <v>74</v>
      </c>
      <c r="D760" t="s">
        <v>153</v>
      </c>
      <c r="E760" t="s">
        <v>58</v>
      </c>
      <c r="F760">
        <v>52</v>
      </c>
      <c r="G760">
        <v>0</v>
      </c>
      <c r="H760" t="s">
        <v>58</v>
      </c>
      <c r="I760">
        <v>218</v>
      </c>
      <c r="J760" t="s">
        <v>68</v>
      </c>
    </row>
    <row r="761" spans="1:10" x14ac:dyDescent="0.3">
      <c r="A761" t="s">
        <v>1065</v>
      </c>
      <c r="B761" t="s">
        <v>434</v>
      </c>
      <c r="C761" t="s">
        <v>31</v>
      </c>
      <c r="D761" t="s">
        <v>13</v>
      </c>
      <c r="E761" s="1">
        <v>46066</v>
      </c>
      <c r="F761">
        <v>203</v>
      </c>
      <c r="G761">
        <v>184</v>
      </c>
      <c r="H761">
        <v>19</v>
      </c>
      <c r="I761">
        <v>2132</v>
      </c>
      <c r="J761" t="s">
        <v>43</v>
      </c>
    </row>
    <row r="762" spans="1:10" x14ac:dyDescent="0.3">
      <c r="A762" t="s">
        <v>1066</v>
      </c>
      <c r="B762" t="s">
        <v>562</v>
      </c>
      <c r="C762" t="s">
        <v>35</v>
      </c>
      <c r="D762" t="s">
        <v>21</v>
      </c>
      <c r="E762" s="1">
        <v>46291</v>
      </c>
      <c r="F762">
        <v>193</v>
      </c>
      <c r="G762">
        <v>157</v>
      </c>
      <c r="H762">
        <v>36</v>
      </c>
      <c r="I762">
        <v>502</v>
      </c>
      <c r="J762" t="s">
        <v>17</v>
      </c>
    </row>
    <row r="763" spans="1:10" x14ac:dyDescent="0.3">
      <c r="A763" t="s">
        <v>1067</v>
      </c>
      <c r="B763" t="s">
        <v>200</v>
      </c>
      <c r="C763" t="s">
        <v>35</v>
      </c>
      <c r="D763" t="s">
        <v>13</v>
      </c>
      <c r="E763" t="s">
        <v>58</v>
      </c>
      <c r="F763">
        <v>317</v>
      </c>
      <c r="G763">
        <v>-5</v>
      </c>
      <c r="H763">
        <v>317</v>
      </c>
      <c r="I763">
        <v>1040</v>
      </c>
      <c r="J763" t="s">
        <v>14</v>
      </c>
    </row>
    <row r="764" spans="1:10" x14ac:dyDescent="0.3">
      <c r="A764" t="s">
        <v>1068</v>
      </c>
      <c r="B764" t="s">
        <v>308</v>
      </c>
      <c r="C764" t="s">
        <v>12</v>
      </c>
      <c r="D764" t="s">
        <v>475</v>
      </c>
      <c r="E764" s="1">
        <v>46047</v>
      </c>
      <c r="F764">
        <v>82</v>
      </c>
      <c r="G764">
        <v>76</v>
      </c>
      <c r="H764">
        <v>6</v>
      </c>
      <c r="I764">
        <v>1854</v>
      </c>
      <c r="J764" t="s">
        <v>17</v>
      </c>
    </row>
    <row r="765" spans="1:10" x14ac:dyDescent="0.3">
      <c r="A765" t="s">
        <v>1069</v>
      </c>
      <c r="B765" t="s">
        <v>39</v>
      </c>
      <c r="C765" t="s">
        <v>28</v>
      </c>
      <c r="D765" t="s">
        <v>21</v>
      </c>
      <c r="E765" s="1">
        <v>46081</v>
      </c>
      <c r="F765">
        <v>302</v>
      </c>
      <c r="G765">
        <v>277</v>
      </c>
      <c r="H765">
        <v>25</v>
      </c>
      <c r="I765">
        <v>1491</v>
      </c>
      <c r="J765" t="s">
        <v>43</v>
      </c>
    </row>
    <row r="766" spans="1:10" x14ac:dyDescent="0.3">
      <c r="A766" t="s">
        <v>1070</v>
      </c>
      <c r="B766" t="s">
        <v>23</v>
      </c>
      <c r="C766" t="s">
        <v>24</v>
      </c>
      <c r="D766" t="s">
        <v>21</v>
      </c>
      <c r="E766" s="1">
        <v>46127</v>
      </c>
      <c r="F766">
        <v>299</v>
      </c>
      <c r="G766">
        <v>47</v>
      </c>
      <c r="H766">
        <v>252</v>
      </c>
      <c r="I766">
        <v>1183</v>
      </c>
      <c r="J766" t="s">
        <v>14</v>
      </c>
    </row>
    <row r="767" spans="1:10" x14ac:dyDescent="0.3">
      <c r="A767" t="s">
        <v>1071</v>
      </c>
      <c r="B767" t="s">
        <v>1072</v>
      </c>
      <c r="C767" t="s">
        <v>35</v>
      </c>
      <c r="D767" t="s">
        <v>36</v>
      </c>
      <c r="F767">
        <v>203</v>
      </c>
      <c r="G767">
        <v>0</v>
      </c>
      <c r="H767">
        <v>203</v>
      </c>
      <c r="I767">
        <v>2465</v>
      </c>
      <c r="J767" t="s">
        <v>14</v>
      </c>
    </row>
    <row r="768" spans="1:10" x14ac:dyDescent="0.3">
      <c r="A768" t="s">
        <v>1073</v>
      </c>
      <c r="B768" t="s">
        <v>243</v>
      </c>
      <c r="C768" t="s">
        <v>28</v>
      </c>
      <c r="D768" t="s">
        <v>475</v>
      </c>
      <c r="E768" s="1">
        <v>46055</v>
      </c>
      <c r="F768">
        <v>276</v>
      </c>
      <c r="G768">
        <v>93</v>
      </c>
      <c r="H768">
        <v>183</v>
      </c>
      <c r="I768">
        <v>1173</v>
      </c>
      <c r="J768" t="s">
        <v>14</v>
      </c>
    </row>
    <row r="769" spans="1:10" x14ac:dyDescent="0.3">
      <c r="A769" t="s">
        <v>1074</v>
      </c>
      <c r="B769" t="s">
        <v>158</v>
      </c>
      <c r="C769" t="s">
        <v>31</v>
      </c>
      <c r="D769" t="s">
        <v>435</v>
      </c>
      <c r="E769" t="s">
        <v>58</v>
      </c>
      <c r="F769">
        <v>99</v>
      </c>
      <c r="G769">
        <v>0</v>
      </c>
      <c r="H769">
        <v>99</v>
      </c>
      <c r="I769" t="s">
        <v>1056</v>
      </c>
      <c r="J769" t="s">
        <v>14</v>
      </c>
    </row>
    <row r="770" spans="1:10" x14ac:dyDescent="0.3">
      <c r="A770" t="s">
        <v>1075</v>
      </c>
      <c r="B770" t="s">
        <v>78</v>
      </c>
      <c r="C770" t="s">
        <v>35</v>
      </c>
      <c r="D770" t="s">
        <v>32</v>
      </c>
      <c r="E770" t="s">
        <v>58</v>
      </c>
      <c r="F770">
        <v>372</v>
      </c>
      <c r="G770">
        <v>0</v>
      </c>
      <c r="H770">
        <v>372</v>
      </c>
      <c r="I770" t="s">
        <v>1076</v>
      </c>
      <c r="J770" t="s">
        <v>14</v>
      </c>
    </row>
    <row r="771" spans="1:10" x14ac:dyDescent="0.3">
      <c r="A771" t="s">
        <v>1077</v>
      </c>
      <c r="B771" t="s">
        <v>19</v>
      </c>
      <c r="C771" t="s">
        <v>28</v>
      </c>
      <c r="D771" t="s">
        <v>32</v>
      </c>
      <c r="E771" s="1">
        <v>46192</v>
      </c>
      <c r="F771">
        <v>74</v>
      </c>
      <c r="G771">
        <v>61</v>
      </c>
      <c r="H771">
        <v>13</v>
      </c>
      <c r="I771">
        <v>265</v>
      </c>
      <c r="J771" t="s">
        <v>17</v>
      </c>
    </row>
    <row r="772" spans="1:10" x14ac:dyDescent="0.3">
      <c r="A772" t="s">
        <v>1078</v>
      </c>
      <c r="B772" t="s">
        <v>105</v>
      </c>
      <c r="C772" t="s">
        <v>28</v>
      </c>
      <c r="D772" t="s">
        <v>13</v>
      </c>
      <c r="E772" s="1">
        <v>46166</v>
      </c>
      <c r="F772">
        <v>101</v>
      </c>
      <c r="G772">
        <v>90</v>
      </c>
      <c r="H772">
        <v>11</v>
      </c>
      <c r="I772">
        <v>1134</v>
      </c>
      <c r="J772" t="s">
        <v>58</v>
      </c>
    </row>
    <row r="773" spans="1:10" x14ac:dyDescent="0.3">
      <c r="A773" t="s">
        <v>1079</v>
      </c>
      <c r="B773" t="s">
        <v>200</v>
      </c>
      <c r="C773" t="s">
        <v>35</v>
      </c>
      <c r="D773" t="s">
        <v>21</v>
      </c>
      <c r="F773">
        <v>392</v>
      </c>
      <c r="G773">
        <v>0</v>
      </c>
      <c r="H773">
        <v>392</v>
      </c>
      <c r="I773">
        <v>157</v>
      </c>
      <c r="J773" t="s">
        <v>14</v>
      </c>
    </row>
    <row r="774" spans="1:10" x14ac:dyDescent="0.3">
      <c r="A774" t="s">
        <v>1080</v>
      </c>
      <c r="B774" t="s">
        <v>11</v>
      </c>
      <c r="C774" t="s">
        <v>12</v>
      </c>
      <c r="D774" t="s">
        <v>32</v>
      </c>
      <c r="F774">
        <v>334</v>
      </c>
      <c r="G774">
        <v>0</v>
      </c>
      <c r="H774">
        <v>334</v>
      </c>
      <c r="I774">
        <v>2072</v>
      </c>
      <c r="J774" t="s">
        <v>14</v>
      </c>
    </row>
    <row r="775" spans="1:10" x14ac:dyDescent="0.3">
      <c r="A775" t="s">
        <v>1081</v>
      </c>
      <c r="B775" t="s">
        <v>224</v>
      </c>
      <c r="C775" t="s">
        <v>49</v>
      </c>
      <c r="D775" t="s">
        <v>13</v>
      </c>
      <c r="E775" t="s">
        <v>58</v>
      </c>
      <c r="F775">
        <v>156</v>
      </c>
      <c r="G775">
        <v>0</v>
      </c>
      <c r="H775">
        <v>156</v>
      </c>
      <c r="I775">
        <v>2489</v>
      </c>
      <c r="J775" t="s">
        <v>14</v>
      </c>
    </row>
    <row r="776" spans="1:10" x14ac:dyDescent="0.3">
      <c r="A776" t="s">
        <v>1082</v>
      </c>
      <c r="B776" t="s">
        <v>479</v>
      </c>
      <c r="C776" t="s">
        <v>139</v>
      </c>
      <c r="D776" t="s">
        <v>21</v>
      </c>
      <c r="E776" s="1">
        <v>46245</v>
      </c>
      <c r="F776">
        <v>87</v>
      </c>
      <c r="G776">
        <v>21</v>
      </c>
      <c r="H776">
        <v>66</v>
      </c>
      <c r="I776">
        <v>1870</v>
      </c>
      <c r="J776" t="s">
        <v>46</v>
      </c>
    </row>
    <row r="777" spans="1:10" x14ac:dyDescent="0.3">
      <c r="A777" t="s">
        <v>830</v>
      </c>
      <c r="B777" t="s">
        <v>39</v>
      </c>
      <c r="C777" t="s">
        <v>28</v>
      </c>
      <c r="D777" t="s">
        <v>695</v>
      </c>
      <c r="F777">
        <v>366</v>
      </c>
      <c r="G777">
        <v>0</v>
      </c>
      <c r="H777">
        <v>366</v>
      </c>
      <c r="I777">
        <v>77</v>
      </c>
      <c r="J777" t="s">
        <v>14</v>
      </c>
    </row>
    <row r="778" spans="1:10" x14ac:dyDescent="0.3">
      <c r="A778" t="s">
        <v>1083</v>
      </c>
      <c r="B778" t="s">
        <v>136</v>
      </c>
      <c r="C778" t="s">
        <v>35</v>
      </c>
      <c r="D778" t="s">
        <v>695</v>
      </c>
      <c r="E778" s="1">
        <v>46147</v>
      </c>
      <c r="F778">
        <v>200</v>
      </c>
      <c r="G778">
        <v>153</v>
      </c>
      <c r="H778">
        <v>47</v>
      </c>
      <c r="I778">
        <v>1028</v>
      </c>
      <c r="J778" t="s">
        <v>68</v>
      </c>
    </row>
    <row r="779" spans="1:10" x14ac:dyDescent="0.3">
      <c r="A779" t="s">
        <v>1084</v>
      </c>
      <c r="B779" t="s">
        <v>240</v>
      </c>
      <c r="C779" t="s">
        <v>49</v>
      </c>
      <c r="D779" t="s">
        <v>13</v>
      </c>
      <c r="E779" s="1">
        <v>46206</v>
      </c>
      <c r="F779">
        <v>383</v>
      </c>
      <c r="G779">
        <v>129</v>
      </c>
      <c r="H779">
        <v>254</v>
      </c>
      <c r="I779">
        <v>889</v>
      </c>
      <c r="J779" t="s">
        <v>14</v>
      </c>
    </row>
    <row r="780" spans="1:10" x14ac:dyDescent="0.3">
      <c r="A780" t="s">
        <v>1085</v>
      </c>
      <c r="B780" t="s">
        <v>87</v>
      </c>
      <c r="C780" t="s">
        <v>418</v>
      </c>
      <c r="D780" t="s">
        <v>36</v>
      </c>
      <c r="E780" s="1">
        <v>46063</v>
      </c>
      <c r="F780">
        <v>297</v>
      </c>
      <c r="G780">
        <v>259</v>
      </c>
      <c r="H780">
        <v>38</v>
      </c>
      <c r="I780">
        <v>1498</v>
      </c>
      <c r="J780" t="s">
        <v>17</v>
      </c>
    </row>
    <row r="781" spans="1:10" x14ac:dyDescent="0.3">
      <c r="A781" t="s">
        <v>1086</v>
      </c>
      <c r="B781" t="s">
        <v>507</v>
      </c>
      <c r="C781" t="s">
        <v>28</v>
      </c>
      <c r="D781" t="s">
        <v>13</v>
      </c>
      <c r="E781" s="1">
        <v>46187</v>
      </c>
      <c r="F781">
        <v>354</v>
      </c>
      <c r="G781">
        <v>294</v>
      </c>
      <c r="H781">
        <v>60</v>
      </c>
      <c r="I781" t="s">
        <v>1087</v>
      </c>
      <c r="J781" t="s">
        <v>85</v>
      </c>
    </row>
    <row r="782" spans="1:10" x14ac:dyDescent="0.3">
      <c r="A782" t="s">
        <v>1088</v>
      </c>
      <c r="B782" t="s">
        <v>131</v>
      </c>
      <c r="C782" t="s">
        <v>49</v>
      </c>
      <c r="D782" t="s">
        <v>13</v>
      </c>
      <c r="E782" t="s">
        <v>58</v>
      </c>
      <c r="F782">
        <v>157</v>
      </c>
      <c r="G782">
        <v>0</v>
      </c>
      <c r="H782">
        <v>157</v>
      </c>
      <c r="I782">
        <v>1638</v>
      </c>
      <c r="J782" t="s">
        <v>14</v>
      </c>
    </row>
    <row r="783" spans="1:10" x14ac:dyDescent="0.3">
      <c r="A783" t="s">
        <v>1089</v>
      </c>
      <c r="B783" t="s">
        <v>27</v>
      </c>
      <c r="C783" t="s">
        <v>28</v>
      </c>
      <c r="D783" t="s">
        <v>13</v>
      </c>
      <c r="E783" s="1">
        <v>46061</v>
      </c>
      <c r="F783">
        <v>149</v>
      </c>
      <c r="G783">
        <v>24</v>
      </c>
      <c r="H783">
        <v>125</v>
      </c>
      <c r="I783">
        <v>746</v>
      </c>
      <c r="J783" t="s">
        <v>14</v>
      </c>
    </row>
    <row r="784" spans="1:10" x14ac:dyDescent="0.3">
      <c r="A784" t="s">
        <v>1090</v>
      </c>
      <c r="B784" t="s">
        <v>177</v>
      </c>
      <c r="C784" t="s">
        <v>31</v>
      </c>
      <c r="D784" t="s">
        <v>32</v>
      </c>
      <c r="E784" s="1">
        <v>46289</v>
      </c>
      <c r="F784">
        <v>322</v>
      </c>
      <c r="G784">
        <v>321</v>
      </c>
      <c r="H784">
        <v>1</v>
      </c>
      <c r="I784">
        <v>1442</v>
      </c>
      <c r="J784" t="s">
        <v>17</v>
      </c>
    </row>
    <row r="785" spans="1:10" x14ac:dyDescent="0.3">
      <c r="A785" t="s">
        <v>1091</v>
      </c>
      <c r="B785" t="s">
        <v>95</v>
      </c>
      <c r="C785" t="s">
        <v>31</v>
      </c>
      <c r="D785" t="s">
        <v>63</v>
      </c>
      <c r="E785" s="1">
        <v>46177</v>
      </c>
      <c r="F785">
        <v>400</v>
      </c>
      <c r="G785">
        <v>393</v>
      </c>
      <c r="H785">
        <v>7</v>
      </c>
      <c r="I785">
        <v>779</v>
      </c>
      <c r="J785" t="s">
        <v>17</v>
      </c>
    </row>
    <row r="786" spans="1:10" x14ac:dyDescent="0.3">
      <c r="A786" t="s">
        <v>1092</v>
      </c>
      <c r="B786" t="s">
        <v>1093</v>
      </c>
      <c r="C786" t="s">
        <v>20</v>
      </c>
      <c r="D786" t="s">
        <v>118</v>
      </c>
      <c r="E786" s="1">
        <v>46086</v>
      </c>
      <c r="F786">
        <v>440</v>
      </c>
      <c r="G786">
        <v>57</v>
      </c>
      <c r="H786">
        <v>383</v>
      </c>
      <c r="I786">
        <v>1722</v>
      </c>
      <c r="J786" t="s">
        <v>14</v>
      </c>
    </row>
    <row r="787" spans="1:10" x14ac:dyDescent="0.3">
      <c r="A787" t="s">
        <v>1094</v>
      </c>
      <c r="B787" t="s">
        <v>422</v>
      </c>
      <c r="C787" t="s">
        <v>12</v>
      </c>
      <c r="D787" t="s">
        <v>13</v>
      </c>
      <c r="E787" s="1">
        <v>46287</v>
      </c>
      <c r="F787">
        <v>74</v>
      </c>
      <c r="G787">
        <v>4</v>
      </c>
      <c r="H787">
        <v>70</v>
      </c>
      <c r="I787">
        <v>2726</v>
      </c>
      <c r="J787" t="s">
        <v>127</v>
      </c>
    </row>
    <row r="788" spans="1:10" x14ac:dyDescent="0.3">
      <c r="A788" t="s">
        <v>1095</v>
      </c>
      <c r="B788" t="s">
        <v>89</v>
      </c>
      <c r="C788" t="s">
        <v>49</v>
      </c>
      <c r="D788" t="s">
        <v>13</v>
      </c>
      <c r="E788" s="1">
        <v>46026</v>
      </c>
      <c r="F788">
        <v>343</v>
      </c>
      <c r="G788">
        <v>28</v>
      </c>
      <c r="H788">
        <v>315</v>
      </c>
      <c r="I788">
        <v>2626</v>
      </c>
      <c r="J788" t="s">
        <v>14</v>
      </c>
    </row>
    <row r="789" spans="1:10" x14ac:dyDescent="0.3">
      <c r="A789" t="s">
        <v>1096</v>
      </c>
      <c r="B789" t="s">
        <v>262</v>
      </c>
      <c r="C789" t="s">
        <v>12</v>
      </c>
      <c r="D789" t="s">
        <v>36</v>
      </c>
      <c r="E789" s="1">
        <v>46064</v>
      </c>
      <c r="F789" t="s">
        <v>58</v>
      </c>
      <c r="G789">
        <v>20</v>
      </c>
      <c r="H789">
        <v>45</v>
      </c>
      <c r="I789">
        <v>804</v>
      </c>
      <c r="J789" t="s">
        <v>17</v>
      </c>
    </row>
    <row r="790" spans="1:10" x14ac:dyDescent="0.3">
      <c r="A790" t="s">
        <v>1097</v>
      </c>
      <c r="B790" t="s">
        <v>551</v>
      </c>
      <c r="C790" t="s">
        <v>12</v>
      </c>
      <c r="D790" t="s">
        <v>32</v>
      </c>
      <c r="E790" s="1">
        <v>46257</v>
      </c>
      <c r="F790">
        <v>193</v>
      </c>
      <c r="G790">
        <v>171</v>
      </c>
      <c r="H790">
        <v>22</v>
      </c>
      <c r="I790">
        <v>2402</v>
      </c>
      <c r="J790" t="s">
        <v>17</v>
      </c>
    </row>
    <row r="791" spans="1:10" x14ac:dyDescent="0.3">
      <c r="A791" t="s">
        <v>1098</v>
      </c>
      <c r="B791" t="s">
        <v>136</v>
      </c>
      <c r="C791" t="s">
        <v>35</v>
      </c>
      <c r="D791" t="s">
        <v>21</v>
      </c>
      <c r="E791" s="1">
        <v>46214</v>
      </c>
      <c r="F791">
        <v>379</v>
      </c>
      <c r="G791">
        <v>129</v>
      </c>
      <c r="H791">
        <v>250</v>
      </c>
      <c r="I791" t="s">
        <v>1099</v>
      </c>
      <c r="J791" t="s">
        <v>14</v>
      </c>
    </row>
    <row r="792" spans="1:10" x14ac:dyDescent="0.3">
      <c r="A792" t="s">
        <v>1100</v>
      </c>
      <c r="B792" t="s">
        <v>387</v>
      </c>
      <c r="C792" t="s">
        <v>12</v>
      </c>
      <c r="D792" t="s">
        <v>153</v>
      </c>
      <c r="F792">
        <v>449</v>
      </c>
      <c r="G792">
        <v>-5</v>
      </c>
      <c r="H792">
        <v>449</v>
      </c>
      <c r="I792">
        <v>1997</v>
      </c>
      <c r="J792" t="s">
        <v>14</v>
      </c>
    </row>
    <row r="793" spans="1:10" x14ac:dyDescent="0.3">
      <c r="A793" t="s">
        <v>1101</v>
      </c>
      <c r="B793" t="s">
        <v>499</v>
      </c>
      <c r="C793" t="s">
        <v>28</v>
      </c>
      <c r="D793" t="s">
        <v>300</v>
      </c>
      <c r="E793" s="1">
        <v>46122</v>
      </c>
      <c r="F793">
        <v>336</v>
      </c>
      <c r="G793">
        <v>278</v>
      </c>
      <c r="H793">
        <v>58</v>
      </c>
      <c r="I793">
        <v>1990</v>
      </c>
      <c r="J793" t="s">
        <v>17</v>
      </c>
    </row>
    <row r="794" spans="1:10" x14ac:dyDescent="0.3">
      <c r="A794" t="s">
        <v>1102</v>
      </c>
      <c r="B794" t="s">
        <v>1103</v>
      </c>
      <c r="C794" t="s">
        <v>35</v>
      </c>
      <c r="D794" t="s">
        <v>843</v>
      </c>
      <c r="F794">
        <v>81</v>
      </c>
      <c r="G794">
        <v>-5</v>
      </c>
      <c r="H794">
        <v>81</v>
      </c>
      <c r="I794" t="s">
        <v>1104</v>
      </c>
      <c r="J794" t="s">
        <v>14</v>
      </c>
    </row>
    <row r="795" spans="1:10" x14ac:dyDescent="0.3">
      <c r="A795" t="s">
        <v>1105</v>
      </c>
      <c r="B795" t="s">
        <v>23</v>
      </c>
      <c r="C795" t="s">
        <v>35</v>
      </c>
      <c r="D795" t="s">
        <v>21</v>
      </c>
      <c r="E795" s="1">
        <v>46021</v>
      </c>
      <c r="F795">
        <v>427</v>
      </c>
      <c r="G795">
        <v>49</v>
      </c>
      <c r="H795">
        <v>378</v>
      </c>
      <c r="I795" t="s">
        <v>1106</v>
      </c>
      <c r="J795" t="s">
        <v>46</v>
      </c>
    </row>
    <row r="796" spans="1:10" x14ac:dyDescent="0.3">
      <c r="A796" t="s">
        <v>1107</v>
      </c>
      <c r="B796" t="s">
        <v>551</v>
      </c>
      <c r="C796" t="s">
        <v>12</v>
      </c>
      <c r="D796" t="s">
        <v>435</v>
      </c>
      <c r="F796">
        <v>89</v>
      </c>
      <c r="G796">
        <v>0</v>
      </c>
      <c r="H796">
        <v>89</v>
      </c>
      <c r="I796">
        <v>2588</v>
      </c>
      <c r="J796" t="s">
        <v>14</v>
      </c>
    </row>
    <row r="797" spans="1:10" x14ac:dyDescent="0.3">
      <c r="A797" t="s">
        <v>1108</v>
      </c>
      <c r="B797" t="s">
        <v>1109</v>
      </c>
      <c r="C797" t="s">
        <v>35</v>
      </c>
      <c r="D797" t="s">
        <v>21</v>
      </c>
      <c r="F797">
        <v>372</v>
      </c>
      <c r="G797">
        <v>0</v>
      </c>
      <c r="H797">
        <v>372</v>
      </c>
      <c r="I797">
        <v>2283</v>
      </c>
      <c r="J797" t="s">
        <v>14</v>
      </c>
    </row>
    <row r="798" spans="1:10" x14ac:dyDescent="0.3">
      <c r="A798" t="s">
        <v>1110</v>
      </c>
      <c r="B798" t="s">
        <v>65</v>
      </c>
      <c r="C798" t="s">
        <v>49</v>
      </c>
      <c r="D798" t="s">
        <v>32</v>
      </c>
      <c r="E798" s="1">
        <v>46047</v>
      </c>
      <c r="F798">
        <v>259</v>
      </c>
      <c r="G798">
        <v>82</v>
      </c>
      <c r="H798">
        <v>177</v>
      </c>
      <c r="I798">
        <v>2046</v>
      </c>
      <c r="J798" t="s">
        <v>14</v>
      </c>
    </row>
    <row r="799" spans="1:10" x14ac:dyDescent="0.3">
      <c r="A799" t="s">
        <v>1111</v>
      </c>
      <c r="B799" t="s">
        <v>499</v>
      </c>
      <c r="C799" t="s">
        <v>28</v>
      </c>
      <c r="D799" t="s">
        <v>435</v>
      </c>
      <c r="F799">
        <v>218</v>
      </c>
      <c r="G799">
        <v>0</v>
      </c>
      <c r="H799">
        <v>218</v>
      </c>
      <c r="I799">
        <v>2998</v>
      </c>
      <c r="J799" t="s">
        <v>14</v>
      </c>
    </row>
    <row r="800" spans="1:10" x14ac:dyDescent="0.3">
      <c r="A800" t="s">
        <v>1112</v>
      </c>
      <c r="B800" t="s">
        <v>124</v>
      </c>
      <c r="C800" t="s">
        <v>28</v>
      </c>
      <c r="D800" t="s">
        <v>300</v>
      </c>
      <c r="E800" s="1">
        <v>46042</v>
      </c>
      <c r="F800">
        <v>289</v>
      </c>
      <c r="G800">
        <v>68</v>
      </c>
      <c r="H800">
        <v>221</v>
      </c>
      <c r="I800">
        <v>376</v>
      </c>
      <c r="J800" t="s">
        <v>14</v>
      </c>
    </row>
    <row r="801" spans="1:10" x14ac:dyDescent="0.3">
      <c r="A801" t="s">
        <v>1113</v>
      </c>
      <c r="B801" t="s">
        <v>200</v>
      </c>
      <c r="C801" t="s">
        <v>35</v>
      </c>
      <c r="D801" t="s">
        <v>32</v>
      </c>
      <c r="F801">
        <v>383</v>
      </c>
      <c r="G801">
        <v>0</v>
      </c>
      <c r="H801">
        <v>383</v>
      </c>
      <c r="I801">
        <v>905</v>
      </c>
      <c r="J801" t="s">
        <v>14</v>
      </c>
    </row>
    <row r="802" spans="1:10" x14ac:dyDescent="0.3">
      <c r="A802" t="s">
        <v>1114</v>
      </c>
      <c r="B802" t="s">
        <v>93</v>
      </c>
      <c r="C802" t="s">
        <v>12</v>
      </c>
      <c r="D802" t="s">
        <v>843</v>
      </c>
      <c r="E802" s="1">
        <v>46016</v>
      </c>
      <c r="F802">
        <v>212</v>
      </c>
      <c r="G802">
        <v>191</v>
      </c>
      <c r="H802">
        <v>21</v>
      </c>
      <c r="I802" t="s">
        <v>1115</v>
      </c>
      <c r="J802" t="s">
        <v>17</v>
      </c>
    </row>
    <row r="803" spans="1:10" x14ac:dyDescent="0.3">
      <c r="A803" t="s">
        <v>1116</v>
      </c>
      <c r="B803" t="s">
        <v>93</v>
      </c>
      <c r="C803" t="s">
        <v>12</v>
      </c>
      <c r="D803" t="s">
        <v>13</v>
      </c>
      <c r="E803" t="s">
        <v>58</v>
      </c>
      <c r="F803">
        <v>123</v>
      </c>
      <c r="G803">
        <v>0</v>
      </c>
      <c r="H803">
        <v>123</v>
      </c>
      <c r="I803">
        <v>1141</v>
      </c>
      <c r="J803" t="s">
        <v>14</v>
      </c>
    </row>
    <row r="804" spans="1:10" x14ac:dyDescent="0.3">
      <c r="A804" t="s">
        <v>1117</v>
      </c>
      <c r="B804" t="s">
        <v>87</v>
      </c>
      <c r="C804" t="s">
        <v>20</v>
      </c>
      <c r="D804" t="s">
        <v>21</v>
      </c>
      <c r="E804" s="1">
        <v>46105</v>
      </c>
      <c r="F804">
        <v>342</v>
      </c>
      <c r="G804">
        <v>297</v>
      </c>
      <c r="H804">
        <v>45</v>
      </c>
      <c r="I804">
        <v>2837</v>
      </c>
      <c r="J804" t="s">
        <v>43</v>
      </c>
    </row>
    <row r="805" spans="1:10" x14ac:dyDescent="0.3">
      <c r="A805" t="s">
        <v>1118</v>
      </c>
      <c r="B805" t="s">
        <v>714</v>
      </c>
      <c r="C805" t="s">
        <v>28</v>
      </c>
      <c r="D805" t="s">
        <v>32</v>
      </c>
      <c r="E805" s="1">
        <v>46214</v>
      </c>
      <c r="F805">
        <v>425</v>
      </c>
      <c r="G805">
        <v>106</v>
      </c>
      <c r="H805">
        <v>319</v>
      </c>
      <c r="I805">
        <v>1615</v>
      </c>
      <c r="J805" t="s">
        <v>14</v>
      </c>
    </row>
    <row r="806" spans="1:10" x14ac:dyDescent="0.3">
      <c r="A806" t="s">
        <v>1119</v>
      </c>
      <c r="B806" t="s">
        <v>16</v>
      </c>
      <c r="C806" t="s">
        <v>12</v>
      </c>
      <c r="D806" t="s">
        <v>32</v>
      </c>
      <c r="E806" s="1">
        <v>46193</v>
      </c>
      <c r="F806">
        <v>427</v>
      </c>
      <c r="G806">
        <v>310</v>
      </c>
      <c r="H806">
        <v>117</v>
      </c>
      <c r="I806">
        <v>1779</v>
      </c>
      <c r="J806" t="s">
        <v>14</v>
      </c>
    </row>
    <row r="807" spans="1:10" x14ac:dyDescent="0.3">
      <c r="A807" t="s">
        <v>1120</v>
      </c>
      <c r="B807" t="s">
        <v>71</v>
      </c>
      <c r="C807" t="s">
        <v>35</v>
      </c>
      <c r="D807" t="s">
        <v>36</v>
      </c>
      <c r="E807" s="1">
        <v>46195</v>
      </c>
      <c r="F807">
        <v>242</v>
      </c>
      <c r="G807">
        <v>198</v>
      </c>
      <c r="H807">
        <v>44</v>
      </c>
      <c r="I807">
        <v>2943</v>
      </c>
      <c r="J807" t="s">
        <v>17</v>
      </c>
    </row>
    <row r="808" spans="1:10" x14ac:dyDescent="0.3">
      <c r="A808" t="s">
        <v>1121</v>
      </c>
      <c r="B808" t="s">
        <v>198</v>
      </c>
      <c r="C808" t="s">
        <v>31</v>
      </c>
      <c r="D808" t="s">
        <v>21</v>
      </c>
      <c r="E808" s="1">
        <v>46223</v>
      </c>
      <c r="F808">
        <v>78</v>
      </c>
      <c r="G808">
        <v>58</v>
      </c>
      <c r="H808">
        <v>20</v>
      </c>
      <c r="I808">
        <v>204</v>
      </c>
      <c r="J808" t="s">
        <v>68</v>
      </c>
    </row>
    <row r="809" spans="1:10" x14ac:dyDescent="0.3">
      <c r="A809" t="s">
        <v>1122</v>
      </c>
      <c r="B809" t="s">
        <v>1123</v>
      </c>
      <c r="C809" t="s">
        <v>12</v>
      </c>
      <c r="D809" t="s">
        <v>32</v>
      </c>
      <c r="E809" s="1">
        <v>46093</v>
      </c>
      <c r="F809">
        <v>102</v>
      </c>
      <c r="G809">
        <v>85</v>
      </c>
      <c r="H809">
        <v>17</v>
      </c>
      <c r="I809" t="s">
        <v>1124</v>
      </c>
      <c r="J809" t="s">
        <v>17</v>
      </c>
    </row>
    <row r="810" spans="1:10" x14ac:dyDescent="0.3">
      <c r="A810" t="s">
        <v>1125</v>
      </c>
      <c r="B810" t="s">
        <v>101</v>
      </c>
      <c r="C810" t="s">
        <v>12</v>
      </c>
      <c r="D810" t="s">
        <v>21</v>
      </c>
      <c r="E810" s="1">
        <v>46015</v>
      </c>
      <c r="F810">
        <v>407</v>
      </c>
      <c r="G810">
        <v>371</v>
      </c>
      <c r="H810">
        <v>36</v>
      </c>
      <c r="I810">
        <v>2479</v>
      </c>
      <c r="J810" t="s">
        <v>17</v>
      </c>
    </row>
    <row r="811" spans="1:10" x14ac:dyDescent="0.3">
      <c r="A811" t="s">
        <v>1126</v>
      </c>
      <c r="B811" t="s">
        <v>1127</v>
      </c>
      <c r="C811" t="s">
        <v>35</v>
      </c>
      <c r="D811" t="s">
        <v>32</v>
      </c>
      <c r="E811" s="1">
        <v>46020</v>
      </c>
      <c r="F811">
        <v>291</v>
      </c>
      <c r="G811">
        <v>89</v>
      </c>
      <c r="H811">
        <v>202</v>
      </c>
      <c r="I811">
        <v>1511</v>
      </c>
      <c r="J811" t="s">
        <v>14</v>
      </c>
    </row>
    <row r="812" spans="1:10" x14ac:dyDescent="0.3">
      <c r="A812" t="s">
        <v>1128</v>
      </c>
      <c r="B812" t="s">
        <v>1129</v>
      </c>
      <c r="C812" t="s">
        <v>12</v>
      </c>
      <c r="D812" t="s">
        <v>13</v>
      </c>
      <c r="E812" t="s">
        <v>58</v>
      </c>
      <c r="F812">
        <v>154</v>
      </c>
      <c r="G812">
        <v>0</v>
      </c>
      <c r="H812">
        <v>154</v>
      </c>
      <c r="I812">
        <v>2822</v>
      </c>
      <c r="J812" t="s">
        <v>14</v>
      </c>
    </row>
    <row r="813" spans="1:10" x14ac:dyDescent="0.3">
      <c r="A813" t="s">
        <v>1130</v>
      </c>
      <c r="B813" t="s">
        <v>23</v>
      </c>
      <c r="C813" t="s">
        <v>35</v>
      </c>
      <c r="D813" t="s">
        <v>32</v>
      </c>
      <c r="E813" t="s">
        <v>58</v>
      </c>
      <c r="F813">
        <v>75</v>
      </c>
      <c r="G813">
        <v>0</v>
      </c>
      <c r="H813">
        <v>75</v>
      </c>
      <c r="I813">
        <v>2160</v>
      </c>
      <c r="J813" t="s">
        <v>14</v>
      </c>
    </row>
    <row r="814" spans="1:10" x14ac:dyDescent="0.3">
      <c r="A814" t="s">
        <v>1131</v>
      </c>
      <c r="B814" t="s">
        <v>236</v>
      </c>
      <c r="C814" t="s">
        <v>488</v>
      </c>
      <c r="D814" t="s">
        <v>13</v>
      </c>
      <c r="E814" s="1">
        <v>46075</v>
      </c>
      <c r="F814">
        <v>171</v>
      </c>
      <c r="G814">
        <v>38</v>
      </c>
      <c r="H814">
        <v>133</v>
      </c>
      <c r="I814">
        <v>56</v>
      </c>
      <c r="J814" t="s">
        <v>46</v>
      </c>
    </row>
    <row r="815" spans="1:10" x14ac:dyDescent="0.3">
      <c r="A815" t="s">
        <v>1132</v>
      </c>
      <c r="B815" t="s">
        <v>479</v>
      </c>
      <c r="C815" t="s">
        <v>31</v>
      </c>
      <c r="D815" t="s">
        <v>32</v>
      </c>
      <c r="E815" s="1">
        <v>46061</v>
      </c>
      <c r="F815">
        <v>97</v>
      </c>
      <c r="G815">
        <v>76</v>
      </c>
      <c r="H815">
        <v>21</v>
      </c>
      <c r="I815">
        <v>880</v>
      </c>
      <c r="J815" t="s">
        <v>17</v>
      </c>
    </row>
    <row r="816" spans="1:10" x14ac:dyDescent="0.3">
      <c r="A816" t="s">
        <v>1133</v>
      </c>
      <c r="B816" t="s">
        <v>78</v>
      </c>
      <c r="C816" t="s">
        <v>35</v>
      </c>
      <c r="D816" t="s">
        <v>13</v>
      </c>
      <c r="F816">
        <v>197</v>
      </c>
      <c r="G816">
        <v>0</v>
      </c>
      <c r="H816">
        <v>197</v>
      </c>
      <c r="I816" t="s">
        <v>1134</v>
      </c>
      <c r="J816" t="s">
        <v>14</v>
      </c>
    </row>
    <row r="817" spans="1:10" x14ac:dyDescent="0.3">
      <c r="A817" t="s">
        <v>575</v>
      </c>
      <c r="B817" t="s">
        <v>576</v>
      </c>
      <c r="C817" t="s">
        <v>103</v>
      </c>
      <c r="D817" t="s">
        <v>21</v>
      </c>
      <c r="F817">
        <v>133</v>
      </c>
      <c r="G817">
        <v>0</v>
      </c>
      <c r="H817">
        <v>133</v>
      </c>
      <c r="I817">
        <v>1793</v>
      </c>
      <c r="J817" t="s">
        <v>14</v>
      </c>
    </row>
    <row r="818" spans="1:10" x14ac:dyDescent="0.3">
      <c r="A818" t="s">
        <v>1135</v>
      </c>
      <c r="B818" t="s">
        <v>73</v>
      </c>
      <c r="C818" t="s">
        <v>49</v>
      </c>
      <c r="D818" t="s">
        <v>475</v>
      </c>
      <c r="E818" t="s">
        <v>58</v>
      </c>
      <c r="F818">
        <v>390</v>
      </c>
      <c r="G818">
        <v>0</v>
      </c>
      <c r="H818">
        <v>390</v>
      </c>
      <c r="I818">
        <v>656</v>
      </c>
      <c r="J818" t="s">
        <v>14</v>
      </c>
    </row>
    <row r="819" spans="1:10" x14ac:dyDescent="0.3">
      <c r="A819" t="s">
        <v>1136</v>
      </c>
      <c r="B819" t="s">
        <v>1137</v>
      </c>
      <c r="C819" t="s">
        <v>28</v>
      </c>
      <c r="D819" t="s">
        <v>475</v>
      </c>
      <c r="E819" s="1">
        <v>46252</v>
      </c>
      <c r="F819">
        <v>417</v>
      </c>
      <c r="G819">
        <v>29</v>
      </c>
      <c r="H819" t="s">
        <v>58</v>
      </c>
      <c r="I819">
        <v>2064</v>
      </c>
      <c r="J819" t="s">
        <v>46</v>
      </c>
    </row>
    <row r="820" spans="1:10" x14ac:dyDescent="0.3">
      <c r="A820" t="s">
        <v>1138</v>
      </c>
      <c r="B820" t="s">
        <v>131</v>
      </c>
      <c r="C820" t="s">
        <v>49</v>
      </c>
      <c r="D820" t="s">
        <v>21</v>
      </c>
      <c r="E820" s="1">
        <v>46116</v>
      </c>
      <c r="F820">
        <v>400</v>
      </c>
      <c r="G820">
        <v>298</v>
      </c>
      <c r="H820">
        <v>102</v>
      </c>
      <c r="I820" t="s">
        <v>1139</v>
      </c>
      <c r="J820" t="s">
        <v>14</v>
      </c>
    </row>
    <row r="821" spans="1:10" x14ac:dyDescent="0.3">
      <c r="A821" t="s">
        <v>1140</v>
      </c>
      <c r="B821" t="s">
        <v>422</v>
      </c>
      <c r="C821" t="s">
        <v>12</v>
      </c>
      <c r="D821" t="s">
        <v>13</v>
      </c>
      <c r="E821" s="1">
        <v>46144</v>
      </c>
      <c r="F821">
        <v>72</v>
      </c>
      <c r="G821">
        <v>53</v>
      </c>
      <c r="H821">
        <v>19</v>
      </c>
      <c r="I821">
        <v>1616</v>
      </c>
      <c r="J821" t="s">
        <v>17</v>
      </c>
    </row>
    <row r="822" spans="1:10" x14ac:dyDescent="0.3">
      <c r="A822" t="s">
        <v>1141</v>
      </c>
      <c r="B822" t="s">
        <v>54</v>
      </c>
      <c r="C822" t="s">
        <v>31</v>
      </c>
      <c r="D822" t="s">
        <v>21</v>
      </c>
      <c r="E822" s="1">
        <v>46084</v>
      </c>
      <c r="F822">
        <v>133</v>
      </c>
      <c r="G822">
        <v>128</v>
      </c>
      <c r="H822">
        <v>5</v>
      </c>
      <c r="I822">
        <v>1263</v>
      </c>
      <c r="J822" t="s">
        <v>17</v>
      </c>
    </row>
    <row r="823" spans="1:10" x14ac:dyDescent="0.3">
      <c r="A823" t="s">
        <v>1142</v>
      </c>
      <c r="B823" t="s">
        <v>324</v>
      </c>
      <c r="C823" t="s">
        <v>31</v>
      </c>
      <c r="D823" t="s">
        <v>13</v>
      </c>
      <c r="E823" t="s">
        <v>58</v>
      </c>
      <c r="F823">
        <v>179</v>
      </c>
      <c r="G823">
        <v>0</v>
      </c>
      <c r="H823">
        <v>179</v>
      </c>
      <c r="I823">
        <v>1128</v>
      </c>
      <c r="J823" t="s">
        <v>46</v>
      </c>
    </row>
    <row r="824" spans="1:10" x14ac:dyDescent="0.3">
      <c r="A824" t="s">
        <v>439</v>
      </c>
      <c r="B824" t="s">
        <v>48</v>
      </c>
      <c r="C824" t="s">
        <v>49</v>
      </c>
      <c r="D824" t="s">
        <v>32</v>
      </c>
      <c r="E824" t="s">
        <v>58</v>
      </c>
      <c r="G824">
        <v>0</v>
      </c>
      <c r="H824">
        <v>157</v>
      </c>
      <c r="I824">
        <v>1094</v>
      </c>
      <c r="J824" t="s">
        <v>85</v>
      </c>
    </row>
    <row r="825" spans="1:10" x14ac:dyDescent="0.3">
      <c r="A825" t="s">
        <v>1143</v>
      </c>
      <c r="B825" t="s">
        <v>34</v>
      </c>
      <c r="C825" t="s">
        <v>35</v>
      </c>
      <c r="D825" t="s">
        <v>36</v>
      </c>
      <c r="E825" s="1">
        <v>46262</v>
      </c>
      <c r="F825">
        <v>261</v>
      </c>
      <c r="G825">
        <v>72</v>
      </c>
      <c r="H825">
        <v>189</v>
      </c>
      <c r="J825" t="s">
        <v>14</v>
      </c>
    </row>
    <row r="826" spans="1:10" x14ac:dyDescent="0.3">
      <c r="A826" t="s">
        <v>571</v>
      </c>
      <c r="B826" t="s">
        <v>45</v>
      </c>
      <c r="C826" t="s">
        <v>35</v>
      </c>
      <c r="D826" t="s">
        <v>13</v>
      </c>
      <c r="E826" s="1">
        <v>46067</v>
      </c>
      <c r="F826">
        <v>352</v>
      </c>
      <c r="G826">
        <v>73</v>
      </c>
      <c r="H826">
        <v>279</v>
      </c>
      <c r="I826" t="s">
        <v>572</v>
      </c>
      <c r="J826" t="s">
        <v>127</v>
      </c>
    </row>
    <row r="827" spans="1:10" x14ac:dyDescent="0.3">
      <c r="A827" t="s">
        <v>1144</v>
      </c>
      <c r="B827" t="s">
        <v>131</v>
      </c>
      <c r="C827" t="s">
        <v>42</v>
      </c>
      <c r="D827" t="s">
        <v>36</v>
      </c>
      <c r="E827" s="1">
        <v>46069</v>
      </c>
      <c r="F827">
        <v>478</v>
      </c>
      <c r="G827">
        <v>36</v>
      </c>
      <c r="H827">
        <v>442</v>
      </c>
      <c r="I827">
        <v>1283</v>
      </c>
      <c r="J827" t="s">
        <v>14</v>
      </c>
    </row>
    <row r="828" spans="1:10" x14ac:dyDescent="0.3">
      <c r="A828" t="s">
        <v>1145</v>
      </c>
      <c r="B828" t="s">
        <v>284</v>
      </c>
      <c r="C828" t="s">
        <v>74</v>
      </c>
      <c r="D828" t="s">
        <v>32</v>
      </c>
      <c r="E828" s="1">
        <v>46017</v>
      </c>
      <c r="F828">
        <v>300</v>
      </c>
      <c r="G828">
        <v>290</v>
      </c>
      <c r="H828">
        <v>10</v>
      </c>
      <c r="I828">
        <v>2181</v>
      </c>
      <c r="J828" t="s">
        <v>68</v>
      </c>
    </row>
    <row r="829" spans="1:10" x14ac:dyDescent="0.3">
      <c r="A829" t="s">
        <v>1146</v>
      </c>
      <c r="B829" t="s">
        <v>30</v>
      </c>
      <c r="C829" t="s">
        <v>139</v>
      </c>
      <c r="D829" t="s">
        <v>13</v>
      </c>
      <c r="E829" s="1">
        <v>46217</v>
      </c>
      <c r="F829">
        <v>412</v>
      </c>
      <c r="G829">
        <v>66</v>
      </c>
      <c r="H829">
        <v>346</v>
      </c>
      <c r="I829">
        <v>966</v>
      </c>
      <c r="J829" t="s">
        <v>14</v>
      </c>
    </row>
    <row r="830" spans="1:10" x14ac:dyDescent="0.3">
      <c r="A830" t="s">
        <v>1147</v>
      </c>
      <c r="B830" t="s">
        <v>191</v>
      </c>
      <c r="C830" t="s">
        <v>28</v>
      </c>
      <c r="D830" t="s">
        <v>21</v>
      </c>
      <c r="F830">
        <v>62</v>
      </c>
      <c r="G830">
        <v>0</v>
      </c>
      <c r="H830">
        <v>62</v>
      </c>
      <c r="I830" t="s">
        <v>1148</v>
      </c>
      <c r="J830" t="s">
        <v>14</v>
      </c>
    </row>
    <row r="831" spans="1:10" x14ac:dyDescent="0.3">
      <c r="A831" t="s">
        <v>1149</v>
      </c>
      <c r="B831" t="s">
        <v>95</v>
      </c>
      <c r="C831" t="s">
        <v>31</v>
      </c>
      <c r="D831" t="s">
        <v>36</v>
      </c>
      <c r="F831">
        <v>212</v>
      </c>
      <c r="G831">
        <v>0</v>
      </c>
      <c r="H831">
        <v>212</v>
      </c>
      <c r="J831" t="s">
        <v>14</v>
      </c>
    </row>
    <row r="832" spans="1:10" x14ac:dyDescent="0.3">
      <c r="A832" t="s">
        <v>1150</v>
      </c>
      <c r="B832" t="s">
        <v>65</v>
      </c>
      <c r="C832" t="s">
        <v>49</v>
      </c>
      <c r="D832" t="s">
        <v>32</v>
      </c>
      <c r="E832" s="1">
        <v>46192</v>
      </c>
      <c r="F832">
        <v>185</v>
      </c>
      <c r="G832">
        <v>59</v>
      </c>
      <c r="H832">
        <v>126</v>
      </c>
      <c r="I832" t="s">
        <v>1151</v>
      </c>
      <c r="J832" t="s">
        <v>14</v>
      </c>
    </row>
    <row r="833" spans="1:10" x14ac:dyDescent="0.3">
      <c r="A833" t="s">
        <v>1152</v>
      </c>
      <c r="B833" t="s">
        <v>184</v>
      </c>
      <c r="C833" t="s">
        <v>31</v>
      </c>
      <c r="D833" t="s">
        <v>21</v>
      </c>
      <c r="E833" s="1">
        <v>45998</v>
      </c>
      <c r="F833">
        <v>53</v>
      </c>
      <c r="G833">
        <v>18</v>
      </c>
      <c r="H833">
        <v>35</v>
      </c>
      <c r="I833">
        <v>2133</v>
      </c>
      <c r="J833" t="s">
        <v>17</v>
      </c>
    </row>
    <row r="834" spans="1:10" x14ac:dyDescent="0.3">
      <c r="A834" t="s">
        <v>1153</v>
      </c>
      <c r="B834" t="s">
        <v>387</v>
      </c>
      <c r="C834" t="s">
        <v>12</v>
      </c>
      <c r="D834" t="s">
        <v>13</v>
      </c>
      <c r="E834" s="1">
        <v>46051</v>
      </c>
      <c r="F834">
        <v>241</v>
      </c>
      <c r="G834">
        <v>89</v>
      </c>
      <c r="H834">
        <v>152</v>
      </c>
      <c r="I834" t="s">
        <v>1154</v>
      </c>
      <c r="J834" t="s">
        <v>14</v>
      </c>
    </row>
    <row r="835" spans="1:10" x14ac:dyDescent="0.3">
      <c r="A835" t="s">
        <v>1155</v>
      </c>
      <c r="B835" t="s">
        <v>142</v>
      </c>
      <c r="C835" t="s">
        <v>49</v>
      </c>
      <c r="D835" t="s">
        <v>21</v>
      </c>
      <c r="E835" s="1">
        <v>46084</v>
      </c>
      <c r="F835">
        <v>257</v>
      </c>
      <c r="G835">
        <v>98</v>
      </c>
      <c r="H835">
        <v>159</v>
      </c>
      <c r="J835" t="s">
        <v>14</v>
      </c>
    </row>
    <row r="836" spans="1:10" x14ac:dyDescent="0.3">
      <c r="A836" t="s">
        <v>1156</v>
      </c>
      <c r="B836" t="s">
        <v>164</v>
      </c>
      <c r="C836" t="s">
        <v>58</v>
      </c>
      <c r="D836" t="s">
        <v>32</v>
      </c>
      <c r="E836" s="1">
        <v>46252</v>
      </c>
      <c r="F836">
        <v>163</v>
      </c>
      <c r="G836">
        <v>-137</v>
      </c>
      <c r="H836">
        <v>31</v>
      </c>
      <c r="I836">
        <v>2169</v>
      </c>
      <c r="J836" t="s">
        <v>17</v>
      </c>
    </row>
    <row r="837" spans="1:10" x14ac:dyDescent="0.3">
      <c r="A837" t="s">
        <v>1157</v>
      </c>
      <c r="B837" t="s">
        <v>1158</v>
      </c>
      <c r="C837" t="s">
        <v>49</v>
      </c>
      <c r="D837" t="s">
        <v>63</v>
      </c>
      <c r="F837">
        <v>394</v>
      </c>
      <c r="G837">
        <v>0</v>
      </c>
      <c r="H837">
        <v>394</v>
      </c>
      <c r="I837">
        <v>1545</v>
      </c>
      <c r="J837" t="s">
        <v>127</v>
      </c>
    </row>
    <row r="838" spans="1:10" x14ac:dyDescent="0.3">
      <c r="A838" t="s">
        <v>1159</v>
      </c>
      <c r="B838" t="s">
        <v>518</v>
      </c>
      <c r="C838" t="s">
        <v>35</v>
      </c>
      <c r="D838" t="s">
        <v>435</v>
      </c>
      <c r="E838" s="1">
        <v>46173</v>
      </c>
      <c r="F838" t="s">
        <v>58</v>
      </c>
      <c r="G838">
        <v>56</v>
      </c>
      <c r="H838">
        <v>16</v>
      </c>
      <c r="I838">
        <v>2722</v>
      </c>
      <c r="J838" t="s">
        <v>17</v>
      </c>
    </row>
    <row r="839" spans="1:10" x14ac:dyDescent="0.3">
      <c r="A839" t="s">
        <v>1160</v>
      </c>
      <c r="B839" t="s">
        <v>23</v>
      </c>
      <c r="C839" t="s">
        <v>35</v>
      </c>
      <c r="D839" t="s">
        <v>13</v>
      </c>
      <c r="E839" s="1">
        <v>46208</v>
      </c>
      <c r="F839">
        <v>396</v>
      </c>
      <c r="G839">
        <v>332</v>
      </c>
      <c r="H839">
        <v>64</v>
      </c>
      <c r="I839">
        <v>1268</v>
      </c>
      <c r="J839" t="s">
        <v>14</v>
      </c>
    </row>
    <row r="840" spans="1:10" x14ac:dyDescent="0.3">
      <c r="A840" t="s">
        <v>1161</v>
      </c>
      <c r="B840" t="s">
        <v>198</v>
      </c>
      <c r="C840" t="s">
        <v>31</v>
      </c>
      <c r="D840" t="s">
        <v>21</v>
      </c>
      <c r="E840" s="1">
        <v>46034</v>
      </c>
      <c r="F840">
        <v>261</v>
      </c>
      <c r="G840">
        <v>32</v>
      </c>
      <c r="H840">
        <v>229</v>
      </c>
      <c r="I840">
        <v>123</v>
      </c>
      <c r="J840" t="s">
        <v>14</v>
      </c>
    </row>
    <row r="841" spans="1:10" x14ac:dyDescent="0.3">
      <c r="A841" t="s">
        <v>1162</v>
      </c>
      <c r="B841" t="s">
        <v>39</v>
      </c>
      <c r="C841" t="s">
        <v>28</v>
      </c>
      <c r="D841" t="s">
        <v>32</v>
      </c>
      <c r="E841" s="1">
        <v>46173</v>
      </c>
      <c r="F841">
        <v>346</v>
      </c>
      <c r="G841">
        <v>108</v>
      </c>
      <c r="H841">
        <v>238</v>
      </c>
      <c r="I841">
        <v>300</v>
      </c>
      <c r="J841" t="s">
        <v>127</v>
      </c>
    </row>
    <row r="842" spans="1:10" x14ac:dyDescent="0.3">
      <c r="A842" t="s">
        <v>1163</v>
      </c>
      <c r="B842" t="s">
        <v>189</v>
      </c>
      <c r="C842" t="s">
        <v>52</v>
      </c>
      <c r="D842" t="s">
        <v>36</v>
      </c>
      <c r="F842">
        <v>488</v>
      </c>
      <c r="G842">
        <v>0</v>
      </c>
      <c r="H842">
        <v>488</v>
      </c>
      <c r="I842">
        <v>337</v>
      </c>
      <c r="J842" t="s">
        <v>14</v>
      </c>
    </row>
    <row r="843" spans="1:10" x14ac:dyDescent="0.3">
      <c r="A843" t="s">
        <v>1164</v>
      </c>
      <c r="B843" t="s">
        <v>324</v>
      </c>
      <c r="C843" t="s">
        <v>31</v>
      </c>
      <c r="D843" t="s">
        <v>21</v>
      </c>
      <c r="E843" s="1">
        <v>46283</v>
      </c>
      <c r="F843">
        <v>159</v>
      </c>
      <c r="G843">
        <v>17</v>
      </c>
      <c r="H843">
        <v>142</v>
      </c>
      <c r="I843" t="s">
        <v>539</v>
      </c>
      <c r="J843" t="s">
        <v>14</v>
      </c>
    </row>
    <row r="844" spans="1:10" x14ac:dyDescent="0.3">
      <c r="A844" t="s">
        <v>1165</v>
      </c>
      <c r="B844" t="s">
        <v>73</v>
      </c>
      <c r="C844" t="s">
        <v>49</v>
      </c>
      <c r="D844" t="s">
        <v>36</v>
      </c>
      <c r="E844" s="1">
        <v>46056</v>
      </c>
      <c r="F844">
        <v>122</v>
      </c>
      <c r="G844">
        <v>27</v>
      </c>
      <c r="H844">
        <v>95</v>
      </c>
      <c r="J844" t="s">
        <v>85</v>
      </c>
    </row>
    <row r="845" spans="1:10" x14ac:dyDescent="0.3">
      <c r="A845" t="s">
        <v>1166</v>
      </c>
      <c r="B845" t="s">
        <v>177</v>
      </c>
      <c r="C845" t="s">
        <v>31</v>
      </c>
      <c r="D845" t="s">
        <v>153</v>
      </c>
      <c r="E845" t="s">
        <v>58</v>
      </c>
      <c r="F845">
        <v>186</v>
      </c>
      <c r="G845">
        <v>0</v>
      </c>
      <c r="H845">
        <v>186</v>
      </c>
      <c r="I845">
        <v>975</v>
      </c>
      <c r="J845" t="s">
        <v>14</v>
      </c>
    </row>
    <row r="846" spans="1:10" x14ac:dyDescent="0.3">
      <c r="A846" t="s">
        <v>1167</v>
      </c>
      <c r="B846" t="s">
        <v>367</v>
      </c>
      <c r="C846" t="s">
        <v>35</v>
      </c>
      <c r="D846" t="s">
        <v>21</v>
      </c>
      <c r="G846">
        <v>0</v>
      </c>
      <c r="H846">
        <v>138</v>
      </c>
      <c r="I846">
        <v>2377</v>
      </c>
      <c r="J846" t="s">
        <v>14</v>
      </c>
    </row>
    <row r="847" spans="1:10" x14ac:dyDescent="0.3">
      <c r="A847" t="s">
        <v>1168</v>
      </c>
      <c r="B847" t="s">
        <v>131</v>
      </c>
      <c r="C847" t="s">
        <v>49</v>
      </c>
      <c r="D847" t="s">
        <v>36</v>
      </c>
      <c r="E847" s="1">
        <v>46258</v>
      </c>
      <c r="F847">
        <v>262</v>
      </c>
      <c r="G847">
        <v>-53</v>
      </c>
      <c r="H847">
        <v>214</v>
      </c>
      <c r="I847">
        <v>1326</v>
      </c>
      <c r="J847" t="s">
        <v>46</v>
      </c>
    </row>
    <row r="848" spans="1:10" x14ac:dyDescent="0.3">
      <c r="A848" t="s">
        <v>1169</v>
      </c>
      <c r="B848" t="s">
        <v>182</v>
      </c>
      <c r="C848" t="s">
        <v>12</v>
      </c>
      <c r="D848" t="s">
        <v>32</v>
      </c>
      <c r="E848" s="1">
        <v>46156</v>
      </c>
      <c r="F848">
        <v>297</v>
      </c>
      <c r="G848">
        <v>255</v>
      </c>
      <c r="H848">
        <v>42</v>
      </c>
      <c r="I848">
        <v>2950</v>
      </c>
      <c r="J848" t="s">
        <v>17</v>
      </c>
    </row>
    <row r="849" spans="1:10" x14ac:dyDescent="0.3">
      <c r="A849" t="s">
        <v>1170</v>
      </c>
      <c r="B849" t="s">
        <v>101</v>
      </c>
      <c r="C849" t="s">
        <v>12</v>
      </c>
      <c r="D849" t="s">
        <v>32</v>
      </c>
      <c r="E849" s="1">
        <v>46112</v>
      </c>
      <c r="F849">
        <v>343</v>
      </c>
      <c r="G849">
        <v>303</v>
      </c>
      <c r="H849">
        <v>40</v>
      </c>
      <c r="I849">
        <v>244</v>
      </c>
      <c r="J849" t="s">
        <v>17</v>
      </c>
    </row>
    <row r="850" spans="1:10" x14ac:dyDescent="0.3">
      <c r="A850" t="s">
        <v>1171</v>
      </c>
      <c r="B850" t="s">
        <v>479</v>
      </c>
      <c r="C850" t="s">
        <v>139</v>
      </c>
      <c r="D850" t="s">
        <v>36</v>
      </c>
      <c r="E850" s="1">
        <v>46125</v>
      </c>
      <c r="F850">
        <v>181</v>
      </c>
      <c r="G850">
        <v>150</v>
      </c>
      <c r="H850">
        <v>31</v>
      </c>
      <c r="I850">
        <v>2997</v>
      </c>
      <c r="J850" t="s">
        <v>17</v>
      </c>
    </row>
    <row r="851" spans="1:10" x14ac:dyDescent="0.3">
      <c r="A851" t="s">
        <v>1172</v>
      </c>
      <c r="B851" t="s">
        <v>245</v>
      </c>
      <c r="C851" t="s">
        <v>28</v>
      </c>
      <c r="D851" t="s">
        <v>21</v>
      </c>
      <c r="F851">
        <v>258</v>
      </c>
      <c r="G851">
        <v>0</v>
      </c>
      <c r="H851">
        <v>258</v>
      </c>
      <c r="J851" t="s">
        <v>127</v>
      </c>
    </row>
    <row r="852" spans="1:10" x14ac:dyDescent="0.3">
      <c r="A852" t="s">
        <v>1173</v>
      </c>
      <c r="B852" t="s">
        <v>240</v>
      </c>
      <c r="C852" t="s">
        <v>49</v>
      </c>
      <c r="D852" t="s">
        <v>32</v>
      </c>
      <c r="F852">
        <v>289</v>
      </c>
      <c r="G852">
        <v>0</v>
      </c>
      <c r="H852">
        <v>289</v>
      </c>
      <c r="I852">
        <v>983</v>
      </c>
      <c r="J852" t="s">
        <v>127</v>
      </c>
    </row>
    <row r="853" spans="1:10" x14ac:dyDescent="0.3">
      <c r="A853" t="s">
        <v>1174</v>
      </c>
      <c r="B853" t="s">
        <v>200</v>
      </c>
      <c r="C853" t="s">
        <v>35</v>
      </c>
      <c r="D853" t="s">
        <v>32</v>
      </c>
      <c r="E853" t="s">
        <v>58</v>
      </c>
      <c r="F853">
        <v>188</v>
      </c>
      <c r="G853">
        <v>0</v>
      </c>
      <c r="H853">
        <v>188</v>
      </c>
      <c r="I853">
        <v>65</v>
      </c>
      <c r="J853" t="s">
        <v>46</v>
      </c>
    </row>
    <row r="854" spans="1:10" x14ac:dyDescent="0.3">
      <c r="A854" t="s">
        <v>1175</v>
      </c>
      <c r="B854" t="s">
        <v>1176</v>
      </c>
      <c r="C854" t="s">
        <v>35</v>
      </c>
      <c r="D854" t="s">
        <v>13</v>
      </c>
      <c r="F854">
        <v>285</v>
      </c>
      <c r="G854">
        <v>0</v>
      </c>
      <c r="H854">
        <v>285</v>
      </c>
      <c r="I854" t="s">
        <v>1177</v>
      </c>
      <c r="J854" t="s">
        <v>14</v>
      </c>
    </row>
    <row r="855" spans="1:10" x14ac:dyDescent="0.3">
      <c r="A855" t="s">
        <v>1178</v>
      </c>
      <c r="B855" t="s">
        <v>296</v>
      </c>
      <c r="C855" t="s">
        <v>31</v>
      </c>
      <c r="D855" t="s">
        <v>21</v>
      </c>
      <c r="E855" s="1">
        <v>46039</v>
      </c>
      <c r="F855">
        <v>146</v>
      </c>
      <c r="G855">
        <v>116</v>
      </c>
      <c r="H855">
        <v>30</v>
      </c>
      <c r="J855" t="s">
        <v>17</v>
      </c>
    </row>
    <row r="856" spans="1:10" x14ac:dyDescent="0.3">
      <c r="A856" t="s">
        <v>1179</v>
      </c>
      <c r="B856" t="s">
        <v>294</v>
      </c>
      <c r="C856" t="s">
        <v>35</v>
      </c>
      <c r="D856" t="s">
        <v>13</v>
      </c>
      <c r="E856" s="1">
        <v>46264</v>
      </c>
      <c r="F856">
        <v>491</v>
      </c>
      <c r="G856">
        <v>392</v>
      </c>
      <c r="H856">
        <v>99</v>
      </c>
      <c r="I856" t="s">
        <v>1180</v>
      </c>
      <c r="J856" t="s">
        <v>14</v>
      </c>
    </row>
    <row r="857" spans="1:10" x14ac:dyDescent="0.3">
      <c r="A857" t="s">
        <v>1181</v>
      </c>
      <c r="B857" t="s">
        <v>224</v>
      </c>
      <c r="C857" t="s">
        <v>49</v>
      </c>
      <c r="D857" t="s">
        <v>843</v>
      </c>
      <c r="E857" t="s">
        <v>58</v>
      </c>
      <c r="F857">
        <v>385</v>
      </c>
      <c r="G857">
        <v>0</v>
      </c>
      <c r="H857">
        <v>385</v>
      </c>
      <c r="I857">
        <v>2371</v>
      </c>
      <c r="J857" t="s">
        <v>14</v>
      </c>
    </row>
    <row r="858" spans="1:10" x14ac:dyDescent="0.3">
      <c r="A858" t="s">
        <v>844</v>
      </c>
      <c r="B858" t="s">
        <v>845</v>
      </c>
      <c r="C858" t="s">
        <v>52</v>
      </c>
      <c r="D858" t="s">
        <v>36</v>
      </c>
      <c r="E858" s="1">
        <v>46209</v>
      </c>
      <c r="F858">
        <v>478</v>
      </c>
      <c r="G858">
        <v>92</v>
      </c>
      <c r="H858">
        <v>386</v>
      </c>
      <c r="I858">
        <v>1859</v>
      </c>
      <c r="J858" t="s">
        <v>14</v>
      </c>
    </row>
    <row r="859" spans="1:10" x14ac:dyDescent="0.3">
      <c r="A859" t="s">
        <v>1182</v>
      </c>
      <c r="B859" t="s">
        <v>67</v>
      </c>
      <c r="C859" t="s">
        <v>31</v>
      </c>
      <c r="D859" t="s">
        <v>36</v>
      </c>
      <c r="E859" s="1">
        <v>46146</v>
      </c>
      <c r="F859">
        <v>146</v>
      </c>
      <c r="H859">
        <v>124</v>
      </c>
      <c r="J859" t="s">
        <v>46</v>
      </c>
    </row>
    <row r="860" spans="1:10" x14ac:dyDescent="0.3">
      <c r="A860" t="s">
        <v>1183</v>
      </c>
      <c r="B860" t="s">
        <v>479</v>
      </c>
      <c r="C860" t="s">
        <v>31</v>
      </c>
      <c r="D860" t="s">
        <v>13</v>
      </c>
      <c r="F860">
        <v>477</v>
      </c>
      <c r="G860">
        <v>0</v>
      </c>
      <c r="H860">
        <v>477</v>
      </c>
      <c r="I860">
        <v>776</v>
      </c>
      <c r="J860" t="s">
        <v>127</v>
      </c>
    </row>
    <row r="861" spans="1:10" x14ac:dyDescent="0.3">
      <c r="A861" t="s">
        <v>1184</v>
      </c>
      <c r="B861" t="s">
        <v>422</v>
      </c>
      <c r="C861" t="s">
        <v>12</v>
      </c>
      <c r="D861" t="s">
        <v>36</v>
      </c>
      <c r="E861" s="1">
        <v>46121</v>
      </c>
      <c r="F861">
        <v>368</v>
      </c>
      <c r="H861">
        <v>54</v>
      </c>
      <c r="I861">
        <v>387</v>
      </c>
      <c r="J861" t="s">
        <v>17</v>
      </c>
    </row>
    <row r="862" spans="1:10" x14ac:dyDescent="0.3">
      <c r="A862" t="s">
        <v>563</v>
      </c>
      <c r="B862" t="s">
        <v>142</v>
      </c>
      <c r="C862" t="s">
        <v>49</v>
      </c>
      <c r="D862" t="s">
        <v>32</v>
      </c>
      <c r="F862">
        <v>204</v>
      </c>
      <c r="G862">
        <v>0</v>
      </c>
      <c r="H862">
        <v>204</v>
      </c>
      <c r="J862" t="s">
        <v>14</v>
      </c>
    </row>
    <row r="863" spans="1:10" x14ac:dyDescent="0.3">
      <c r="A863" t="s">
        <v>1185</v>
      </c>
      <c r="B863" t="s">
        <v>80</v>
      </c>
      <c r="C863" t="s">
        <v>12</v>
      </c>
      <c r="D863" t="s">
        <v>13</v>
      </c>
      <c r="E863" s="1">
        <v>46001</v>
      </c>
      <c r="F863">
        <v>82</v>
      </c>
      <c r="G863">
        <v>70</v>
      </c>
      <c r="H863">
        <v>12</v>
      </c>
      <c r="I863">
        <v>1428</v>
      </c>
      <c r="J863" t="s">
        <v>17</v>
      </c>
    </row>
    <row r="864" spans="1:10" x14ac:dyDescent="0.3">
      <c r="A864" t="s">
        <v>1186</v>
      </c>
      <c r="B864" t="s">
        <v>41</v>
      </c>
      <c r="C864" t="s">
        <v>49</v>
      </c>
      <c r="D864" t="s">
        <v>13</v>
      </c>
      <c r="E864" t="s">
        <v>58</v>
      </c>
      <c r="F864">
        <v>134</v>
      </c>
      <c r="G864">
        <v>0</v>
      </c>
      <c r="H864">
        <v>134</v>
      </c>
      <c r="I864" t="s">
        <v>1187</v>
      </c>
      <c r="J864" t="s">
        <v>14</v>
      </c>
    </row>
    <row r="865" spans="1:10" x14ac:dyDescent="0.3">
      <c r="A865" t="s">
        <v>1188</v>
      </c>
      <c r="B865" t="s">
        <v>600</v>
      </c>
      <c r="C865" t="s">
        <v>49</v>
      </c>
      <c r="D865" t="s">
        <v>32</v>
      </c>
      <c r="E865" s="1">
        <v>46083</v>
      </c>
      <c r="F865">
        <v>148</v>
      </c>
      <c r="G865">
        <v>111</v>
      </c>
      <c r="H865">
        <v>37</v>
      </c>
      <c r="I865">
        <v>236</v>
      </c>
      <c r="J865" t="s">
        <v>180</v>
      </c>
    </row>
    <row r="866" spans="1:10" x14ac:dyDescent="0.3">
      <c r="A866" t="s">
        <v>1189</v>
      </c>
      <c r="B866" t="s">
        <v>131</v>
      </c>
      <c r="C866" t="s">
        <v>58</v>
      </c>
      <c r="D866" t="s">
        <v>13</v>
      </c>
      <c r="E866" s="1">
        <v>46239</v>
      </c>
      <c r="F866">
        <v>119</v>
      </c>
      <c r="G866">
        <v>114</v>
      </c>
      <c r="H866">
        <v>5</v>
      </c>
      <c r="I866">
        <v>1553</v>
      </c>
      <c r="J866" t="s">
        <v>17</v>
      </c>
    </row>
    <row r="867" spans="1:10" x14ac:dyDescent="0.3">
      <c r="A867" t="s">
        <v>1138</v>
      </c>
      <c r="B867" t="s">
        <v>131</v>
      </c>
      <c r="C867" t="s">
        <v>49</v>
      </c>
      <c r="D867" t="s">
        <v>21</v>
      </c>
      <c r="E867" s="1">
        <v>46116</v>
      </c>
      <c r="F867">
        <v>400</v>
      </c>
      <c r="G867">
        <v>298</v>
      </c>
      <c r="H867">
        <v>102</v>
      </c>
      <c r="I867" t="s">
        <v>1139</v>
      </c>
      <c r="J867" t="s">
        <v>14</v>
      </c>
    </row>
    <row r="868" spans="1:10" x14ac:dyDescent="0.3">
      <c r="A868" t="s">
        <v>1190</v>
      </c>
      <c r="B868" t="s">
        <v>234</v>
      </c>
      <c r="C868" t="s">
        <v>28</v>
      </c>
      <c r="D868" t="s">
        <v>36</v>
      </c>
      <c r="E868" t="s">
        <v>58</v>
      </c>
      <c r="F868">
        <v>262</v>
      </c>
      <c r="G868">
        <v>0</v>
      </c>
      <c r="H868">
        <v>262</v>
      </c>
      <c r="I868">
        <v>1177</v>
      </c>
      <c r="J868" t="s">
        <v>14</v>
      </c>
    </row>
    <row r="869" spans="1:10" x14ac:dyDescent="0.3">
      <c r="A869" t="s">
        <v>1191</v>
      </c>
      <c r="B869" t="s">
        <v>65</v>
      </c>
      <c r="C869" t="s">
        <v>49</v>
      </c>
      <c r="D869" t="s">
        <v>300</v>
      </c>
      <c r="E869" s="1">
        <v>46194</v>
      </c>
      <c r="F869">
        <v>274</v>
      </c>
      <c r="G869">
        <v>265</v>
      </c>
      <c r="H869">
        <v>9</v>
      </c>
      <c r="I869">
        <v>2078</v>
      </c>
      <c r="J869" t="s">
        <v>17</v>
      </c>
    </row>
    <row r="870" spans="1:10" x14ac:dyDescent="0.3">
      <c r="A870" t="s">
        <v>1192</v>
      </c>
      <c r="B870" t="s">
        <v>1193</v>
      </c>
      <c r="C870" t="s">
        <v>31</v>
      </c>
      <c r="D870" t="s">
        <v>21</v>
      </c>
      <c r="E870" s="1">
        <v>46185</v>
      </c>
      <c r="F870">
        <v>194</v>
      </c>
      <c r="G870">
        <v>65</v>
      </c>
      <c r="H870">
        <v>129</v>
      </c>
      <c r="I870">
        <v>113</v>
      </c>
      <c r="J870" t="s">
        <v>14</v>
      </c>
    </row>
    <row r="871" spans="1:10" x14ac:dyDescent="0.3">
      <c r="A871" t="s">
        <v>938</v>
      </c>
      <c r="B871" t="s">
        <v>387</v>
      </c>
      <c r="C871" t="s">
        <v>12</v>
      </c>
      <c r="D871" t="s">
        <v>21</v>
      </c>
      <c r="E871" s="1">
        <v>46082</v>
      </c>
      <c r="F871" t="s">
        <v>58</v>
      </c>
      <c r="G871">
        <v>164</v>
      </c>
      <c r="H871">
        <v>58</v>
      </c>
      <c r="I871">
        <v>183</v>
      </c>
      <c r="J871" t="s">
        <v>17</v>
      </c>
    </row>
    <row r="872" spans="1:10" x14ac:dyDescent="0.3">
      <c r="A872" t="s">
        <v>1194</v>
      </c>
      <c r="B872" t="s">
        <v>87</v>
      </c>
      <c r="C872" t="s">
        <v>28</v>
      </c>
      <c r="D872" t="s">
        <v>13</v>
      </c>
      <c r="E872" s="1">
        <v>46239</v>
      </c>
      <c r="F872">
        <v>402</v>
      </c>
      <c r="G872">
        <v>365</v>
      </c>
      <c r="H872">
        <v>37</v>
      </c>
      <c r="I872">
        <v>516</v>
      </c>
      <c r="J872" t="s">
        <v>17</v>
      </c>
    </row>
    <row r="873" spans="1:10" x14ac:dyDescent="0.3">
      <c r="A873" t="s">
        <v>1195</v>
      </c>
      <c r="B873" t="s">
        <v>486</v>
      </c>
      <c r="C873" t="s">
        <v>28</v>
      </c>
      <c r="D873" t="s">
        <v>300</v>
      </c>
      <c r="F873">
        <v>254</v>
      </c>
      <c r="G873">
        <v>0</v>
      </c>
      <c r="H873">
        <v>254</v>
      </c>
      <c r="I873">
        <v>251</v>
      </c>
      <c r="J873" t="s">
        <v>127</v>
      </c>
    </row>
    <row r="874" spans="1:10" x14ac:dyDescent="0.3">
      <c r="A874" t="s">
        <v>1196</v>
      </c>
      <c r="B874" t="s">
        <v>238</v>
      </c>
      <c r="C874" t="s">
        <v>20</v>
      </c>
      <c r="D874" t="s">
        <v>36</v>
      </c>
      <c r="E874" s="1">
        <v>46081</v>
      </c>
      <c r="F874">
        <v>273</v>
      </c>
      <c r="G874">
        <v>249</v>
      </c>
      <c r="H874">
        <v>24</v>
      </c>
      <c r="I874">
        <v>645</v>
      </c>
      <c r="J874" t="s">
        <v>43</v>
      </c>
    </row>
    <row r="875" spans="1:10" x14ac:dyDescent="0.3">
      <c r="A875" t="s">
        <v>1197</v>
      </c>
      <c r="B875" t="s">
        <v>1198</v>
      </c>
      <c r="C875" t="s">
        <v>28</v>
      </c>
      <c r="D875" t="s">
        <v>13</v>
      </c>
      <c r="E875" t="s">
        <v>58</v>
      </c>
      <c r="F875">
        <v>294</v>
      </c>
      <c r="G875">
        <v>0</v>
      </c>
      <c r="H875">
        <v>294</v>
      </c>
      <c r="I875">
        <v>1527</v>
      </c>
      <c r="J875" t="s">
        <v>14</v>
      </c>
    </row>
    <row r="876" spans="1:10" x14ac:dyDescent="0.3">
      <c r="A876" t="s">
        <v>1199</v>
      </c>
      <c r="B876" t="s">
        <v>278</v>
      </c>
      <c r="C876" t="s">
        <v>28</v>
      </c>
      <c r="D876" t="s">
        <v>21</v>
      </c>
      <c r="E876" s="1">
        <v>46204</v>
      </c>
      <c r="F876">
        <v>137</v>
      </c>
      <c r="G876">
        <v>21</v>
      </c>
      <c r="H876">
        <v>116</v>
      </c>
      <c r="I876">
        <v>2965</v>
      </c>
      <c r="J876" t="s">
        <v>14</v>
      </c>
    </row>
    <row r="877" spans="1:10" x14ac:dyDescent="0.3">
      <c r="A877" t="s">
        <v>1200</v>
      </c>
      <c r="B877" t="s">
        <v>224</v>
      </c>
      <c r="C877" t="s">
        <v>49</v>
      </c>
      <c r="D877" t="s">
        <v>36</v>
      </c>
      <c r="E877" s="1">
        <v>46010</v>
      </c>
      <c r="F877">
        <v>79</v>
      </c>
      <c r="G877">
        <v>27</v>
      </c>
      <c r="H877">
        <v>52</v>
      </c>
      <c r="I877" t="s">
        <v>1201</v>
      </c>
      <c r="J877" t="s">
        <v>17</v>
      </c>
    </row>
    <row r="878" spans="1:10" x14ac:dyDescent="0.3">
      <c r="A878" t="s">
        <v>1202</v>
      </c>
      <c r="B878" t="s">
        <v>67</v>
      </c>
      <c r="C878" t="s">
        <v>31</v>
      </c>
      <c r="D878" t="s">
        <v>13</v>
      </c>
      <c r="E878" t="s">
        <v>58</v>
      </c>
      <c r="F878">
        <v>356</v>
      </c>
      <c r="G878">
        <v>0</v>
      </c>
      <c r="H878">
        <v>356</v>
      </c>
      <c r="I878">
        <v>773</v>
      </c>
      <c r="J878" t="s">
        <v>14</v>
      </c>
    </row>
    <row r="879" spans="1:10" x14ac:dyDescent="0.3">
      <c r="A879" t="s">
        <v>1203</v>
      </c>
      <c r="B879" t="s">
        <v>335</v>
      </c>
      <c r="C879" t="s">
        <v>49</v>
      </c>
      <c r="D879" t="s">
        <v>21</v>
      </c>
      <c r="E879" s="1">
        <v>46197</v>
      </c>
      <c r="H879">
        <v>343</v>
      </c>
      <c r="I879">
        <v>2890</v>
      </c>
      <c r="J879" t="s">
        <v>14</v>
      </c>
    </row>
    <row r="880" spans="1:10" x14ac:dyDescent="0.3">
      <c r="A880" t="s">
        <v>1204</v>
      </c>
      <c r="B880" t="s">
        <v>41</v>
      </c>
      <c r="C880" t="s">
        <v>49</v>
      </c>
      <c r="D880" t="s">
        <v>36</v>
      </c>
      <c r="E880" s="1">
        <v>46161</v>
      </c>
      <c r="F880">
        <v>260</v>
      </c>
      <c r="G880">
        <v>42</v>
      </c>
      <c r="H880">
        <v>218</v>
      </c>
      <c r="I880">
        <v>2266</v>
      </c>
      <c r="J880" t="s">
        <v>127</v>
      </c>
    </row>
    <row r="881" spans="1:10" x14ac:dyDescent="0.3">
      <c r="A881" t="s">
        <v>1205</v>
      </c>
      <c r="B881" t="s">
        <v>182</v>
      </c>
      <c r="C881" t="s">
        <v>12</v>
      </c>
      <c r="D881" t="s">
        <v>36</v>
      </c>
      <c r="E881" t="s">
        <v>58</v>
      </c>
      <c r="F881">
        <v>384</v>
      </c>
      <c r="G881">
        <v>0</v>
      </c>
      <c r="H881">
        <v>384</v>
      </c>
      <c r="I881">
        <v>2768</v>
      </c>
      <c r="J881" t="s">
        <v>14</v>
      </c>
    </row>
    <row r="882" spans="1:10" x14ac:dyDescent="0.3">
      <c r="A882" t="s">
        <v>1206</v>
      </c>
      <c r="B882" t="s">
        <v>224</v>
      </c>
      <c r="C882" t="s">
        <v>52</v>
      </c>
      <c r="D882" t="s">
        <v>21</v>
      </c>
      <c r="E882" s="1">
        <v>46257</v>
      </c>
      <c r="F882">
        <v>112</v>
      </c>
      <c r="G882">
        <v>32</v>
      </c>
      <c r="H882">
        <v>80</v>
      </c>
      <c r="I882" t="s">
        <v>1207</v>
      </c>
      <c r="J882" t="s">
        <v>85</v>
      </c>
    </row>
    <row r="883" spans="1:10" x14ac:dyDescent="0.3">
      <c r="A883" t="s">
        <v>1208</v>
      </c>
      <c r="B883" t="s">
        <v>422</v>
      </c>
      <c r="C883" t="s">
        <v>12</v>
      </c>
      <c r="D883" t="s">
        <v>13</v>
      </c>
      <c r="E883" s="1">
        <v>46066</v>
      </c>
      <c r="F883">
        <v>54</v>
      </c>
      <c r="G883">
        <v>53</v>
      </c>
      <c r="H883">
        <v>1</v>
      </c>
      <c r="I883">
        <v>1023</v>
      </c>
      <c r="J883" t="s">
        <v>17</v>
      </c>
    </row>
    <row r="884" spans="1:10" x14ac:dyDescent="0.3">
      <c r="A884" t="s">
        <v>1209</v>
      </c>
      <c r="B884" t="s">
        <v>54</v>
      </c>
      <c r="C884" t="s">
        <v>31</v>
      </c>
      <c r="D884" t="s">
        <v>32</v>
      </c>
      <c r="E884" s="1">
        <v>45996</v>
      </c>
      <c r="F884">
        <v>159</v>
      </c>
      <c r="G884">
        <v>45</v>
      </c>
      <c r="H884">
        <v>114</v>
      </c>
      <c r="I884">
        <v>686</v>
      </c>
      <c r="J884" t="s">
        <v>14</v>
      </c>
    </row>
    <row r="885" spans="1:10" x14ac:dyDescent="0.3">
      <c r="A885" t="s">
        <v>1210</v>
      </c>
      <c r="B885" t="s">
        <v>947</v>
      </c>
      <c r="C885" t="s">
        <v>31</v>
      </c>
      <c r="D885" t="s">
        <v>36</v>
      </c>
      <c r="E885" s="1">
        <v>46176</v>
      </c>
      <c r="F885">
        <v>345</v>
      </c>
      <c r="G885">
        <v>109</v>
      </c>
      <c r="H885">
        <v>236</v>
      </c>
      <c r="I885">
        <v>2263</v>
      </c>
      <c r="J885" t="s">
        <v>14</v>
      </c>
    </row>
    <row r="886" spans="1:10" x14ac:dyDescent="0.3">
      <c r="A886" t="s">
        <v>1211</v>
      </c>
      <c r="B886" t="s">
        <v>134</v>
      </c>
      <c r="C886" t="s">
        <v>31</v>
      </c>
      <c r="D886" t="s">
        <v>36</v>
      </c>
      <c r="E886" s="1">
        <v>46188</v>
      </c>
      <c r="F886">
        <v>478</v>
      </c>
      <c r="G886">
        <v>438</v>
      </c>
      <c r="H886">
        <v>40</v>
      </c>
      <c r="I886">
        <v>2377</v>
      </c>
      <c r="J886" t="s">
        <v>17</v>
      </c>
    </row>
    <row r="887" spans="1:10" x14ac:dyDescent="0.3">
      <c r="A887" t="s">
        <v>1212</v>
      </c>
      <c r="B887" t="s">
        <v>1213</v>
      </c>
      <c r="C887" t="s">
        <v>49</v>
      </c>
      <c r="D887" t="s">
        <v>351</v>
      </c>
      <c r="E887" s="1">
        <v>46014</v>
      </c>
      <c r="F887">
        <v>60</v>
      </c>
      <c r="G887">
        <v>12</v>
      </c>
      <c r="H887">
        <v>48</v>
      </c>
      <c r="I887">
        <v>2403</v>
      </c>
      <c r="J887" t="s">
        <v>17</v>
      </c>
    </row>
    <row r="888" spans="1:10" x14ac:dyDescent="0.3">
      <c r="A888" t="s">
        <v>1210</v>
      </c>
      <c r="B888" t="s">
        <v>947</v>
      </c>
      <c r="C888" t="s">
        <v>31</v>
      </c>
      <c r="D888" t="s">
        <v>36</v>
      </c>
      <c r="E888" s="1">
        <v>46176</v>
      </c>
      <c r="F888">
        <v>345</v>
      </c>
      <c r="G888">
        <v>109</v>
      </c>
      <c r="H888">
        <v>236</v>
      </c>
      <c r="I888">
        <v>2263</v>
      </c>
      <c r="J888" t="s">
        <v>14</v>
      </c>
    </row>
    <row r="889" spans="1:10" x14ac:dyDescent="0.3">
      <c r="A889" t="s">
        <v>1214</v>
      </c>
      <c r="B889" t="s">
        <v>387</v>
      </c>
      <c r="C889" t="s">
        <v>12</v>
      </c>
      <c r="D889" t="s">
        <v>13</v>
      </c>
      <c r="F889">
        <v>238</v>
      </c>
      <c r="G889">
        <v>0</v>
      </c>
      <c r="H889">
        <v>238</v>
      </c>
      <c r="I889">
        <v>90</v>
      </c>
      <c r="J889" t="s">
        <v>14</v>
      </c>
    </row>
    <row r="890" spans="1:10" x14ac:dyDescent="0.3">
      <c r="A890" t="s">
        <v>258</v>
      </c>
      <c r="B890" t="s">
        <v>259</v>
      </c>
      <c r="C890" t="s">
        <v>49</v>
      </c>
      <c r="D890" t="s">
        <v>36</v>
      </c>
      <c r="F890">
        <v>442</v>
      </c>
      <c r="G890">
        <v>0</v>
      </c>
      <c r="H890">
        <v>442</v>
      </c>
      <c r="I890" t="s">
        <v>260</v>
      </c>
      <c r="J890" t="s">
        <v>14</v>
      </c>
    </row>
    <row r="891" spans="1:10" x14ac:dyDescent="0.3">
      <c r="A891" t="s">
        <v>1215</v>
      </c>
      <c r="B891" t="s">
        <v>98</v>
      </c>
      <c r="C891" t="s">
        <v>12</v>
      </c>
      <c r="D891" t="s">
        <v>32</v>
      </c>
      <c r="E891" t="s">
        <v>58</v>
      </c>
      <c r="F891">
        <v>258</v>
      </c>
      <c r="G891">
        <v>0</v>
      </c>
      <c r="H891">
        <v>258</v>
      </c>
      <c r="I891">
        <v>1185</v>
      </c>
      <c r="J891" t="s">
        <v>14</v>
      </c>
    </row>
    <row r="892" spans="1:10" x14ac:dyDescent="0.3">
      <c r="A892" t="s">
        <v>1216</v>
      </c>
      <c r="B892" t="s">
        <v>80</v>
      </c>
      <c r="C892" t="s">
        <v>58</v>
      </c>
      <c r="D892" t="s">
        <v>13</v>
      </c>
      <c r="E892" t="s">
        <v>58</v>
      </c>
      <c r="F892">
        <v>368</v>
      </c>
      <c r="G892">
        <v>0</v>
      </c>
      <c r="H892">
        <v>368</v>
      </c>
      <c r="J892" t="s">
        <v>14</v>
      </c>
    </row>
    <row r="893" spans="1:10" x14ac:dyDescent="0.3">
      <c r="A893" t="s">
        <v>1217</v>
      </c>
      <c r="B893" t="s">
        <v>211</v>
      </c>
      <c r="C893" t="s">
        <v>35</v>
      </c>
      <c r="D893" t="s">
        <v>13</v>
      </c>
      <c r="F893">
        <v>355</v>
      </c>
      <c r="G893">
        <v>0</v>
      </c>
      <c r="H893">
        <v>355</v>
      </c>
      <c r="I893">
        <v>1827</v>
      </c>
      <c r="J893" t="s">
        <v>58</v>
      </c>
    </row>
    <row r="894" spans="1:10" x14ac:dyDescent="0.3">
      <c r="A894" t="s">
        <v>1218</v>
      </c>
      <c r="B894" t="s">
        <v>23</v>
      </c>
      <c r="C894" t="s">
        <v>35</v>
      </c>
      <c r="D894" t="s">
        <v>36</v>
      </c>
      <c r="E894" s="1">
        <v>46124</v>
      </c>
      <c r="F894">
        <v>355</v>
      </c>
      <c r="G894">
        <v>281</v>
      </c>
      <c r="H894">
        <v>74</v>
      </c>
      <c r="I894">
        <v>2818</v>
      </c>
      <c r="J894" t="s">
        <v>127</v>
      </c>
    </row>
    <row r="895" spans="1:10" x14ac:dyDescent="0.3">
      <c r="A895" t="s">
        <v>1219</v>
      </c>
      <c r="B895" t="s">
        <v>87</v>
      </c>
      <c r="C895" t="s">
        <v>28</v>
      </c>
      <c r="D895" t="s">
        <v>36</v>
      </c>
      <c r="E895" s="1">
        <v>46246</v>
      </c>
      <c r="F895">
        <v>344</v>
      </c>
      <c r="G895">
        <v>55</v>
      </c>
      <c r="H895">
        <v>289</v>
      </c>
      <c r="I895">
        <v>1035</v>
      </c>
      <c r="J895" t="s">
        <v>14</v>
      </c>
    </row>
    <row r="896" spans="1:10" x14ac:dyDescent="0.3">
      <c r="A896" t="s">
        <v>898</v>
      </c>
      <c r="B896" t="s">
        <v>105</v>
      </c>
      <c r="C896" t="s">
        <v>28</v>
      </c>
      <c r="D896" t="s">
        <v>351</v>
      </c>
      <c r="F896">
        <v>336</v>
      </c>
      <c r="G896">
        <v>0</v>
      </c>
      <c r="H896">
        <v>336</v>
      </c>
      <c r="I896">
        <v>553</v>
      </c>
      <c r="J896" t="s">
        <v>14</v>
      </c>
    </row>
    <row r="897" spans="1:10" x14ac:dyDescent="0.3">
      <c r="A897" t="s">
        <v>1220</v>
      </c>
      <c r="B897" t="s">
        <v>158</v>
      </c>
      <c r="C897" t="s">
        <v>31</v>
      </c>
      <c r="D897" t="s">
        <v>118</v>
      </c>
      <c r="E897" s="1">
        <v>46110</v>
      </c>
      <c r="F897">
        <v>223</v>
      </c>
      <c r="G897">
        <v>73</v>
      </c>
      <c r="H897">
        <v>150</v>
      </c>
      <c r="I897">
        <v>1220</v>
      </c>
      <c r="J897" t="s">
        <v>14</v>
      </c>
    </row>
    <row r="898" spans="1:10" x14ac:dyDescent="0.3">
      <c r="A898" t="s">
        <v>1221</v>
      </c>
      <c r="B898" t="s">
        <v>101</v>
      </c>
      <c r="C898" t="s">
        <v>12</v>
      </c>
      <c r="D898" t="s">
        <v>21</v>
      </c>
      <c r="E898" s="1">
        <v>46030</v>
      </c>
      <c r="F898">
        <v>323</v>
      </c>
      <c r="G898">
        <v>32</v>
      </c>
      <c r="H898">
        <v>291</v>
      </c>
      <c r="J898" t="s">
        <v>14</v>
      </c>
    </row>
    <row r="899" spans="1:10" x14ac:dyDescent="0.3">
      <c r="A899" t="s">
        <v>1222</v>
      </c>
      <c r="B899" t="s">
        <v>11</v>
      </c>
      <c r="C899" t="s">
        <v>12</v>
      </c>
      <c r="D899" t="s">
        <v>32</v>
      </c>
      <c r="E899" s="1">
        <v>46125</v>
      </c>
      <c r="F899">
        <v>214</v>
      </c>
      <c r="G899">
        <v>163</v>
      </c>
      <c r="H899">
        <v>51</v>
      </c>
      <c r="I899">
        <v>1840</v>
      </c>
      <c r="J899" t="s">
        <v>17</v>
      </c>
    </row>
    <row r="900" spans="1:10" x14ac:dyDescent="0.3">
      <c r="A900" t="s">
        <v>1223</v>
      </c>
      <c r="B900" t="s">
        <v>151</v>
      </c>
      <c r="C900" t="s">
        <v>35</v>
      </c>
      <c r="D900" t="s">
        <v>36</v>
      </c>
      <c r="E900" s="1">
        <v>46176</v>
      </c>
      <c r="F900">
        <v>180</v>
      </c>
      <c r="G900">
        <v>25</v>
      </c>
      <c r="H900">
        <v>155</v>
      </c>
      <c r="I900">
        <v>249</v>
      </c>
      <c r="J900" t="s">
        <v>14</v>
      </c>
    </row>
    <row r="901" spans="1:10" x14ac:dyDescent="0.3">
      <c r="A901" t="s">
        <v>1224</v>
      </c>
      <c r="B901" t="s">
        <v>294</v>
      </c>
      <c r="C901" t="s">
        <v>35</v>
      </c>
      <c r="D901" t="s">
        <v>32</v>
      </c>
      <c r="F901">
        <v>181</v>
      </c>
      <c r="G901">
        <v>0</v>
      </c>
      <c r="H901">
        <v>181</v>
      </c>
      <c r="I901">
        <v>1512</v>
      </c>
      <c r="J901" t="s">
        <v>14</v>
      </c>
    </row>
    <row r="902" spans="1:10" x14ac:dyDescent="0.3">
      <c r="A902" t="s">
        <v>1225</v>
      </c>
      <c r="B902" t="s">
        <v>367</v>
      </c>
      <c r="C902" t="s">
        <v>35</v>
      </c>
      <c r="D902" t="s">
        <v>32</v>
      </c>
      <c r="E902" s="1">
        <v>46221</v>
      </c>
      <c r="F902">
        <v>310</v>
      </c>
      <c r="G902">
        <v>56</v>
      </c>
      <c r="H902">
        <v>254</v>
      </c>
      <c r="I902">
        <v>847</v>
      </c>
      <c r="J902" t="s">
        <v>14</v>
      </c>
    </row>
    <row r="903" spans="1:10" x14ac:dyDescent="0.3">
      <c r="A903" t="s">
        <v>1226</v>
      </c>
      <c r="B903" t="s">
        <v>71</v>
      </c>
      <c r="C903" t="s">
        <v>35</v>
      </c>
      <c r="D903" t="s">
        <v>21</v>
      </c>
      <c r="F903">
        <v>100</v>
      </c>
      <c r="G903">
        <v>0</v>
      </c>
      <c r="H903">
        <v>100</v>
      </c>
      <c r="I903">
        <v>2413</v>
      </c>
      <c r="J903" t="s">
        <v>14</v>
      </c>
    </row>
    <row r="904" spans="1:10" x14ac:dyDescent="0.3">
      <c r="A904" t="s">
        <v>1227</v>
      </c>
      <c r="B904" t="s">
        <v>240</v>
      </c>
      <c r="C904" t="s">
        <v>49</v>
      </c>
      <c r="D904" t="s">
        <v>21</v>
      </c>
      <c r="E904" s="1">
        <v>46165</v>
      </c>
      <c r="F904">
        <v>345</v>
      </c>
      <c r="G904">
        <v>80</v>
      </c>
      <c r="H904">
        <v>265</v>
      </c>
      <c r="I904">
        <v>2624</v>
      </c>
      <c r="J904" t="s">
        <v>14</v>
      </c>
    </row>
    <row r="905" spans="1:10" x14ac:dyDescent="0.3">
      <c r="A905" t="s">
        <v>1228</v>
      </c>
      <c r="B905" t="s">
        <v>98</v>
      </c>
      <c r="C905" t="s">
        <v>12</v>
      </c>
      <c r="D905" t="s">
        <v>13</v>
      </c>
      <c r="F905">
        <v>105</v>
      </c>
      <c r="G905">
        <v>0</v>
      </c>
      <c r="H905">
        <v>105</v>
      </c>
      <c r="I905">
        <v>370</v>
      </c>
      <c r="J905" t="s">
        <v>14</v>
      </c>
    </row>
    <row r="906" spans="1:10" x14ac:dyDescent="0.3">
      <c r="A906" t="s">
        <v>1229</v>
      </c>
      <c r="B906" t="s">
        <v>16</v>
      </c>
      <c r="C906" t="s">
        <v>12</v>
      </c>
      <c r="D906" t="s">
        <v>115</v>
      </c>
      <c r="E906" s="1">
        <v>46206</v>
      </c>
      <c r="F906">
        <v>234</v>
      </c>
      <c r="G906">
        <v>181</v>
      </c>
      <c r="H906">
        <v>53</v>
      </c>
      <c r="I906">
        <v>2985</v>
      </c>
      <c r="J906" t="s">
        <v>17</v>
      </c>
    </row>
    <row r="907" spans="1:10" x14ac:dyDescent="0.3">
      <c r="A907" t="s">
        <v>1230</v>
      </c>
      <c r="B907" t="s">
        <v>367</v>
      </c>
      <c r="C907" t="s">
        <v>35</v>
      </c>
      <c r="D907" t="s">
        <v>36</v>
      </c>
      <c r="E907" s="1">
        <v>46200</v>
      </c>
      <c r="F907">
        <v>110</v>
      </c>
      <c r="G907">
        <v>33</v>
      </c>
      <c r="H907">
        <v>77</v>
      </c>
      <c r="I907">
        <v>1238</v>
      </c>
      <c r="J907" t="s">
        <v>46</v>
      </c>
    </row>
    <row r="908" spans="1:10" x14ac:dyDescent="0.3">
      <c r="A908" t="s">
        <v>1231</v>
      </c>
      <c r="B908" t="s">
        <v>87</v>
      </c>
      <c r="C908" t="s">
        <v>28</v>
      </c>
      <c r="D908" t="s">
        <v>36</v>
      </c>
      <c r="E908" s="1">
        <v>46236</v>
      </c>
      <c r="F908">
        <v>449</v>
      </c>
      <c r="G908">
        <v>358</v>
      </c>
      <c r="H908">
        <v>91</v>
      </c>
      <c r="I908">
        <v>1968</v>
      </c>
      <c r="J908" t="s">
        <v>46</v>
      </c>
    </row>
    <row r="909" spans="1:10" x14ac:dyDescent="0.3">
      <c r="A909" t="s">
        <v>1232</v>
      </c>
      <c r="B909" t="s">
        <v>415</v>
      </c>
      <c r="C909" t="s">
        <v>31</v>
      </c>
      <c r="D909" t="s">
        <v>36</v>
      </c>
      <c r="E909" t="s">
        <v>58</v>
      </c>
      <c r="F909">
        <v>87</v>
      </c>
      <c r="G909">
        <v>0</v>
      </c>
      <c r="H909">
        <v>87</v>
      </c>
      <c r="I909">
        <v>149</v>
      </c>
      <c r="J909" t="s">
        <v>14</v>
      </c>
    </row>
    <row r="910" spans="1:10" x14ac:dyDescent="0.3">
      <c r="A910" t="s">
        <v>1233</v>
      </c>
      <c r="B910" t="s">
        <v>262</v>
      </c>
      <c r="C910" t="s">
        <v>780</v>
      </c>
      <c r="D910" t="s">
        <v>32</v>
      </c>
      <c r="E910" s="1">
        <v>46186</v>
      </c>
      <c r="F910">
        <v>160</v>
      </c>
      <c r="G910">
        <v>15</v>
      </c>
      <c r="H910">
        <v>145</v>
      </c>
      <c r="I910">
        <v>234</v>
      </c>
      <c r="J910" t="s">
        <v>14</v>
      </c>
    </row>
    <row r="911" spans="1:10" x14ac:dyDescent="0.3">
      <c r="A911" t="s">
        <v>1234</v>
      </c>
      <c r="B911" t="s">
        <v>294</v>
      </c>
      <c r="C911" t="s">
        <v>35</v>
      </c>
      <c r="D911" t="s">
        <v>13</v>
      </c>
      <c r="E911" s="1">
        <v>46074</v>
      </c>
      <c r="F911">
        <v>400</v>
      </c>
      <c r="G911">
        <v>369</v>
      </c>
      <c r="H911">
        <v>31</v>
      </c>
      <c r="I911">
        <v>2090</v>
      </c>
      <c r="J911" t="s">
        <v>17</v>
      </c>
    </row>
    <row r="912" spans="1:10" x14ac:dyDescent="0.3">
      <c r="A912" t="s">
        <v>1235</v>
      </c>
      <c r="B912" t="s">
        <v>1236</v>
      </c>
      <c r="C912" t="s">
        <v>12</v>
      </c>
      <c r="D912" t="s">
        <v>36</v>
      </c>
      <c r="E912" s="1">
        <v>46206</v>
      </c>
      <c r="F912">
        <v>352</v>
      </c>
      <c r="G912">
        <v>123</v>
      </c>
      <c r="H912">
        <v>229</v>
      </c>
      <c r="I912" t="s">
        <v>1237</v>
      </c>
      <c r="J912" t="s">
        <v>58</v>
      </c>
    </row>
    <row r="913" spans="1:10" x14ac:dyDescent="0.3">
      <c r="A913" t="s">
        <v>1238</v>
      </c>
      <c r="B913" t="s">
        <v>19</v>
      </c>
      <c r="C913" t="s">
        <v>28</v>
      </c>
      <c r="D913" t="s">
        <v>13</v>
      </c>
      <c r="E913" s="1">
        <v>46205</v>
      </c>
      <c r="F913">
        <v>381</v>
      </c>
      <c r="G913">
        <v>29</v>
      </c>
      <c r="H913">
        <v>352</v>
      </c>
      <c r="I913">
        <v>2136</v>
      </c>
      <c r="J913" t="s">
        <v>14</v>
      </c>
    </row>
    <row r="914" spans="1:10" x14ac:dyDescent="0.3">
      <c r="A914" t="s">
        <v>1239</v>
      </c>
      <c r="B914" t="s">
        <v>479</v>
      </c>
      <c r="C914" t="s">
        <v>31</v>
      </c>
      <c r="D914" t="s">
        <v>32</v>
      </c>
      <c r="E914" s="1">
        <v>46032</v>
      </c>
      <c r="F914">
        <v>405</v>
      </c>
      <c r="G914">
        <v>38</v>
      </c>
      <c r="H914">
        <v>367</v>
      </c>
      <c r="I914">
        <v>871</v>
      </c>
      <c r="J914" t="s">
        <v>85</v>
      </c>
    </row>
    <row r="915" spans="1:10" x14ac:dyDescent="0.3">
      <c r="A915" t="s">
        <v>1240</v>
      </c>
      <c r="B915" t="s">
        <v>57</v>
      </c>
      <c r="C915" t="s">
        <v>28</v>
      </c>
      <c r="D915" t="s">
        <v>32</v>
      </c>
      <c r="E915" s="1">
        <v>46209</v>
      </c>
      <c r="F915">
        <v>324</v>
      </c>
      <c r="G915">
        <v>26</v>
      </c>
      <c r="H915">
        <v>298</v>
      </c>
      <c r="I915" t="s">
        <v>1241</v>
      </c>
      <c r="J915" t="s">
        <v>14</v>
      </c>
    </row>
    <row r="916" spans="1:10" x14ac:dyDescent="0.3">
      <c r="A916" t="s">
        <v>1242</v>
      </c>
      <c r="B916" t="s">
        <v>80</v>
      </c>
      <c r="C916" t="s">
        <v>12</v>
      </c>
      <c r="D916" t="s">
        <v>153</v>
      </c>
      <c r="E916" s="1">
        <v>46054</v>
      </c>
      <c r="F916">
        <v>145</v>
      </c>
      <c r="G916">
        <v>137</v>
      </c>
      <c r="H916">
        <v>8</v>
      </c>
      <c r="I916">
        <v>358</v>
      </c>
      <c r="J916" t="s">
        <v>17</v>
      </c>
    </row>
    <row r="917" spans="1:10" x14ac:dyDescent="0.3">
      <c r="A917" t="s">
        <v>195</v>
      </c>
      <c r="B917" t="s">
        <v>62</v>
      </c>
      <c r="C917" t="s">
        <v>49</v>
      </c>
      <c r="D917" t="s">
        <v>13</v>
      </c>
      <c r="E917" t="s">
        <v>58</v>
      </c>
      <c r="F917">
        <v>292</v>
      </c>
      <c r="G917">
        <v>0</v>
      </c>
      <c r="H917">
        <v>292</v>
      </c>
      <c r="I917">
        <v>1122</v>
      </c>
      <c r="J917" t="s">
        <v>14</v>
      </c>
    </row>
    <row r="918" spans="1:10" x14ac:dyDescent="0.3">
      <c r="A918" t="s">
        <v>1243</v>
      </c>
      <c r="B918" t="s">
        <v>161</v>
      </c>
      <c r="C918" t="s">
        <v>12</v>
      </c>
      <c r="D918" t="s">
        <v>32</v>
      </c>
      <c r="E918" t="s">
        <v>58</v>
      </c>
      <c r="F918">
        <v>120</v>
      </c>
      <c r="G918">
        <v>-5</v>
      </c>
      <c r="H918">
        <v>120</v>
      </c>
      <c r="I918">
        <v>1141</v>
      </c>
      <c r="J918" t="s">
        <v>14</v>
      </c>
    </row>
    <row r="919" spans="1:10" x14ac:dyDescent="0.3">
      <c r="A919" t="s">
        <v>777</v>
      </c>
      <c r="B919" t="s">
        <v>315</v>
      </c>
      <c r="C919" t="s">
        <v>49</v>
      </c>
      <c r="D919" t="s">
        <v>13</v>
      </c>
      <c r="E919" t="s">
        <v>58</v>
      </c>
      <c r="F919">
        <v>212</v>
      </c>
      <c r="G919">
        <v>0</v>
      </c>
      <c r="H919">
        <v>212</v>
      </c>
      <c r="I919">
        <v>1752</v>
      </c>
      <c r="J919" t="s">
        <v>14</v>
      </c>
    </row>
    <row r="920" spans="1:10" x14ac:dyDescent="0.3">
      <c r="A920" t="s">
        <v>1244</v>
      </c>
      <c r="B920" t="s">
        <v>131</v>
      </c>
      <c r="C920" t="s">
        <v>49</v>
      </c>
      <c r="D920" t="s">
        <v>13</v>
      </c>
      <c r="E920" s="1">
        <v>46041</v>
      </c>
      <c r="F920">
        <v>472</v>
      </c>
      <c r="G920">
        <v>146</v>
      </c>
      <c r="H920">
        <v>326</v>
      </c>
      <c r="I920">
        <v>1446</v>
      </c>
      <c r="J920" t="s">
        <v>14</v>
      </c>
    </row>
    <row r="921" spans="1:10" x14ac:dyDescent="0.3">
      <c r="A921" t="s">
        <v>1245</v>
      </c>
      <c r="B921" t="s">
        <v>1129</v>
      </c>
      <c r="C921" t="s">
        <v>12</v>
      </c>
      <c r="D921" t="s">
        <v>21</v>
      </c>
      <c r="E921" s="1">
        <v>46231</v>
      </c>
      <c r="F921">
        <v>135</v>
      </c>
      <c r="G921">
        <v>116</v>
      </c>
      <c r="H921">
        <v>19</v>
      </c>
      <c r="J921" t="s">
        <v>17</v>
      </c>
    </row>
    <row r="922" spans="1:10" x14ac:dyDescent="0.3">
      <c r="A922" t="s">
        <v>1246</v>
      </c>
      <c r="B922" t="s">
        <v>19</v>
      </c>
      <c r="C922" t="s">
        <v>418</v>
      </c>
      <c r="D922" t="s">
        <v>36</v>
      </c>
      <c r="E922" s="1">
        <v>46106</v>
      </c>
      <c r="F922">
        <v>79</v>
      </c>
      <c r="G922">
        <v>10</v>
      </c>
      <c r="H922">
        <v>69</v>
      </c>
      <c r="I922" t="s">
        <v>1247</v>
      </c>
      <c r="J922" t="s">
        <v>14</v>
      </c>
    </row>
    <row r="923" spans="1:10" x14ac:dyDescent="0.3">
      <c r="A923" t="s">
        <v>1248</v>
      </c>
      <c r="B923" t="s">
        <v>57</v>
      </c>
      <c r="C923" t="s">
        <v>28</v>
      </c>
      <c r="D923" t="s">
        <v>36</v>
      </c>
      <c r="E923" s="1">
        <v>46221</v>
      </c>
      <c r="F923">
        <v>394</v>
      </c>
      <c r="G923">
        <v>107</v>
      </c>
      <c r="H923">
        <v>287</v>
      </c>
      <c r="I923">
        <v>1835</v>
      </c>
      <c r="J923" t="s">
        <v>14</v>
      </c>
    </row>
    <row r="924" spans="1:10" x14ac:dyDescent="0.3">
      <c r="A924" t="s">
        <v>1249</v>
      </c>
      <c r="B924" t="s">
        <v>455</v>
      </c>
      <c r="C924" t="s">
        <v>35</v>
      </c>
      <c r="D924" t="s">
        <v>13</v>
      </c>
      <c r="F924">
        <v>148</v>
      </c>
      <c r="G924">
        <v>0</v>
      </c>
      <c r="H924">
        <v>148</v>
      </c>
      <c r="I924">
        <v>50</v>
      </c>
      <c r="J924" t="s">
        <v>14</v>
      </c>
    </row>
    <row r="925" spans="1:10" x14ac:dyDescent="0.3">
      <c r="A925" t="s">
        <v>1250</v>
      </c>
      <c r="B925" t="s">
        <v>89</v>
      </c>
      <c r="C925" t="s">
        <v>42</v>
      </c>
      <c r="D925" t="s">
        <v>32</v>
      </c>
      <c r="E925" t="s">
        <v>58</v>
      </c>
      <c r="F925">
        <v>97</v>
      </c>
      <c r="G925">
        <v>0</v>
      </c>
      <c r="H925">
        <v>97</v>
      </c>
      <c r="I925">
        <v>2125</v>
      </c>
      <c r="J925" t="s">
        <v>14</v>
      </c>
    </row>
    <row r="926" spans="1:10" x14ac:dyDescent="0.3">
      <c r="A926" t="s">
        <v>1251</v>
      </c>
      <c r="B926" t="s">
        <v>161</v>
      </c>
      <c r="C926" t="s">
        <v>12</v>
      </c>
      <c r="D926" t="s">
        <v>13</v>
      </c>
      <c r="E926" s="1">
        <v>46111</v>
      </c>
      <c r="F926">
        <v>262</v>
      </c>
      <c r="G926">
        <v>230</v>
      </c>
      <c r="H926">
        <v>32</v>
      </c>
      <c r="I926">
        <v>2874</v>
      </c>
      <c r="J926" t="s">
        <v>17</v>
      </c>
    </row>
    <row r="927" spans="1:10" x14ac:dyDescent="0.3">
      <c r="A927" t="s">
        <v>1252</v>
      </c>
      <c r="B927" t="s">
        <v>1253</v>
      </c>
      <c r="C927" t="s">
        <v>52</v>
      </c>
      <c r="D927" t="s">
        <v>21</v>
      </c>
      <c r="F927">
        <v>425</v>
      </c>
      <c r="G927">
        <v>0</v>
      </c>
      <c r="H927">
        <v>425</v>
      </c>
      <c r="I927">
        <v>1000</v>
      </c>
      <c r="J927" t="s">
        <v>46</v>
      </c>
    </row>
    <row r="928" spans="1:10" x14ac:dyDescent="0.3">
      <c r="A928" t="s">
        <v>1254</v>
      </c>
      <c r="B928" t="s">
        <v>39</v>
      </c>
      <c r="C928" t="s">
        <v>28</v>
      </c>
      <c r="D928" t="s">
        <v>36</v>
      </c>
      <c r="E928" s="1">
        <v>46103</v>
      </c>
      <c r="F928">
        <v>201</v>
      </c>
      <c r="G928">
        <v>44</v>
      </c>
      <c r="H928">
        <v>157</v>
      </c>
      <c r="I928">
        <v>2839</v>
      </c>
      <c r="J928" t="s">
        <v>14</v>
      </c>
    </row>
    <row r="929" spans="1:10" x14ac:dyDescent="0.3">
      <c r="A929" t="s">
        <v>1255</v>
      </c>
      <c r="B929" t="s">
        <v>198</v>
      </c>
      <c r="C929" t="s">
        <v>31</v>
      </c>
      <c r="D929" t="s">
        <v>32</v>
      </c>
      <c r="E929" s="1">
        <v>46181</v>
      </c>
      <c r="F929">
        <v>453</v>
      </c>
      <c r="G929">
        <v>379</v>
      </c>
      <c r="H929">
        <v>74</v>
      </c>
      <c r="I929" t="s">
        <v>1256</v>
      </c>
      <c r="J929" t="s">
        <v>127</v>
      </c>
    </row>
    <row r="930" spans="1:10" x14ac:dyDescent="0.3">
      <c r="A930" t="s">
        <v>1257</v>
      </c>
      <c r="B930" t="s">
        <v>161</v>
      </c>
      <c r="C930" t="s">
        <v>12</v>
      </c>
      <c r="D930" t="s">
        <v>843</v>
      </c>
      <c r="E930" t="s">
        <v>58</v>
      </c>
      <c r="F930">
        <v>183</v>
      </c>
      <c r="G930">
        <v>0</v>
      </c>
      <c r="H930">
        <v>183</v>
      </c>
      <c r="I930">
        <v>184</v>
      </c>
      <c r="J930" t="s">
        <v>14</v>
      </c>
    </row>
    <row r="931" spans="1:10" x14ac:dyDescent="0.3">
      <c r="A931" t="s">
        <v>1240</v>
      </c>
      <c r="B931" t="s">
        <v>57</v>
      </c>
      <c r="C931" t="s">
        <v>28</v>
      </c>
      <c r="D931" t="s">
        <v>32</v>
      </c>
      <c r="E931" s="1">
        <v>46209</v>
      </c>
      <c r="F931">
        <v>324</v>
      </c>
      <c r="G931">
        <v>26</v>
      </c>
      <c r="H931">
        <v>298</v>
      </c>
      <c r="I931" t="s">
        <v>1241</v>
      </c>
      <c r="J931" t="s">
        <v>14</v>
      </c>
    </row>
    <row r="932" spans="1:10" x14ac:dyDescent="0.3">
      <c r="A932" t="s">
        <v>1258</v>
      </c>
      <c r="B932" t="s">
        <v>422</v>
      </c>
      <c r="C932" t="s">
        <v>12</v>
      </c>
      <c r="D932" t="s">
        <v>13</v>
      </c>
      <c r="E932" s="1">
        <v>46254</v>
      </c>
      <c r="F932">
        <v>273</v>
      </c>
      <c r="G932">
        <v>205</v>
      </c>
      <c r="H932">
        <v>68</v>
      </c>
      <c r="I932">
        <v>2833</v>
      </c>
      <c r="J932" t="s">
        <v>14</v>
      </c>
    </row>
    <row r="933" spans="1:10" x14ac:dyDescent="0.3">
      <c r="A933" t="s">
        <v>1259</v>
      </c>
      <c r="B933" t="s">
        <v>60</v>
      </c>
      <c r="C933" t="s">
        <v>28</v>
      </c>
      <c r="D933" t="s">
        <v>13</v>
      </c>
      <c r="E933" s="1">
        <v>46186</v>
      </c>
      <c r="F933">
        <v>160</v>
      </c>
      <c r="G933">
        <v>14</v>
      </c>
      <c r="H933">
        <v>146</v>
      </c>
      <c r="I933" t="s">
        <v>1260</v>
      </c>
      <c r="J933" t="s">
        <v>14</v>
      </c>
    </row>
    <row r="934" spans="1:10" x14ac:dyDescent="0.3">
      <c r="A934" t="s">
        <v>1261</v>
      </c>
      <c r="B934" t="s">
        <v>71</v>
      </c>
      <c r="C934" t="s">
        <v>35</v>
      </c>
      <c r="D934" t="s">
        <v>36</v>
      </c>
      <c r="E934" s="1">
        <v>46180</v>
      </c>
      <c r="F934">
        <v>241</v>
      </c>
      <c r="G934">
        <v>61</v>
      </c>
      <c r="H934">
        <v>180</v>
      </c>
      <c r="I934">
        <v>367</v>
      </c>
      <c r="J934" t="s">
        <v>14</v>
      </c>
    </row>
    <row r="935" spans="1:10" x14ac:dyDescent="0.3">
      <c r="A935" t="s">
        <v>1262</v>
      </c>
      <c r="B935" t="s">
        <v>294</v>
      </c>
      <c r="C935" t="s">
        <v>35</v>
      </c>
      <c r="D935" t="s">
        <v>21</v>
      </c>
      <c r="E935" s="1">
        <v>46037</v>
      </c>
      <c r="F935">
        <v>116</v>
      </c>
      <c r="G935">
        <v>38</v>
      </c>
      <c r="H935">
        <v>78</v>
      </c>
      <c r="I935">
        <v>1577</v>
      </c>
      <c r="J935" t="s">
        <v>127</v>
      </c>
    </row>
    <row r="936" spans="1:10" x14ac:dyDescent="0.3">
      <c r="A936" t="s">
        <v>1263</v>
      </c>
      <c r="B936" t="s">
        <v>415</v>
      </c>
      <c r="C936" t="s">
        <v>139</v>
      </c>
      <c r="D936" t="s">
        <v>32</v>
      </c>
      <c r="E936" s="1">
        <v>46264</v>
      </c>
      <c r="G936">
        <v>110</v>
      </c>
      <c r="H936">
        <v>33</v>
      </c>
      <c r="I936">
        <v>1333</v>
      </c>
      <c r="J936" t="s">
        <v>17</v>
      </c>
    </row>
    <row r="937" spans="1:10" x14ac:dyDescent="0.3">
      <c r="A937" t="s">
        <v>1264</v>
      </c>
      <c r="B937" t="s">
        <v>65</v>
      </c>
      <c r="C937" t="s">
        <v>49</v>
      </c>
      <c r="D937" t="s">
        <v>36</v>
      </c>
      <c r="E937" t="s">
        <v>58</v>
      </c>
      <c r="F937">
        <v>380</v>
      </c>
      <c r="G937">
        <v>0</v>
      </c>
      <c r="H937">
        <v>380</v>
      </c>
      <c r="J937" t="s">
        <v>14</v>
      </c>
    </row>
    <row r="938" spans="1:10" x14ac:dyDescent="0.3">
      <c r="A938" t="s">
        <v>1265</v>
      </c>
      <c r="B938" t="s">
        <v>236</v>
      </c>
      <c r="C938" t="s">
        <v>12</v>
      </c>
      <c r="D938" t="s">
        <v>13</v>
      </c>
      <c r="E938" s="1">
        <v>46287</v>
      </c>
      <c r="F938">
        <v>452</v>
      </c>
      <c r="G938">
        <v>30</v>
      </c>
      <c r="H938">
        <v>422</v>
      </c>
      <c r="I938">
        <v>2006</v>
      </c>
      <c r="J938" t="s">
        <v>46</v>
      </c>
    </row>
    <row r="939" spans="1:10" x14ac:dyDescent="0.3">
      <c r="A939" t="s">
        <v>130</v>
      </c>
      <c r="B939" t="s">
        <v>131</v>
      </c>
      <c r="C939" t="s">
        <v>49</v>
      </c>
      <c r="D939" t="s">
        <v>21</v>
      </c>
      <c r="E939" s="1">
        <v>45996</v>
      </c>
      <c r="F939">
        <v>261</v>
      </c>
      <c r="G939">
        <v>51</v>
      </c>
      <c r="H939">
        <v>210</v>
      </c>
      <c r="I939" t="s">
        <v>132</v>
      </c>
      <c r="J939" t="s">
        <v>14</v>
      </c>
    </row>
    <row r="940" spans="1:10" x14ac:dyDescent="0.3">
      <c r="A940" t="s">
        <v>1266</v>
      </c>
      <c r="B940" t="s">
        <v>562</v>
      </c>
      <c r="C940" t="s">
        <v>35</v>
      </c>
      <c r="D940" t="s">
        <v>36</v>
      </c>
      <c r="E940" s="1">
        <v>46016</v>
      </c>
      <c r="F940">
        <v>422</v>
      </c>
      <c r="G940">
        <v>28</v>
      </c>
      <c r="H940">
        <v>394</v>
      </c>
      <c r="I940">
        <v>2476</v>
      </c>
      <c r="J940" t="s">
        <v>14</v>
      </c>
    </row>
    <row r="941" spans="1:10" x14ac:dyDescent="0.3">
      <c r="A941" t="s">
        <v>1267</v>
      </c>
      <c r="B941" t="s">
        <v>134</v>
      </c>
      <c r="C941" t="s">
        <v>31</v>
      </c>
      <c r="D941" t="s">
        <v>120</v>
      </c>
      <c r="F941">
        <v>180</v>
      </c>
      <c r="G941">
        <v>0</v>
      </c>
      <c r="H941">
        <v>180</v>
      </c>
      <c r="I941">
        <v>2925</v>
      </c>
      <c r="J941" t="s">
        <v>14</v>
      </c>
    </row>
    <row r="942" spans="1:10" x14ac:dyDescent="0.3">
      <c r="A942" t="s">
        <v>1268</v>
      </c>
      <c r="B942" t="s">
        <v>1269</v>
      </c>
      <c r="C942" t="s">
        <v>49</v>
      </c>
      <c r="D942" t="s">
        <v>13</v>
      </c>
      <c r="F942" t="s">
        <v>58</v>
      </c>
      <c r="G942">
        <v>0</v>
      </c>
      <c r="H942">
        <v>434</v>
      </c>
      <c r="I942">
        <v>2298</v>
      </c>
      <c r="J942" t="s">
        <v>14</v>
      </c>
    </row>
    <row r="943" spans="1:10" x14ac:dyDescent="0.3">
      <c r="A943" t="s">
        <v>1270</v>
      </c>
      <c r="B943" t="s">
        <v>191</v>
      </c>
      <c r="C943" t="s">
        <v>28</v>
      </c>
      <c r="D943" t="s">
        <v>318</v>
      </c>
      <c r="F943">
        <v>95</v>
      </c>
      <c r="G943">
        <v>0</v>
      </c>
      <c r="H943">
        <v>95</v>
      </c>
      <c r="I943">
        <v>881</v>
      </c>
      <c r="J943" t="s">
        <v>14</v>
      </c>
    </row>
    <row r="944" spans="1:10" x14ac:dyDescent="0.3">
      <c r="A944" t="s">
        <v>1271</v>
      </c>
      <c r="B944" t="s">
        <v>60</v>
      </c>
      <c r="C944" t="s">
        <v>28</v>
      </c>
      <c r="D944" t="s">
        <v>351</v>
      </c>
      <c r="E944" s="1">
        <v>46070</v>
      </c>
      <c r="F944">
        <v>393</v>
      </c>
      <c r="G944">
        <v>370</v>
      </c>
      <c r="H944">
        <v>23</v>
      </c>
      <c r="I944">
        <v>821</v>
      </c>
      <c r="J944" t="s">
        <v>17</v>
      </c>
    </row>
    <row r="945" spans="1:10" x14ac:dyDescent="0.3">
      <c r="A945" t="s">
        <v>1272</v>
      </c>
      <c r="B945" t="s">
        <v>1273</v>
      </c>
      <c r="C945" t="s">
        <v>139</v>
      </c>
      <c r="D945" t="s">
        <v>13</v>
      </c>
      <c r="E945" s="1">
        <v>46198</v>
      </c>
      <c r="F945">
        <v>279</v>
      </c>
      <c r="G945">
        <v>57</v>
      </c>
      <c r="H945">
        <v>222</v>
      </c>
      <c r="I945">
        <v>2118</v>
      </c>
      <c r="J945" t="s">
        <v>14</v>
      </c>
    </row>
    <row r="946" spans="1:10" x14ac:dyDescent="0.3">
      <c r="A946" t="s">
        <v>1274</v>
      </c>
      <c r="B946" t="s">
        <v>236</v>
      </c>
      <c r="C946" t="s">
        <v>12</v>
      </c>
      <c r="D946" t="s">
        <v>13</v>
      </c>
      <c r="E946" s="1">
        <v>46225</v>
      </c>
      <c r="F946">
        <v>276</v>
      </c>
      <c r="G946">
        <v>218</v>
      </c>
      <c r="H946">
        <v>58</v>
      </c>
      <c r="I946">
        <v>1593</v>
      </c>
      <c r="J946" t="s">
        <v>17</v>
      </c>
    </row>
    <row r="947" spans="1:10" x14ac:dyDescent="0.3">
      <c r="A947" t="s">
        <v>1275</v>
      </c>
      <c r="B947" t="s">
        <v>51</v>
      </c>
      <c r="C947" t="s">
        <v>49</v>
      </c>
      <c r="D947" t="s">
        <v>646</v>
      </c>
      <c r="E947" t="s">
        <v>58</v>
      </c>
      <c r="F947">
        <v>137</v>
      </c>
      <c r="G947">
        <v>0</v>
      </c>
      <c r="H947">
        <v>137</v>
      </c>
      <c r="I947" t="s">
        <v>1276</v>
      </c>
      <c r="J947" t="s">
        <v>14</v>
      </c>
    </row>
    <row r="948" spans="1:10" x14ac:dyDescent="0.3">
      <c r="A948" t="s">
        <v>1277</v>
      </c>
      <c r="B948" t="s">
        <v>315</v>
      </c>
      <c r="C948" t="s">
        <v>49</v>
      </c>
      <c r="D948" t="s">
        <v>21</v>
      </c>
      <c r="E948" s="1">
        <v>46286</v>
      </c>
      <c r="F948">
        <v>463</v>
      </c>
      <c r="G948">
        <v>45</v>
      </c>
      <c r="H948">
        <v>418</v>
      </c>
      <c r="I948" t="s">
        <v>1278</v>
      </c>
      <c r="J948" t="s">
        <v>14</v>
      </c>
    </row>
    <row r="949" spans="1:10" x14ac:dyDescent="0.3">
      <c r="A949" t="s">
        <v>1279</v>
      </c>
      <c r="B949" t="s">
        <v>182</v>
      </c>
      <c r="C949" t="s">
        <v>12</v>
      </c>
      <c r="D949" t="s">
        <v>36</v>
      </c>
      <c r="E949" s="1">
        <v>46100</v>
      </c>
      <c r="F949">
        <v>200</v>
      </c>
      <c r="G949">
        <v>16</v>
      </c>
      <c r="H949">
        <v>184</v>
      </c>
      <c r="I949">
        <v>2397</v>
      </c>
      <c r="J949" t="s">
        <v>14</v>
      </c>
    </row>
    <row r="950" spans="1:10" x14ac:dyDescent="0.3">
      <c r="A950" t="s">
        <v>1280</v>
      </c>
      <c r="B950" t="s">
        <v>189</v>
      </c>
      <c r="C950" t="s">
        <v>58</v>
      </c>
      <c r="D950" t="s">
        <v>36</v>
      </c>
      <c r="E950" s="1">
        <v>46046</v>
      </c>
      <c r="F950">
        <v>293</v>
      </c>
      <c r="G950">
        <v>50</v>
      </c>
      <c r="H950">
        <v>243</v>
      </c>
      <c r="I950">
        <v>254</v>
      </c>
      <c r="J950" t="s">
        <v>14</v>
      </c>
    </row>
    <row r="951" spans="1:10" x14ac:dyDescent="0.3">
      <c r="A951" t="s">
        <v>1281</v>
      </c>
      <c r="B951" t="s">
        <v>146</v>
      </c>
      <c r="C951" t="s">
        <v>35</v>
      </c>
      <c r="D951" t="s">
        <v>118</v>
      </c>
      <c r="E951" s="1">
        <v>46015</v>
      </c>
      <c r="F951">
        <v>184</v>
      </c>
      <c r="G951">
        <v>51</v>
      </c>
      <c r="H951">
        <v>133</v>
      </c>
      <c r="I951">
        <v>1726</v>
      </c>
      <c r="J951" t="s">
        <v>14</v>
      </c>
    </row>
    <row r="952" spans="1:10" x14ac:dyDescent="0.3">
      <c r="A952" t="s">
        <v>1282</v>
      </c>
      <c r="B952" t="s">
        <v>187</v>
      </c>
      <c r="C952" t="s">
        <v>12</v>
      </c>
      <c r="D952" t="s">
        <v>36</v>
      </c>
      <c r="E952" s="1">
        <v>46239</v>
      </c>
      <c r="F952">
        <v>394</v>
      </c>
      <c r="G952">
        <v>135</v>
      </c>
      <c r="H952">
        <v>259</v>
      </c>
      <c r="I952">
        <v>502</v>
      </c>
      <c r="J952" t="s">
        <v>14</v>
      </c>
    </row>
    <row r="953" spans="1:10" x14ac:dyDescent="0.3">
      <c r="A953" t="s">
        <v>1283</v>
      </c>
      <c r="B953" t="s">
        <v>89</v>
      </c>
      <c r="C953" t="s">
        <v>49</v>
      </c>
      <c r="D953" t="s">
        <v>646</v>
      </c>
      <c r="E953" s="1">
        <v>46075</v>
      </c>
      <c r="F953">
        <v>166</v>
      </c>
      <c r="G953">
        <v>135</v>
      </c>
      <c r="H953">
        <v>31</v>
      </c>
      <c r="I953">
        <v>108</v>
      </c>
      <c r="J953" t="s">
        <v>17</v>
      </c>
    </row>
    <row r="954" spans="1:10" x14ac:dyDescent="0.3">
      <c r="A954" t="s">
        <v>1284</v>
      </c>
      <c r="B954" t="s">
        <v>479</v>
      </c>
      <c r="C954" t="s">
        <v>31</v>
      </c>
      <c r="D954" t="s">
        <v>36</v>
      </c>
      <c r="E954" s="1">
        <v>46263</v>
      </c>
      <c r="F954">
        <v>277</v>
      </c>
      <c r="G954">
        <v>85</v>
      </c>
      <c r="H954">
        <v>192</v>
      </c>
      <c r="I954">
        <v>2070</v>
      </c>
      <c r="J954" t="s">
        <v>14</v>
      </c>
    </row>
    <row r="955" spans="1:10" x14ac:dyDescent="0.3">
      <c r="A955" t="s">
        <v>56</v>
      </c>
      <c r="B955" t="s">
        <v>57</v>
      </c>
      <c r="C955" t="s">
        <v>28</v>
      </c>
      <c r="D955" t="s">
        <v>13</v>
      </c>
      <c r="E955" t="s">
        <v>58</v>
      </c>
      <c r="F955">
        <v>375</v>
      </c>
      <c r="G955">
        <v>0</v>
      </c>
      <c r="H955">
        <v>375</v>
      </c>
      <c r="I955">
        <v>697</v>
      </c>
      <c r="J955" t="s">
        <v>14</v>
      </c>
    </row>
    <row r="956" spans="1:10" x14ac:dyDescent="0.3">
      <c r="A956" t="s">
        <v>1285</v>
      </c>
      <c r="B956" t="s">
        <v>243</v>
      </c>
      <c r="C956" t="s">
        <v>28</v>
      </c>
      <c r="D956" t="s">
        <v>36</v>
      </c>
      <c r="E956" s="1">
        <v>46157</v>
      </c>
      <c r="F956">
        <v>265</v>
      </c>
      <c r="G956">
        <v>246</v>
      </c>
      <c r="H956">
        <v>19</v>
      </c>
      <c r="I956">
        <v>411</v>
      </c>
      <c r="J956" t="s">
        <v>17</v>
      </c>
    </row>
    <row r="957" spans="1:10" x14ac:dyDescent="0.3">
      <c r="A957" t="s">
        <v>1286</v>
      </c>
      <c r="B957" t="s">
        <v>331</v>
      </c>
      <c r="C957" t="s">
        <v>28</v>
      </c>
      <c r="D957" t="s">
        <v>13</v>
      </c>
      <c r="E957" s="1">
        <v>46070</v>
      </c>
      <c r="F957">
        <v>387</v>
      </c>
      <c r="G957">
        <v>377</v>
      </c>
      <c r="H957">
        <v>10</v>
      </c>
      <c r="J957" t="s">
        <v>17</v>
      </c>
    </row>
    <row r="958" spans="1:10" x14ac:dyDescent="0.3">
      <c r="A958" t="s">
        <v>1287</v>
      </c>
      <c r="B958" t="s">
        <v>211</v>
      </c>
      <c r="C958" t="s">
        <v>35</v>
      </c>
      <c r="D958" t="s">
        <v>36</v>
      </c>
      <c r="E958" s="1">
        <v>46067</v>
      </c>
      <c r="F958">
        <v>383</v>
      </c>
      <c r="G958">
        <v>292</v>
      </c>
      <c r="H958">
        <v>91</v>
      </c>
      <c r="I958">
        <v>2237</v>
      </c>
      <c r="J958" t="s">
        <v>14</v>
      </c>
    </row>
    <row r="959" spans="1:10" x14ac:dyDescent="0.3">
      <c r="A959" t="s">
        <v>1288</v>
      </c>
      <c r="B959" t="s">
        <v>499</v>
      </c>
      <c r="C959" t="s">
        <v>28</v>
      </c>
      <c r="D959" t="s">
        <v>36</v>
      </c>
      <c r="E959" s="1">
        <v>46228</v>
      </c>
      <c r="F959">
        <v>166</v>
      </c>
      <c r="G959">
        <v>153</v>
      </c>
      <c r="H959">
        <v>13</v>
      </c>
      <c r="I959">
        <v>1437</v>
      </c>
      <c r="J959" t="s">
        <v>17</v>
      </c>
    </row>
    <row r="960" spans="1:10" x14ac:dyDescent="0.3">
      <c r="A960" t="s">
        <v>1289</v>
      </c>
      <c r="B960" t="s">
        <v>348</v>
      </c>
      <c r="C960" t="s">
        <v>31</v>
      </c>
      <c r="D960" t="s">
        <v>36</v>
      </c>
      <c r="E960" s="1">
        <v>46045</v>
      </c>
      <c r="F960">
        <v>163</v>
      </c>
      <c r="G960">
        <v>157</v>
      </c>
      <c r="H960">
        <v>6</v>
      </c>
      <c r="I960">
        <v>2810</v>
      </c>
      <c r="J960" t="s">
        <v>58</v>
      </c>
    </row>
    <row r="961" spans="1:10" x14ac:dyDescent="0.3">
      <c r="A961" t="s">
        <v>1290</v>
      </c>
      <c r="B961" t="s">
        <v>243</v>
      </c>
      <c r="C961" t="s">
        <v>279</v>
      </c>
      <c r="D961" t="s">
        <v>32</v>
      </c>
      <c r="F961">
        <v>279</v>
      </c>
      <c r="G961">
        <v>0</v>
      </c>
      <c r="H961">
        <v>279</v>
      </c>
      <c r="I961" t="s">
        <v>1291</v>
      </c>
      <c r="J961" t="s">
        <v>85</v>
      </c>
    </row>
    <row r="962" spans="1:10" x14ac:dyDescent="0.3">
      <c r="A962" t="s">
        <v>1292</v>
      </c>
      <c r="B962" t="s">
        <v>499</v>
      </c>
      <c r="C962" t="s">
        <v>418</v>
      </c>
      <c r="D962" t="s">
        <v>13</v>
      </c>
      <c r="E962" t="s">
        <v>58</v>
      </c>
      <c r="F962">
        <v>301</v>
      </c>
      <c r="G962">
        <v>0</v>
      </c>
      <c r="H962">
        <v>301</v>
      </c>
      <c r="I962">
        <v>1908</v>
      </c>
      <c r="J962" t="s">
        <v>14</v>
      </c>
    </row>
    <row r="963" spans="1:10" x14ac:dyDescent="0.3">
      <c r="A963" t="s">
        <v>1293</v>
      </c>
      <c r="B963" t="s">
        <v>200</v>
      </c>
      <c r="C963" t="s">
        <v>35</v>
      </c>
      <c r="D963" t="s">
        <v>32</v>
      </c>
      <c r="F963">
        <v>296</v>
      </c>
      <c r="G963">
        <v>0</v>
      </c>
      <c r="H963">
        <v>296</v>
      </c>
      <c r="I963">
        <v>2321</v>
      </c>
      <c r="J963" t="s">
        <v>46</v>
      </c>
    </row>
    <row r="964" spans="1:10" x14ac:dyDescent="0.3">
      <c r="A964" t="s">
        <v>1294</v>
      </c>
      <c r="B964" t="s">
        <v>1295</v>
      </c>
      <c r="C964" t="s">
        <v>28</v>
      </c>
      <c r="D964" t="s">
        <v>21</v>
      </c>
      <c r="F964">
        <v>137</v>
      </c>
      <c r="G964">
        <v>0</v>
      </c>
      <c r="H964">
        <v>137</v>
      </c>
      <c r="I964">
        <v>859</v>
      </c>
      <c r="J964" t="s">
        <v>85</v>
      </c>
    </row>
    <row r="965" spans="1:10" x14ac:dyDescent="0.3">
      <c r="A965" t="s">
        <v>1296</v>
      </c>
      <c r="B965" t="s">
        <v>363</v>
      </c>
      <c r="C965" t="s">
        <v>12</v>
      </c>
      <c r="D965" t="s">
        <v>13</v>
      </c>
      <c r="E965" s="1">
        <v>46000</v>
      </c>
      <c r="G965">
        <v>269</v>
      </c>
      <c r="H965">
        <v>98</v>
      </c>
      <c r="I965">
        <v>1986</v>
      </c>
      <c r="J965" t="s">
        <v>14</v>
      </c>
    </row>
    <row r="966" spans="1:10" x14ac:dyDescent="0.3">
      <c r="A966" t="s">
        <v>1297</v>
      </c>
      <c r="B966" t="s">
        <v>363</v>
      </c>
      <c r="C966" t="s">
        <v>12</v>
      </c>
      <c r="D966" t="s">
        <v>36</v>
      </c>
      <c r="E966" s="1">
        <v>46017</v>
      </c>
      <c r="F966">
        <v>148</v>
      </c>
      <c r="G966">
        <v>11</v>
      </c>
      <c r="I966" t="s">
        <v>1298</v>
      </c>
      <c r="J966" t="s">
        <v>46</v>
      </c>
    </row>
    <row r="967" spans="1:10" x14ac:dyDescent="0.3">
      <c r="A967" t="s">
        <v>1299</v>
      </c>
      <c r="B967" t="s">
        <v>224</v>
      </c>
      <c r="C967" t="s">
        <v>74</v>
      </c>
      <c r="D967" t="s">
        <v>36</v>
      </c>
      <c r="E967" s="1">
        <v>46035</v>
      </c>
      <c r="F967">
        <v>130</v>
      </c>
      <c r="G967">
        <v>49</v>
      </c>
      <c r="H967">
        <v>81</v>
      </c>
      <c r="I967">
        <v>1741</v>
      </c>
      <c r="J967" t="s">
        <v>14</v>
      </c>
    </row>
    <row r="968" spans="1:10" x14ac:dyDescent="0.3">
      <c r="A968" t="s">
        <v>1300</v>
      </c>
      <c r="B968" t="s">
        <v>54</v>
      </c>
      <c r="C968" t="s">
        <v>31</v>
      </c>
      <c r="D968" t="s">
        <v>36</v>
      </c>
      <c r="E968" t="s">
        <v>58</v>
      </c>
      <c r="F968">
        <v>230</v>
      </c>
      <c r="G968">
        <v>0</v>
      </c>
      <c r="H968">
        <v>230</v>
      </c>
      <c r="J968" t="s">
        <v>127</v>
      </c>
    </row>
    <row r="969" spans="1:10" x14ac:dyDescent="0.3">
      <c r="A969" t="s">
        <v>1301</v>
      </c>
      <c r="B969" t="s">
        <v>189</v>
      </c>
      <c r="C969" t="s">
        <v>49</v>
      </c>
      <c r="D969" t="s">
        <v>21</v>
      </c>
      <c r="E969" s="1">
        <v>46119</v>
      </c>
      <c r="F969">
        <v>385</v>
      </c>
      <c r="G969">
        <v>38</v>
      </c>
      <c r="H969">
        <v>347</v>
      </c>
      <c r="I969" t="s">
        <v>1302</v>
      </c>
      <c r="J969" t="s">
        <v>14</v>
      </c>
    </row>
    <row r="970" spans="1:10" x14ac:dyDescent="0.3">
      <c r="A970" t="s">
        <v>1303</v>
      </c>
      <c r="B970" t="s">
        <v>211</v>
      </c>
      <c r="C970" t="s">
        <v>35</v>
      </c>
      <c r="D970" t="s">
        <v>475</v>
      </c>
      <c r="E970" s="1">
        <v>46279</v>
      </c>
      <c r="F970">
        <v>297</v>
      </c>
      <c r="G970">
        <v>93</v>
      </c>
      <c r="H970">
        <v>204</v>
      </c>
      <c r="I970">
        <v>1982</v>
      </c>
      <c r="J970" t="s">
        <v>14</v>
      </c>
    </row>
    <row r="971" spans="1:10" x14ac:dyDescent="0.3">
      <c r="A971" t="s">
        <v>1304</v>
      </c>
      <c r="B971" t="s">
        <v>262</v>
      </c>
      <c r="C971" t="s">
        <v>780</v>
      </c>
      <c r="D971" t="s">
        <v>36</v>
      </c>
      <c r="F971">
        <v>439</v>
      </c>
      <c r="G971">
        <v>0</v>
      </c>
      <c r="H971">
        <v>439</v>
      </c>
      <c r="I971" t="s">
        <v>1305</v>
      </c>
      <c r="J971" t="s">
        <v>14</v>
      </c>
    </row>
    <row r="972" spans="1:10" x14ac:dyDescent="0.3">
      <c r="A972" t="s">
        <v>1306</v>
      </c>
      <c r="B972" t="s">
        <v>234</v>
      </c>
      <c r="C972" t="s">
        <v>28</v>
      </c>
      <c r="D972" t="s">
        <v>32</v>
      </c>
      <c r="E972" s="1">
        <v>46272</v>
      </c>
      <c r="F972">
        <v>392</v>
      </c>
      <c r="G972">
        <v>50</v>
      </c>
      <c r="H972">
        <v>342</v>
      </c>
      <c r="I972">
        <v>83</v>
      </c>
      <c r="J972" t="s">
        <v>14</v>
      </c>
    </row>
    <row r="973" spans="1:10" x14ac:dyDescent="0.3">
      <c r="A973" t="s">
        <v>1307</v>
      </c>
      <c r="B973" t="s">
        <v>89</v>
      </c>
      <c r="C973" t="s">
        <v>49</v>
      </c>
      <c r="D973" t="s">
        <v>351</v>
      </c>
      <c r="F973">
        <v>155</v>
      </c>
      <c r="G973">
        <v>0</v>
      </c>
      <c r="H973">
        <v>155</v>
      </c>
      <c r="I973">
        <v>2224</v>
      </c>
      <c r="J973" t="s">
        <v>46</v>
      </c>
    </row>
    <row r="974" spans="1:10" x14ac:dyDescent="0.3">
      <c r="A974" t="s">
        <v>1308</v>
      </c>
      <c r="B974" t="s">
        <v>19</v>
      </c>
      <c r="C974" t="s">
        <v>28</v>
      </c>
      <c r="D974" t="s">
        <v>32</v>
      </c>
      <c r="F974">
        <v>338</v>
      </c>
      <c r="G974">
        <v>0</v>
      </c>
      <c r="H974">
        <v>338</v>
      </c>
      <c r="I974">
        <v>289</v>
      </c>
      <c r="J974" t="s">
        <v>14</v>
      </c>
    </row>
    <row r="975" spans="1:10" x14ac:dyDescent="0.3">
      <c r="A975" t="s">
        <v>1309</v>
      </c>
      <c r="B975" t="s">
        <v>67</v>
      </c>
      <c r="C975" t="s">
        <v>31</v>
      </c>
      <c r="D975" t="s">
        <v>21</v>
      </c>
      <c r="E975" s="1">
        <v>45998</v>
      </c>
      <c r="F975">
        <v>427</v>
      </c>
      <c r="G975">
        <v>323</v>
      </c>
      <c r="H975">
        <v>104</v>
      </c>
      <c r="I975">
        <v>839</v>
      </c>
      <c r="J975" t="s">
        <v>14</v>
      </c>
    </row>
    <row r="976" spans="1:10" x14ac:dyDescent="0.3">
      <c r="A976" t="s">
        <v>1310</v>
      </c>
      <c r="B976" t="s">
        <v>1311</v>
      </c>
      <c r="C976" t="s">
        <v>103</v>
      </c>
      <c r="D976" t="s">
        <v>21</v>
      </c>
      <c r="E976" t="s">
        <v>58</v>
      </c>
      <c r="F976">
        <v>356</v>
      </c>
      <c r="G976">
        <v>0</v>
      </c>
      <c r="H976">
        <v>356</v>
      </c>
      <c r="I976">
        <v>1012</v>
      </c>
      <c r="J976" t="s">
        <v>127</v>
      </c>
    </row>
    <row r="977" spans="1:10" x14ac:dyDescent="0.3">
      <c r="A977" t="s">
        <v>1312</v>
      </c>
      <c r="B977" t="s">
        <v>48</v>
      </c>
      <c r="C977" t="s">
        <v>49</v>
      </c>
      <c r="D977" t="s">
        <v>32</v>
      </c>
      <c r="F977">
        <v>435</v>
      </c>
      <c r="G977">
        <v>0</v>
      </c>
      <c r="H977">
        <v>435</v>
      </c>
      <c r="I977">
        <v>1638</v>
      </c>
      <c r="J977" t="s">
        <v>14</v>
      </c>
    </row>
    <row r="978" spans="1:10" x14ac:dyDescent="0.3">
      <c r="A978" t="s">
        <v>1313</v>
      </c>
      <c r="B978" t="s">
        <v>158</v>
      </c>
      <c r="C978" t="s">
        <v>31</v>
      </c>
      <c r="D978" t="s">
        <v>21</v>
      </c>
      <c r="F978">
        <v>190</v>
      </c>
      <c r="G978">
        <v>0</v>
      </c>
      <c r="H978">
        <v>190</v>
      </c>
      <c r="I978">
        <v>2169</v>
      </c>
      <c r="J978" t="s">
        <v>14</v>
      </c>
    </row>
    <row r="979" spans="1:10" x14ac:dyDescent="0.3">
      <c r="A979" t="s">
        <v>1314</v>
      </c>
      <c r="B979" t="s">
        <v>1315</v>
      </c>
      <c r="C979" t="s">
        <v>28</v>
      </c>
      <c r="D979" t="s">
        <v>36</v>
      </c>
      <c r="F979">
        <v>84</v>
      </c>
      <c r="G979">
        <v>0</v>
      </c>
      <c r="H979">
        <v>84</v>
      </c>
      <c r="I979">
        <v>470</v>
      </c>
      <c r="J979" t="s">
        <v>14</v>
      </c>
    </row>
    <row r="980" spans="1:10" x14ac:dyDescent="0.3">
      <c r="A980" t="s">
        <v>1316</v>
      </c>
      <c r="B980" t="s">
        <v>243</v>
      </c>
      <c r="C980" t="s">
        <v>28</v>
      </c>
      <c r="D980" t="s">
        <v>36</v>
      </c>
      <c r="E980" s="1">
        <v>46065</v>
      </c>
      <c r="F980">
        <v>281</v>
      </c>
      <c r="G980">
        <v>102</v>
      </c>
      <c r="H980">
        <v>179</v>
      </c>
      <c r="I980">
        <v>2241</v>
      </c>
      <c r="J980" t="s">
        <v>14</v>
      </c>
    </row>
    <row r="981" spans="1:10" x14ac:dyDescent="0.3">
      <c r="A981" t="s">
        <v>618</v>
      </c>
      <c r="B981" t="s">
        <v>296</v>
      </c>
      <c r="C981" t="s">
        <v>31</v>
      </c>
      <c r="D981" t="s">
        <v>36</v>
      </c>
      <c r="E981" s="1">
        <v>46000</v>
      </c>
      <c r="F981">
        <v>338</v>
      </c>
      <c r="G981">
        <v>61</v>
      </c>
      <c r="H981">
        <v>277</v>
      </c>
      <c r="I981">
        <v>1262</v>
      </c>
      <c r="J981" t="s">
        <v>14</v>
      </c>
    </row>
    <row r="982" spans="1:10" x14ac:dyDescent="0.3">
      <c r="A982" t="s">
        <v>1317</v>
      </c>
      <c r="B982" t="s">
        <v>1318</v>
      </c>
      <c r="C982" t="s">
        <v>488</v>
      </c>
      <c r="D982" t="s">
        <v>32</v>
      </c>
      <c r="E982" t="s">
        <v>58</v>
      </c>
      <c r="F982">
        <v>136</v>
      </c>
      <c r="G982">
        <v>0</v>
      </c>
      <c r="H982">
        <v>136</v>
      </c>
      <c r="I982" t="s">
        <v>1319</v>
      </c>
      <c r="J982" t="s">
        <v>14</v>
      </c>
    </row>
    <row r="983" spans="1:10" x14ac:dyDescent="0.3">
      <c r="A983" t="s">
        <v>1215</v>
      </c>
      <c r="B983" t="s">
        <v>98</v>
      </c>
      <c r="C983" t="s">
        <v>12</v>
      </c>
      <c r="D983" t="s">
        <v>32</v>
      </c>
      <c r="E983" t="s">
        <v>58</v>
      </c>
      <c r="F983">
        <v>258</v>
      </c>
      <c r="G983">
        <v>0</v>
      </c>
      <c r="H983">
        <v>258</v>
      </c>
      <c r="I983">
        <v>1185</v>
      </c>
      <c r="J983" t="s">
        <v>14</v>
      </c>
    </row>
    <row r="984" spans="1:10" x14ac:dyDescent="0.3">
      <c r="A984" t="s">
        <v>1320</v>
      </c>
      <c r="B984" t="s">
        <v>1005</v>
      </c>
      <c r="C984" t="s">
        <v>28</v>
      </c>
      <c r="D984" t="s">
        <v>63</v>
      </c>
      <c r="E984" s="1">
        <v>46158</v>
      </c>
      <c r="F984">
        <v>161</v>
      </c>
      <c r="G984">
        <v>160</v>
      </c>
      <c r="H984">
        <v>1</v>
      </c>
      <c r="I984" t="s">
        <v>1321</v>
      </c>
      <c r="J984" t="s">
        <v>17</v>
      </c>
    </row>
    <row r="985" spans="1:10" x14ac:dyDescent="0.3">
      <c r="A985" t="s">
        <v>1322</v>
      </c>
      <c r="B985" t="s">
        <v>236</v>
      </c>
      <c r="C985" t="s">
        <v>12</v>
      </c>
      <c r="D985" t="s">
        <v>32</v>
      </c>
      <c r="E985" s="1">
        <v>46183</v>
      </c>
      <c r="F985">
        <v>294</v>
      </c>
      <c r="G985">
        <v>108</v>
      </c>
      <c r="H985">
        <v>186</v>
      </c>
      <c r="I985">
        <v>2350</v>
      </c>
      <c r="J985" t="s">
        <v>14</v>
      </c>
    </row>
    <row r="986" spans="1:10" x14ac:dyDescent="0.3">
      <c r="A986" t="s">
        <v>1323</v>
      </c>
      <c r="B986" t="s">
        <v>89</v>
      </c>
      <c r="C986" t="s">
        <v>49</v>
      </c>
      <c r="D986" t="s">
        <v>36</v>
      </c>
      <c r="E986" s="1">
        <v>46012</v>
      </c>
      <c r="F986">
        <v>231</v>
      </c>
      <c r="G986">
        <v>216</v>
      </c>
      <c r="H986">
        <v>15</v>
      </c>
      <c r="I986">
        <v>774</v>
      </c>
      <c r="J986" t="s">
        <v>17</v>
      </c>
    </row>
    <row r="987" spans="1:10" x14ac:dyDescent="0.3">
      <c r="A987" t="s">
        <v>1324</v>
      </c>
      <c r="B987" t="s">
        <v>387</v>
      </c>
      <c r="C987" t="s">
        <v>12</v>
      </c>
      <c r="D987" t="s">
        <v>36</v>
      </c>
      <c r="E987" t="s">
        <v>58</v>
      </c>
      <c r="F987">
        <v>336</v>
      </c>
      <c r="G987">
        <v>0</v>
      </c>
      <c r="H987">
        <v>336</v>
      </c>
      <c r="I987">
        <v>2313</v>
      </c>
      <c r="J987" t="s">
        <v>14</v>
      </c>
    </row>
    <row r="988" spans="1:10" x14ac:dyDescent="0.3">
      <c r="A988" t="s">
        <v>1325</v>
      </c>
      <c r="B988" t="s">
        <v>1326</v>
      </c>
      <c r="C988" t="s">
        <v>213</v>
      </c>
      <c r="D988" t="s">
        <v>36</v>
      </c>
      <c r="E988" t="s">
        <v>58</v>
      </c>
      <c r="F988">
        <v>106</v>
      </c>
      <c r="G988">
        <v>0</v>
      </c>
      <c r="H988">
        <v>106</v>
      </c>
      <c r="I988">
        <v>812</v>
      </c>
      <c r="J988" t="s">
        <v>14</v>
      </c>
    </row>
    <row r="989" spans="1:10" x14ac:dyDescent="0.3">
      <c r="A989" t="s">
        <v>1327</v>
      </c>
      <c r="B989" t="s">
        <v>158</v>
      </c>
      <c r="C989" t="s">
        <v>31</v>
      </c>
      <c r="D989" t="s">
        <v>32</v>
      </c>
      <c r="F989">
        <v>257</v>
      </c>
      <c r="G989">
        <v>0</v>
      </c>
      <c r="H989">
        <v>257</v>
      </c>
      <c r="I989">
        <v>1921</v>
      </c>
      <c r="J989" t="s">
        <v>14</v>
      </c>
    </row>
    <row r="990" spans="1:10" x14ac:dyDescent="0.3">
      <c r="A990" t="s">
        <v>1328</v>
      </c>
      <c r="B990" t="s">
        <v>1329</v>
      </c>
      <c r="C990" t="s">
        <v>49</v>
      </c>
      <c r="D990" t="s">
        <v>32</v>
      </c>
      <c r="E990" s="1">
        <v>46033</v>
      </c>
      <c r="F990">
        <v>200</v>
      </c>
      <c r="G990">
        <v>38</v>
      </c>
      <c r="H990">
        <v>162</v>
      </c>
      <c r="I990" t="s">
        <v>1330</v>
      </c>
      <c r="J990" t="s">
        <v>14</v>
      </c>
    </row>
    <row r="991" spans="1:10" x14ac:dyDescent="0.3">
      <c r="A991" t="s">
        <v>55</v>
      </c>
      <c r="B991" t="s">
        <v>34</v>
      </c>
      <c r="C991" t="s">
        <v>24</v>
      </c>
      <c r="D991" t="s">
        <v>21</v>
      </c>
      <c r="E991" s="1">
        <v>46181</v>
      </c>
      <c r="F991">
        <v>69</v>
      </c>
      <c r="G991">
        <v>58</v>
      </c>
      <c r="H991">
        <v>11</v>
      </c>
      <c r="I991">
        <v>198</v>
      </c>
      <c r="J991" t="s">
        <v>17</v>
      </c>
    </row>
    <row r="992" spans="1:10" x14ac:dyDescent="0.3">
      <c r="A992" t="s">
        <v>964</v>
      </c>
      <c r="B992" t="s">
        <v>62</v>
      </c>
      <c r="C992" t="s">
        <v>42</v>
      </c>
      <c r="D992" t="s">
        <v>318</v>
      </c>
      <c r="E992" s="1">
        <v>46259</v>
      </c>
      <c r="F992">
        <v>169</v>
      </c>
      <c r="G992">
        <v>157</v>
      </c>
      <c r="H992">
        <v>12</v>
      </c>
      <c r="I992">
        <v>386</v>
      </c>
      <c r="J992" t="s">
        <v>43</v>
      </c>
    </row>
    <row r="993" spans="1:10" x14ac:dyDescent="0.3">
      <c r="A993" t="s">
        <v>1331</v>
      </c>
      <c r="B993" t="s">
        <v>308</v>
      </c>
      <c r="C993" t="s">
        <v>12</v>
      </c>
      <c r="D993" t="s">
        <v>13</v>
      </c>
      <c r="E993" s="1">
        <v>46041</v>
      </c>
      <c r="F993">
        <v>363</v>
      </c>
      <c r="G993">
        <v>62</v>
      </c>
      <c r="H993">
        <v>301</v>
      </c>
      <c r="I993" t="s">
        <v>1332</v>
      </c>
      <c r="J993" t="s">
        <v>14</v>
      </c>
    </row>
    <row r="994" spans="1:10" x14ac:dyDescent="0.3">
      <c r="A994" t="s">
        <v>1333</v>
      </c>
      <c r="B994" t="s">
        <v>41</v>
      </c>
      <c r="C994" t="s">
        <v>49</v>
      </c>
      <c r="D994" t="s">
        <v>21</v>
      </c>
      <c r="E994" t="s">
        <v>58</v>
      </c>
      <c r="F994">
        <v>465</v>
      </c>
      <c r="G994">
        <v>0</v>
      </c>
      <c r="H994">
        <v>465</v>
      </c>
      <c r="I994">
        <v>2137</v>
      </c>
      <c r="J994" t="s">
        <v>14</v>
      </c>
    </row>
    <row r="995" spans="1:10" x14ac:dyDescent="0.3">
      <c r="A995" t="s">
        <v>1334</v>
      </c>
      <c r="B995" t="s">
        <v>367</v>
      </c>
      <c r="C995" t="s">
        <v>35</v>
      </c>
      <c r="D995" t="s">
        <v>36</v>
      </c>
      <c r="E995" s="1">
        <v>46004</v>
      </c>
      <c r="F995" t="s">
        <v>58</v>
      </c>
      <c r="H995">
        <v>11</v>
      </c>
      <c r="I995">
        <v>1425</v>
      </c>
      <c r="J995" t="s">
        <v>17</v>
      </c>
    </row>
    <row r="996" spans="1:10" x14ac:dyDescent="0.3">
      <c r="A996" t="s">
        <v>1335</v>
      </c>
      <c r="B996" t="s">
        <v>479</v>
      </c>
      <c r="C996" t="s">
        <v>213</v>
      </c>
      <c r="D996" t="s">
        <v>32</v>
      </c>
      <c r="E996" s="1">
        <v>46112</v>
      </c>
      <c r="F996">
        <v>168</v>
      </c>
      <c r="G996">
        <v>150</v>
      </c>
      <c r="H996">
        <v>18</v>
      </c>
      <c r="J996" t="s">
        <v>17</v>
      </c>
    </row>
    <row r="997" spans="1:10" x14ac:dyDescent="0.3">
      <c r="A997" t="s">
        <v>1336</v>
      </c>
      <c r="B997" t="s">
        <v>422</v>
      </c>
      <c r="C997" t="s">
        <v>12</v>
      </c>
      <c r="D997" t="s">
        <v>13</v>
      </c>
      <c r="E997" s="1">
        <v>46029</v>
      </c>
      <c r="F997">
        <v>165</v>
      </c>
      <c r="G997">
        <v>134</v>
      </c>
      <c r="H997">
        <v>31</v>
      </c>
      <c r="I997">
        <v>2889</v>
      </c>
      <c r="J997" t="s">
        <v>17</v>
      </c>
    </row>
    <row r="998" spans="1:10" x14ac:dyDescent="0.3">
      <c r="A998" t="s">
        <v>1337</v>
      </c>
      <c r="B998" t="s">
        <v>234</v>
      </c>
      <c r="C998" t="s">
        <v>28</v>
      </c>
      <c r="D998" t="s">
        <v>32</v>
      </c>
      <c r="E998" s="1">
        <v>46039</v>
      </c>
      <c r="F998">
        <v>267</v>
      </c>
      <c r="G998">
        <v>-245</v>
      </c>
      <c r="H998">
        <v>27</v>
      </c>
      <c r="I998">
        <v>834</v>
      </c>
      <c r="J998" t="s">
        <v>17</v>
      </c>
    </row>
    <row r="999" spans="1:10" x14ac:dyDescent="0.3">
      <c r="A999" t="s">
        <v>1338</v>
      </c>
      <c r="B999" t="s">
        <v>112</v>
      </c>
      <c r="C999" t="s">
        <v>35</v>
      </c>
      <c r="D999" t="s">
        <v>21</v>
      </c>
      <c r="E999" s="1">
        <v>46223</v>
      </c>
      <c r="F999">
        <v>200</v>
      </c>
      <c r="G999">
        <v>78</v>
      </c>
      <c r="H999" t="s">
        <v>58</v>
      </c>
      <c r="I999" t="s">
        <v>1339</v>
      </c>
      <c r="J999" t="s">
        <v>14</v>
      </c>
    </row>
    <row r="1000" spans="1:10" x14ac:dyDescent="0.3">
      <c r="A1000" t="s">
        <v>1340</v>
      </c>
      <c r="B1000" t="s">
        <v>146</v>
      </c>
      <c r="C1000" t="s">
        <v>35</v>
      </c>
      <c r="D1000" t="s">
        <v>300</v>
      </c>
      <c r="E1000" s="1">
        <v>46089</v>
      </c>
      <c r="F1000">
        <v>71</v>
      </c>
      <c r="G1000">
        <v>55</v>
      </c>
      <c r="H1000">
        <v>16</v>
      </c>
      <c r="I1000">
        <v>2289</v>
      </c>
      <c r="J1000" t="s">
        <v>68</v>
      </c>
    </row>
    <row r="1001" spans="1:10" x14ac:dyDescent="0.3">
      <c r="A1001" t="s">
        <v>1341</v>
      </c>
      <c r="B1001" t="s">
        <v>23</v>
      </c>
      <c r="C1001" t="s">
        <v>24</v>
      </c>
      <c r="D1001" t="s">
        <v>21</v>
      </c>
      <c r="F1001">
        <v>425</v>
      </c>
      <c r="G1001">
        <v>0</v>
      </c>
      <c r="H1001">
        <v>425</v>
      </c>
      <c r="I1001">
        <v>1898</v>
      </c>
      <c r="J1001" t="s">
        <v>14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AA7BA0-FD7C-4DC1-B6F2-4B4101EDEB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Slicers</vt:lpstr>
      <vt:lpstr>movement summary</vt:lpstr>
      <vt:lpstr>Category mix</vt:lpstr>
      <vt:lpstr>Top overstocked</vt:lpstr>
      <vt:lpstr>Last sale months</vt:lpstr>
      <vt:lpstr>Capital stuck</vt:lpstr>
      <vt:lpstr>Stock Flags</vt:lpstr>
      <vt:lpstr>Cards</vt:lpstr>
      <vt:lpstr>Dashboard</vt:lpstr>
      <vt:lpstr>Raw_Data (2)</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rohini pearls</cp:lastModifiedBy>
  <dcterms:created xsi:type="dcterms:W3CDTF">2026-10-20T16:56:02Z</dcterms:created>
  <dcterms:modified xsi:type="dcterms:W3CDTF">2026-10-27T06:32:51Z</dcterms:modified>
</cp:coreProperties>
</file>